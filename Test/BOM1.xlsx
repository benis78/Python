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enne_projektmappe"/>
  <bookViews>
    <workbookView visibility="visible" minimized="0" showHorizontalScroll="1" showVerticalScroll="1" showSheetTabs="1" xWindow="28680" yWindow="-120" windowWidth="29040" windowHeight="17640" tabRatio="600" firstSheet="0" activeTab="0" autoFilterDateGrouping="1"/>
  </bookViews>
  <sheets>
    <sheet name="BO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12700</colOff>
      <row>1</row>
      <rowOff>12700</rowOff>
    </from>
    <to>
      <col>2</col>
      <colOff>1727200</colOff>
      <row>1</row>
      <rowOff>1727200</rowOff>
    </to>
    <pic>
      <nvPicPr>
        <cNvPr id="3" name="Billed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31900" y="203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</row>
      <rowOff>12700</rowOff>
    </from>
    <to>
      <col>2</col>
      <colOff>1727200</colOff>
      <row>2</row>
      <rowOff>1727200</rowOff>
    </to>
    <pic>
      <nvPicPr>
        <cNvPr id="5" name="Billed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31900" y="1069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</row>
      <rowOff>12700</rowOff>
    </from>
    <to>
      <col>2</col>
      <colOff>1727200</colOff>
      <row>3</row>
      <rowOff>1727200</rowOff>
    </to>
    <pic>
      <nvPicPr>
        <cNvPr id="7" name="Billede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1900" y="1936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</row>
      <rowOff>12700</rowOff>
    </from>
    <to>
      <col>2</col>
      <colOff>1727200</colOff>
      <row>4</row>
      <rowOff>1727200</rowOff>
    </to>
    <pic>
      <nvPicPr>
        <cNvPr id="9" name="Billede 8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231900" y="2803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</row>
      <rowOff>12700</rowOff>
    </from>
    <to>
      <col>2</col>
      <colOff>1727200</colOff>
      <row>5</row>
      <rowOff>1727200</rowOff>
    </to>
    <pic>
      <nvPicPr>
        <cNvPr id="11" name="Billede 1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231900" y="3670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</row>
      <rowOff>12700</rowOff>
    </from>
    <to>
      <col>2</col>
      <colOff>1727200</colOff>
      <row>6</row>
      <rowOff>1727200</rowOff>
    </to>
    <pic>
      <nvPicPr>
        <cNvPr id="13" name="Billede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231900" y="4537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</row>
      <rowOff>12700</rowOff>
    </from>
    <to>
      <col>2</col>
      <colOff>1727200</colOff>
      <row>7</row>
      <rowOff>1727200</rowOff>
    </to>
    <pic>
      <nvPicPr>
        <cNvPr id="15" name="Billede 14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231900" y="5403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</row>
      <rowOff>12700</rowOff>
    </from>
    <to>
      <col>2</col>
      <colOff>1727200</colOff>
      <row>8</row>
      <rowOff>1727200</rowOff>
    </to>
    <pic>
      <nvPicPr>
        <cNvPr id="17" name="Billede 16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231900" y="6270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</row>
      <rowOff>12700</rowOff>
    </from>
    <to>
      <col>2</col>
      <colOff>1727200</colOff>
      <row>9</row>
      <rowOff>1727200</rowOff>
    </to>
    <pic>
      <nvPicPr>
        <cNvPr id="19" name="Billede 18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231900" y="7137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</row>
      <rowOff>12700</rowOff>
    </from>
    <to>
      <col>2</col>
      <colOff>1727200</colOff>
      <row>10</row>
      <rowOff>1727200</rowOff>
    </to>
    <pic>
      <nvPicPr>
        <cNvPr id="21" name="Billede 2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231900" y="8004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</row>
      <rowOff>12700</rowOff>
    </from>
    <to>
      <col>2</col>
      <colOff>1727200</colOff>
      <row>11</row>
      <rowOff>1727200</rowOff>
    </to>
    <pic>
      <nvPicPr>
        <cNvPr id="23" name="Billede 22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231900" y="8870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</row>
      <rowOff>12700</rowOff>
    </from>
    <to>
      <col>2</col>
      <colOff>1727200</colOff>
      <row>12</row>
      <rowOff>1727200</rowOff>
    </to>
    <pic>
      <nvPicPr>
        <cNvPr id="25" name="Billede 24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231900" y="9737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</row>
      <rowOff>12700</rowOff>
    </from>
    <to>
      <col>2</col>
      <colOff>1727200</colOff>
      <row>13</row>
      <rowOff>1727200</rowOff>
    </to>
    <pic>
      <nvPicPr>
        <cNvPr id="27" name="Billede 26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231900" y="10604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14</row>
      <rowOff>12700</rowOff>
    </from>
    <to>
      <col>2</col>
      <colOff>1727200</colOff>
      <row>14</row>
      <rowOff>1727200</rowOff>
    </to>
    <pic>
      <nvPicPr>
        <cNvPr id="29" name="Billede 28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231900" y="11471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15</row>
      <rowOff>12700</rowOff>
    </from>
    <to>
      <col>2</col>
      <colOff>1727200</colOff>
      <row>15</row>
      <rowOff>1727200</rowOff>
    </to>
    <pic>
      <nvPicPr>
        <cNvPr id="31" name="Billede 30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231900" y="12338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16</row>
      <rowOff>12700</rowOff>
    </from>
    <to>
      <col>2</col>
      <colOff>1727200</colOff>
      <row>16</row>
      <rowOff>1727200</rowOff>
    </to>
    <pic>
      <nvPicPr>
        <cNvPr id="33" name="Billede 3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231900" y="13204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17</row>
      <rowOff>12700</rowOff>
    </from>
    <to>
      <col>2</col>
      <colOff>1727200</colOff>
      <row>17</row>
      <rowOff>1727200</rowOff>
    </to>
    <pic>
      <nvPicPr>
        <cNvPr id="35" name="Billede 34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231900" y="14071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18</row>
      <rowOff>12700</rowOff>
    </from>
    <to>
      <col>2</col>
      <colOff>1727200</colOff>
      <row>18</row>
      <rowOff>1727200</rowOff>
    </to>
    <pic>
      <nvPicPr>
        <cNvPr id="37" name="Billede 36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231900" y="14938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19</row>
      <rowOff>12700</rowOff>
    </from>
    <to>
      <col>2</col>
      <colOff>1727200</colOff>
      <row>19</row>
      <rowOff>1727200</rowOff>
    </to>
    <pic>
      <nvPicPr>
        <cNvPr id="39" name="Billede 38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231900" y="15805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20</row>
      <rowOff>12700</rowOff>
    </from>
    <to>
      <col>2</col>
      <colOff>1727200</colOff>
      <row>20</row>
      <rowOff>1727200</rowOff>
    </to>
    <pic>
      <nvPicPr>
        <cNvPr id="41" name="Billede 4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231900" y="16671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21</row>
      <rowOff>12700</rowOff>
    </from>
    <to>
      <col>2</col>
      <colOff>1727200</colOff>
      <row>21</row>
      <rowOff>1727200</rowOff>
    </to>
    <pic>
      <nvPicPr>
        <cNvPr id="43" name="Billede 42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231900" y="17538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22</row>
      <rowOff>12700</rowOff>
    </from>
    <to>
      <col>2</col>
      <colOff>1727200</colOff>
      <row>22</row>
      <rowOff>1727200</rowOff>
    </to>
    <pic>
      <nvPicPr>
        <cNvPr id="45" name="Billede 44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231900" y="18405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23</row>
      <rowOff>12700</rowOff>
    </from>
    <to>
      <col>2</col>
      <colOff>1727200</colOff>
      <row>23</row>
      <rowOff>1727200</rowOff>
    </to>
    <pic>
      <nvPicPr>
        <cNvPr id="47" name="Billede 46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231900" y="192722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24</row>
      <rowOff>12700</rowOff>
    </from>
    <to>
      <col>2</col>
      <colOff>1727200</colOff>
      <row>24</row>
      <rowOff>1727200</rowOff>
    </to>
    <pic>
      <nvPicPr>
        <cNvPr id="49" name="Billede 48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231900" y="201390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25</row>
      <rowOff>12700</rowOff>
    </from>
    <to>
      <col>2</col>
      <colOff>1727200</colOff>
      <row>25</row>
      <rowOff>1727200</rowOff>
    </to>
    <pic>
      <nvPicPr>
        <cNvPr id="51" name="Billede 50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231900" y="210058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26</row>
      <rowOff>12700</rowOff>
    </from>
    <to>
      <col>2</col>
      <colOff>1727200</colOff>
      <row>26</row>
      <rowOff>1727200</rowOff>
    </to>
    <pic>
      <nvPicPr>
        <cNvPr id="53" name="Billede 52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231900" y="218725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27</row>
      <rowOff>12700</rowOff>
    </from>
    <to>
      <col>2</col>
      <colOff>1727200</colOff>
      <row>27</row>
      <rowOff>1727200</rowOff>
    </to>
    <pic>
      <nvPicPr>
        <cNvPr id="55" name="Billede 54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231900" y="227393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28</row>
      <rowOff>12700</rowOff>
    </from>
    <to>
      <col>2</col>
      <colOff>1727200</colOff>
      <row>28</row>
      <rowOff>1727200</rowOff>
    </to>
    <pic>
      <nvPicPr>
        <cNvPr id="57" name="Billede 56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231900" y="236061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29</row>
      <rowOff>12700</rowOff>
    </from>
    <to>
      <col>2</col>
      <colOff>1727200</colOff>
      <row>29</row>
      <rowOff>1727200</rowOff>
    </to>
    <pic>
      <nvPicPr>
        <cNvPr id="59" name="Billede 58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231900" y="244729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30</row>
      <rowOff>12700</rowOff>
    </from>
    <to>
      <col>2</col>
      <colOff>1727200</colOff>
      <row>30</row>
      <rowOff>1727200</rowOff>
    </to>
    <pic>
      <nvPicPr>
        <cNvPr id="61" name="Billede 60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231900" y="253396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31</row>
      <rowOff>12700</rowOff>
    </from>
    <to>
      <col>2</col>
      <colOff>1727200</colOff>
      <row>31</row>
      <rowOff>1727200</rowOff>
    </to>
    <pic>
      <nvPicPr>
        <cNvPr id="63" name="Billede 62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231900" y="262064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32</row>
      <rowOff>12700</rowOff>
    </from>
    <to>
      <col>2</col>
      <colOff>1727200</colOff>
      <row>32</row>
      <rowOff>1727200</rowOff>
    </to>
    <pic>
      <nvPicPr>
        <cNvPr id="65" name="Billede 64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231900" y="270732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33</row>
      <rowOff>12700</rowOff>
    </from>
    <to>
      <col>2</col>
      <colOff>1727200</colOff>
      <row>33</row>
      <rowOff>1727200</rowOff>
    </to>
    <pic>
      <nvPicPr>
        <cNvPr id="67" name="Billede 66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231900" y="279400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34</row>
      <rowOff>12700</rowOff>
    </from>
    <to>
      <col>2</col>
      <colOff>1727200</colOff>
      <row>34</row>
      <rowOff>1727200</rowOff>
    </to>
    <pic>
      <nvPicPr>
        <cNvPr id="69" name="Billede 68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231900" y="288067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35</row>
      <rowOff>12700</rowOff>
    </from>
    <to>
      <col>2</col>
      <colOff>1727200</colOff>
      <row>35</row>
      <rowOff>1727200</rowOff>
    </to>
    <pic>
      <nvPicPr>
        <cNvPr id="71" name="Billede 70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231900" y="296735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36</row>
      <rowOff>12700</rowOff>
    </from>
    <to>
      <col>2</col>
      <colOff>1727200</colOff>
      <row>36</row>
      <rowOff>1727200</rowOff>
    </to>
    <pic>
      <nvPicPr>
        <cNvPr id="73" name="Billede 72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231900" y="305403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37</row>
      <rowOff>12700</rowOff>
    </from>
    <to>
      <col>2</col>
      <colOff>1727200</colOff>
      <row>37</row>
      <rowOff>1727200</rowOff>
    </to>
    <pic>
      <nvPicPr>
        <cNvPr id="75" name="Billede 74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231900" y="314071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38</row>
      <rowOff>12700</rowOff>
    </from>
    <to>
      <col>2</col>
      <colOff>1727200</colOff>
      <row>38</row>
      <rowOff>1727200</rowOff>
    </to>
    <pic>
      <nvPicPr>
        <cNvPr id="77" name="Billede 76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231900" y="322738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39</row>
      <rowOff>12700</rowOff>
    </from>
    <to>
      <col>2</col>
      <colOff>1727200</colOff>
      <row>39</row>
      <rowOff>1727200</rowOff>
    </to>
    <pic>
      <nvPicPr>
        <cNvPr id="79" name="Billede 78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231900" y="331406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40</row>
      <rowOff>12700</rowOff>
    </from>
    <to>
      <col>2</col>
      <colOff>1727200</colOff>
      <row>40</row>
      <rowOff>1727200</rowOff>
    </to>
    <pic>
      <nvPicPr>
        <cNvPr id="81" name="Billede 8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231900" y="340074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41</row>
      <rowOff>12700</rowOff>
    </from>
    <to>
      <col>2</col>
      <colOff>1727200</colOff>
      <row>41</row>
      <rowOff>1727200</rowOff>
    </to>
    <pic>
      <nvPicPr>
        <cNvPr id="83" name="Billede 82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231900" y="34874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42</row>
      <rowOff>12700</rowOff>
    </from>
    <to>
      <col>2</col>
      <colOff>1727200</colOff>
      <row>42</row>
      <rowOff>1727200</rowOff>
    </to>
    <pic>
      <nvPicPr>
        <cNvPr id="85" name="Billede 84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231900" y="35740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43</row>
      <rowOff>12700</rowOff>
    </from>
    <to>
      <col>2</col>
      <colOff>1727200</colOff>
      <row>43</row>
      <rowOff>1727200</rowOff>
    </to>
    <pic>
      <nvPicPr>
        <cNvPr id="87" name="Billede 86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231900" y="36607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44</row>
      <rowOff>12700</rowOff>
    </from>
    <to>
      <col>2</col>
      <colOff>1727200</colOff>
      <row>44</row>
      <rowOff>1727200</rowOff>
    </to>
    <pic>
      <nvPicPr>
        <cNvPr id="89" name="Billede 88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231900" y="37474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45</row>
      <rowOff>12700</rowOff>
    </from>
    <to>
      <col>2</col>
      <colOff>1727200</colOff>
      <row>45</row>
      <rowOff>1727200</rowOff>
    </to>
    <pic>
      <nvPicPr>
        <cNvPr id="91" name="Billede 90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231900" y="38341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46</row>
      <rowOff>12700</rowOff>
    </from>
    <to>
      <col>2</col>
      <colOff>1727200</colOff>
      <row>46</row>
      <rowOff>1727200</rowOff>
    </to>
    <pic>
      <nvPicPr>
        <cNvPr id="93" name="Billede 92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231900" y="39208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47</row>
      <rowOff>12700</rowOff>
    </from>
    <to>
      <col>2</col>
      <colOff>1727200</colOff>
      <row>47</row>
      <rowOff>1727200</rowOff>
    </to>
    <pic>
      <nvPicPr>
        <cNvPr id="95" name="Billede 94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231900" y="40074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48</row>
      <rowOff>12700</rowOff>
    </from>
    <to>
      <col>2</col>
      <colOff>1727200</colOff>
      <row>48</row>
      <rowOff>1727200</rowOff>
    </to>
    <pic>
      <nvPicPr>
        <cNvPr id="97" name="Billede 96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1231900" y="40941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49</row>
      <rowOff>12700</rowOff>
    </from>
    <to>
      <col>2</col>
      <colOff>1727200</colOff>
      <row>49</row>
      <rowOff>1727200</rowOff>
    </to>
    <pic>
      <nvPicPr>
        <cNvPr id="99" name="Billede 98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1231900" y="41808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50</row>
      <rowOff>12700</rowOff>
    </from>
    <to>
      <col>2</col>
      <colOff>1727200</colOff>
      <row>50</row>
      <rowOff>1727200</rowOff>
    </to>
    <pic>
      <nvPicPr>
        <cNvPr id="101" name="Billede 100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1231900" y="42675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51</row>
      <rowOff>12700</rowOff>
    </from>
    <to>
      <col>2</col>
      <colOff>1727200</colOff>
      <row>51</row>
      <rowOff>1727200</rowOff>
    </to>
    <pic>
      <nvPicPr>
        <cNvPr id="103" name="Billede 102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1231900" y="43541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52</row>
      <rowOff>12700</rowOff>
    </from>
    <to>
      <col>2</col>
      <colOff>1727200</colOff>
      <row>52</row>
      <rowOff>1727200</rowOff>
    </to>
    <pic>
      <nvPicPr>
        <cNvPr id="105" name="Billede 104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1231900" y="44408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53</row>
      <rowOff>12700</rowOff>
    </from>
    <to>
      <col>2</col>
      <colOff>1727200</colOff>
      <row>53</row>
      <rowOff>1727200</rowOff>
    </to>
    <pic>
      <nvPicPr>
        <cNvPr id="107" name="Billede 106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1231900" y="45275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54</row>
      <rowOff>12700</rowOff>
    </from>
    <to>
      <col>2</col>
      <colOff>1727200</colOff>
      <row>54</row>
      <rowOff>1727200</rowOff>
    </to>
    <pic>
      <nvPicPr>
        <cNvPr id="109" name="Billede 108"/>
        <cNvPicPr>
          <a:picLocks noChangeAspect="1"/>
        </cNvPicPr>
      </nvPicPr>
      <blipFill>
        <a:blip r:embed="rId54"/>
        <a:stretch>
          <a:fillRect/>
        </a:stretch>
      </blipFill>
      <spPr>
        <a:xfrm>
          <a:off x="1231900" y="46142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55</row>
      <rowOff>12700</rowOff>
    </from>
    <to>
      <col>2</col>
      <colOff>1727200</colOff>
      <row>55</row>
      <rowOff>1727200</rowOff>
    </to>
    <pic>
      <nvPicPr>
        <cNvPr id="111" name="Billede 110"/>
        <cNvPicPr>
          <a:picLocks noChangeAspect="1"/>
        </cNvPicPr>
      </nvPicPr>
      <blipFill>
        <a:blip r:embed="rId55"/>
        <a:stretch>
          <a:fillRect/>
        </a:stretch>
      </blipFill>
      <spPr>
        <a:xfrm>
          <a:off x="1231900" y="47009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56</row>
      <rowOff>12700</rowOff>
    </from>
    <to>
      <col>2</col>
      <colOff>1727200</colOff>
      <row>56</row>
      <rowOff>1727200</rowOff>
    </to>
    <pic>
      <nvPicPr>
        <cNvPr id="113" name="Billede 112"/>
        <cNvPicPr>
          <a:picLocks noChangeAspect="1"/>
        </cNvPicPr>
      </nvPicPr>
      <blipFill>
        <a:blip r:embed="rId56"/>
        <a:stretch>
          <a:fillRect/>
        </a:stretch>
      </blipFill>
      <spPr>
        <a:xfrm>
          <a:off x="1231900" y="47875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57</row>
      <rowOff>12700</rowOff>
    </from>
    <to>
      <col>2</col>
      <colOff>1727200</colOff>
      <row>57</row>
      <rowOff>1727200</rowOff>
    </to>
    <pic>
      <nvPicPr>
        <cNvPr id="115" name="Billede 114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1231900" y="48742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58</row>
      <rowOff>12700</rowOff>
    </from>
    <to>
      <col>2</col>
      <colOff>1727200</colOff>
      <row>58</row>
      <rowOff>1727200</rowOff>
    </to>
    <pic>
      <nvPicPr>
        <cNvPr id="117" name="Billede 116"/>
        <cNvPicPr>
          <a:picLocks noChangeAspect="1"/>
        </cNvPicPr>
      </nvPicPr>
      <blipFill>
        <a:blip r:embed="rId58"/>
        <a:stretch>
          <a:fillRect/>
        </a:stretch>
      </blipFill>
      <spPr>
        <a:xfrm>
          <a:off x="1231900" y="49609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59</row>
      <rowOff>12700</rowOff>
    </from>
    <to>
      <col>2</col>
      <colOff>1727200</colOff>
      <row>59</row>
      <rowOff>1727200</rowOff>
    </to>
    <pic>
      <nvPicPr>
        <cNvPr id="119" name="Billede 118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1231900" y="50476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60</row>
      <rowOff>12700</rowOff>
    </from>
    <to>
      <col>2</col>
      <colOff>1727200</colOff>
      <row>60</row>
      <rowOff>1727200</rowOff>
    </to>
    <pic>
      <nvPicPr>
        <cNvPr id="121" name="Billede 120"/>
        <cNvPicPr>
          <a:picLocks noChangeAspect="1"/>
        </cNvPicPr>
      </nvPicPr>
      <blipFill>
        <a:blip r:embed="rId60"/>
        <a:stretch>
          <a:fillRect/>
        </a:stretch>
      </blipFill>
      <spPr>
        <a:xfrm>
          <a:off x="1231900" y="51342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61</row>
      <rowOff>12700</rowOff>
    </from>
    <to>
      <col>2</col>
      <colOff>1727200</colOff>
      <row>61</row>
      <rowOff>1727200</rowOff>
    </to>
    <pic>
      <nvPicPr>
        <cNvPr id="123" name="Billede 122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1231900" y="52209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62</row>
      <rowOff>12700</rowOff>
    </from>
    <to>
      <col>2</col>
      <colOff>1727200</colOff>
      <row>62</row>
      <rowOff>1727200</rowOff>
    </to>
    <pic>
      <nvPicPr>
        <cNvPr id="125" name="Billede 124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1231900" y="53076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63</row>
      <rowOff>12700</rowOff>
    </from>
    <to>
      <col>2</col>
      <colOff>1727200</colOff>
      <row>63</row>
      <rowOff>1727200</rowOff>
    </to>
    <pic>
      <nvPicPr>
        <cNvPr id="127" name="Billede 126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1231900" y="539432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64</row>
      <rowOff>12700</rowOff>
    </from>
    <to>
      <col>2</col>
      <colOff>1727200</colOff>
      <row>64</row>
      <rowOff>1727200</rowOff>
    </to>
    <pic>
      <nvPicPr>
        <cNvPr id="129" name="Billede 128"/>
        <cNvPicPr>
          <a:picLocks noChangeAspect="1"/>
        </cNvPicPr>
      </nvPicPr>
      <blipFill>
        <a:blip r:embed="rId64"/>
        <a:stretch>
          <a:fillRect/>
        </a:stretch>
      </blipFill>
      <spPr>
        <a:xfrm>
          <a:off x="1231900" y="548100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65</row>
      <rowOff>12700</rowOff>
    </from>
    <to>
      <col>2</col>
      <colOff>1727200</colOff>
      <row>65</row>
      <rowOff>1727200</rowOff>
    </to>
    <pic>
      <nvPicPr>
        <cNvPr id="131" name="Billede 130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1231900" y="556768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66</row>
      <rowOff>12700</rowOff>
    </from>
    <to>
      <col>2</col>
      <colOff>1727200</colOff>
      <row>66</row>
      <rowOff>1727200</rowOff>
    </to>
    <pic>
      <nvPicPr>
        <cNvPr id="133" name="Billede 132"/>
        <cNvPicPr>
          <a:picLocks noChangeAspect="1"/>
        </cNvPicPr>
      </nvPicPr>
      <blipFill>
        <a:blip r:embed="rId66"/>
        <a:stretch>
          <a:fillRect/>
        </a:stretch>
      </blipFill>
      <spPr>
        <a:xfrm>
          <a:off x="1231900" y="565435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67</row>
      <rowOff>12700</rowOff>
    </from>
    <to>
      <col>2</col>
      <colOff>1727200</colOff>
      <row>67</row>
      <rowOff>1727200</rowOff>
    </to>
    <pic>
      <nvPicPr>
        <cNvPr id="135" name="Billede 134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1231900" y="574103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68</row>
      <rowOff>12700</rowOff>
    </from>
    <to>
      <col>2</col>
      <colOff>1727200</colOff>
      <row>68</row>
      <rowOff>1727200</rowOff>
    </to>
    <pic>
      <nvPicPr>
        <cNvPr id="137" name="Billede 136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1231900" y="582771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69</row>
      <rowOff>12700</rowOff>
    </from>
    <to>
      <col>2</col>
      <colOff>1727200</colOff>
      <row>69</row>
      <rowOff>1727200</rowOff>
    </to>
    <pic>
      <nvPicPr>
        <cNvPr id="139" name="Billede 138"/>
        <cNvPicPr>
          <a:picLocks noChangeAspect="1"/>
        </cNvPicPr>
      </nvPicPr>
      <blipFill>
        <a:blip r:embed="rId69"/>
        <a:stretch>
          <a:fillRect/>
        </a:stretch>
      </blipFill>
      <spPr>
        <a:xfrm>
          <a:off x="1231900" y="591439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70</row>
      <rowOff>12700</rowOff>
    </from>
    <to>
      <col>2</col>
      <colOff>1727200</colOff>
      <row>70</row>
      <rowOff>1727200</rowOff>
    </to>
    <pic>
      <nvPicPr>
        <cNvPr id="141" name="Billede 140"/>
        <cNvPicPr>
          <a:picLocks noChangeAspect="1"/>
        </cNvPicPr>
      </nvPicPr>
      <blipFill>
        <a:blip r:embed="rId70"/>
        <a:stretch>
          <a:fillRect/>
        </a:stretch>
      </blipFill>
      <spPr>
        <a:xfrm>
          <a:off x="1231900" y="600106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71</row>
      <rowOff>12700</rowOff>
    </from>
    <to>
      <col>2</col>
      <colOff>1727200</colOff>
      <row>71</row>
      <rowOff>1727200</rowOff>
    </to>
    <pic>
      <nvPicPr>
        <cNvPr id="143" name="Billede 142"/>
        <cNvPicPr>
          <a:picLocks noChangeAspect="1"/>
        </cNvPicPr>
      </nvPicPr>
      <blipFill>
        <a:blip r:embed="rId71"/>
        <a:stretch>
          <a:fillRect/>
        </a:stretch>
      </blipFill>
      <spPr>
        <a:xfrm>
          <a:off x="1231900" y="608774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72</row>
      <rowOff>12700</rowOff>
    </from>
    <to>
      <col>2</col>
      <colOff>1727200</colOff>
      <row>72</row>
      <rowOff>1727200</rowOff>
    </to>
    <pic>
      <nvPicPr>
        <cNvPr id="145" name="Billede 144"/>
        <cNvPicPr>
          <a:picLocks noChangeAspect="1"/>
        </cNvPicPr>
      </nvPicPr>
      <blipFill>
        <a:blip r:embed="rId72"/>
        <a:stretch>
          <a:fillRect/>
        </a:stretch>
      </blipFill>
      <spPr>
        <a:xfrm>
          <a:off x="1231900" y="617442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73</row>
      <rowOff>12700</rowOff>
    </from>
    <to>
      <col>2</col>
      <colOff>1727200</colOff>
      <row>73</row>
      <rowOff>1727200</rowOff>
    </to>
    <pic>
      <nvPicPr>
        <cNvPr id="147" name="Billede 146"/>
        <cNvPicPr>
          <a:picLocks noChangeAspect="1"/>
        </cNvPicPr>
      </nvPicPr>
      <blipFill>
        <a:blip r:embed="rId73"/>
        <a:stretch>
          <a:fillRect/>
        </a:stretch>
      </blipFill>
      <spPr>
        <a:xfrm>
          <a:off x="1231900" y="626110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74</row>
      <rowOff>12700</rowOff>
    </from>
    <to>
      <col>2</col>
      <colOff>1727200</colOff>
      <row>74</row>
      <rowOff>1727200</rowOff>
    </to>
    <pic>
      <nvPicPr>
        <cNvPr id="149" name="Billede 148"/>
        <cNvPicPr>
          <a:picLocks noChangeAspect="1"/>
        </cNvPicPr>
      </nvPicPr>
      <blipFill>
        <a:blip r:embed="rId74"/>
        <a:stretch>
          <a:fillRect/>
        </a:stretch>
      </blipFill>
      <spPr>
        <a:xfrm>
          <a:off x="1231900" y="634777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75</row>
      <rowOff>12700</rowOff>
    </from>
    <to>
      <col>2</col>
      <colOff>1727200</colOff>
      <row>75</row>
      <rowOff>1727200</rowOff>
    </to>
    <pic>
      <nvPicPr>
        <cNvPr id="151" name="Billede 150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1231900" y="643445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76</row>
      <rowOff>12700</rowOff>
    </from>
    <to>
      <col>2</col>
      <colOff>1727200</colOff>
      <row>76</row>
      <rowOff>1727200</rowOff>
    </to>
    <pic>
      <nvPicPr>
        <cNvPr id="153" name="Billede 152"/>
        <cNvPicPr>
          <a:picLocks noChangeAspect="1"/>
        </cNvPicPr>
      </nvPicPr>
      <blipFill>
        <a:blip r:embed="rId76"/>
        <a:stretch>
          <a:fillRect/>
        </a:stretch>
      </blipFill>
      <spPr>
        <a:xfrm>
          <a:off x="1231900" y="652113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77</row>
      <rowOff>12700</rowOff>
    </from>
    <to>
      <col>2</col>
      <colOff>1727200</colOff>
      <row>77</row>
      <rowOff>1727200</rowOff>
    </to>
    <pic>
      <nvPicPr>
        <cNvPr id="155" name="Billede 154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1231900" y="660781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78</row>
      <rowOff>12700</rowOff>
    </from>
    <to>
      <col>2</col>
      <colOff>1727200</colOff>
      <row>78</row>
      <rowOff>1727200</rowOff>
    </to>
    <pic>
      <nvPicPr>
        <cNvPr id="157" name="Billede 156"/>
        <cNvPicPr>
          <a:picLocks noChangeAspect="1"/>
        </cNvPicPr>
      </nvPicPr>
      <blipFill>
        <a:blip r:embed="rId78"/>
        <a:stretch>
          <a:fillRect/>
        </a:stretch>
      </blipFill>
      <spPr>
        <a:xfrm>
          <a:off x="1231900" y="66944875"/>
          <a:ext cx="1714500" cy="1714500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1" displayName="Tabel1" ref="A1:K79" headerRowCount="1" totalsRowShown="0">
  <autoFilter ref="A1:K79"/>
  <tableColumns count="11">
    <tableColumn id="1" name="Item" dataDxfId="1"/>
    <tableColumn id="2" name="Part Number" dataDxfId="0"/>
    <tableColumn id="3" name="Thumbnail"/>
    <tableColumn id="4" name="BOM Structure"/>
    <tableColumn id="5" name="Unit QTY"/>
    <tableColumn id="6" name="QTY"/>
    <tableColumn id="7" name="Stock Number"/>
    <tableColumn id="8" name="Description"/>
    <tableColumn id="9" name="Project"/>
    <tableColumn id="10" name="Title"/>
    <tableColumn id="11" name="R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Ark1">
    <outlinePr summaryBelow="1" summaryRight="1"/>
    <pageSetUpPr/>
  </sheetPr>
  <dimension ref="A1:L79"/>
  <sheetViews>
    <sheetView tabSelected="1" workbookViewId="0">
      <selection activeCell="B80" sqref="B80"/>
    </sheetView>
  </sheetViews>
  <sheetFormatPr baseColWidth="8" defaultRowHeight="15" outlineLevelRow="2"/>
  <cols>
    <col width="7.42578125" bestFit="1" customWidth="1" min="1" max="1"/>
    <col width="14.5703125" bestFit="1" customWidth="1" min="2" max="2"/>
    <col width="12.7109375" bestFit="1" customWidth="1" min="3" max="3"/>
    <col width="16.42578125" bestFit="1" customWidth="1" min="4" max="4"/>
    <col width="11.140625" bestFit="1" customWidth="1" min="5" max="5"/>
    <col width="6.85546875" bestFit="1" customWidth="1" min="6" max="6"/>
    <col width="15.85546875" bestFit="1" customWidth="1" min="7" max="7"/>
    <col width="60.42578125" bestFit="1" customWidth="1" min="8" max="8"/>
    <col width="18.7109375" bestFit="1" customWidth="1" min="9" max="9"/>
    <col width="24.140625" bestFit="1" customWidth="1" min="10" max="10"/>
    <col width="6.7109375" bestFit="1" customWidth="1" min="11" max="11"/>
  </cols>
  <sheetData>
    <row r="1">
      <c r="A1" t="inlineStr">
        <is>
          <t>Item</t>
        </is>
      </c>
      <c r="B1" t="inlineStr">
        <is>
          <t>Part Number</t>
        </is>
      </c>
      <c r="C1" t="inlineStr">
        <is>
          <t>Thumbnail</t>
        </is>
      </c>
      <c r="D1" t="inlineStr">
        <is>
          <t>BOM Structure</t>
        </is>
      </c>
      <c r="E1" t="inlineStr">
        <is>
          <t>Unit QTY</t>
        </is>
      </c>
      <c r="F1" t="inlineStr">
        <is>
          <t>QTY</t>
        </is>
      </c>
      <c r="G1" t="inlineStr">
        <is>
          <t>Stock Number</t>
        </is>
      </c>
      <c r="H1" t="inlineStr">
        <is>
          <t>Description</t>
        </is>
      </c>
      <c r="I1" t="inlineStr">
        <is>
          <t>Project</t>
        </is>
      </c>
      <c r="J1" t="inlineStr">
        <is>
          <t>Title</t>
        </is>
      </c>
      <c r="K1" t="inlineStr">
        <is>
          <t>REV</t>
        </is>
      </c>
    </row>
    <row r="2" ht="68.25" customHeight="1">
      <c r="A2" s="1" t="inlineStr">
        <is>
          <t>2</t>
        </is>
      </c>
      <c r="B2" s="1" t="inlineStr">
        <is>
          <t>2205-BGxx1-01</t>
        </is>
      </c>
      <c r="D2" t="inlineStr">
        <is>
          <t>Normal</t>
        </is>
      </c>
      <c r="E2" t="n">
        <v>1</v>
      </c>
      <c r="F2" t="n">
        <v>1</v>
      </c>
      <c r="H2" t="inlineStr">
        <is>
          <t>Gas Pipe 01 - DN250</t>
        </is>
      </c>
      <c r="I2" s="1" t="inlineStr">
        <is>
          <t>2205 - Solrød</t>
        </is>
      </c>
      <c r="J2" t="inlineStr">
        <is>
          <t>Digester Area</t>
        </is>
      </c>
      <c r="K2" t="inlineStr">
        <is>
          <t>-</t>
        </is>
      </c>
      <c r="L2" s="2">
        <f>HYPERLINK("\\192.168.170.18\drawings\5-Projects\2205 - Solrød Biogas\220511 - Solrød ombygning 2019\Area 01 - Digester\Piping\2205-BGxx1-01-- - Gas Pipe 01 - DN250.pdf", "PDF")</f>
        <v/>
      </c>
    </row>
    <row r="3" hidden="1" outlineLevel="1" ht="68.25" customHeight="1">
      <c r="A3" s="1" t="inlineStr">
        <is>
          <t>2.1</t>
        </is>
      </c>
      <c r="B3" s="1" t="inlineStr">
        <is>
          <t>0000-703-301</t>
        </is>
      </c>
      <c r="D3" t="inlineStr">
        <is>
          <t>Normal</t>
        </is>
      </c>
      <c r="E3" t="n">
        <v>1</v>
      </c>
      <c r="F3" t="n">
        <v>1</v>
      </c>
      <c r="H3" t="inlineStr">
        <is>
          <t>Pipe - DN-Ø273x2,0 L=31891 mm</t>
        </is>
      </c>
      <c r="K3" t="inlineStr">
        <is>
          <t>-</t>
        </is>
      </c>
    </row>
    <row r="4" hidden="1" outlineLevel="1" ht="68.25" customHeight="1">
      <c r="A4" s="1" t="inlineStr">
        <is>
          <t>2.2</t>
        </is>
      </c>
      <c r="B4" s="1" t="inlineStr">
        <is>
          <t>0000-703-010</t>
        </is>
      </c>
      <c r="D4" t="inlineStr">
        <is>
          <t>Normal</t>
        </is>
      </c>
      <c r="E4" t="n">
        <v>1</v>
      </c>
      <c r="F4" t="n">
        <v>19</v>
      </c>
      <c r="H4" t="inlineStr">
        <is>
          <t>Collar - DN250 PN10 - EN 1092-1 Typ 37</t>
        </is>
      </c>
    </row>
    <row r="5" hidden="1" outlineLevel="1" ht="68.25" customHeight="1">
      <c r="A5" s="1" t="inlineStr">
        <is>
          <t>2.3</t>
        </is>
      </c>
      <c r="B5" s="1" t="inlineStr">
        <is>
          <t>0000-703-020</t>
        </is>
      </c>
      <c r="D5" t="inlineStr">
        <is>
          <t>Normal</t>
        </is>
      </c>
      <c r="E5" t="n">
        <v>1</v>
      </c>
      <c r="F5" t="n">
        <v>19</v>
      </c>
      <c r="H5" t="inlineStr">
        <is>
          <t>Pressed Flanges - DN250 PN10 - EN 1092-1 Typ 02</t>
        </is>
      </c>
    </row>
    <row r="6" hidden="1" outlineLevel="1" ht="68.25" customHeight="1">
      <c r="A6" s="1" t="inlineStr">
        <is>
          <t>2.4</t>
        </is>
      </c>
      <c r="B6" s="1" t="inlineStr">
        <is>
          <t>0000-703-030</t>
        </is>
      </c>
      <c r="D6" t="inlineStr">
        <is>
          <t>Normal</t>
        </is>
      </c>
      <c r="E6" t="n">
        <v>1</v>
      </c>
      <c r="F6" t="n">
        <v>2</v>
      </c>
      <c r="H6" t="inlineStr">
        <is>
          <t>Elbow 90° DN250 Ø273x3 - Type 3 - r=381 - DIN2605 - SS 1.4301</t>
        </is>
      </c>
      <c r="K6" t="inlineStr">
        <is>
          <t>-</t>
        </is>
      </c>
    </row>
    <row r="7" hidden="1" outlineLevel="1" ht="68.25" customHeight="1">
      <c r="A7" s="1" t="inlineStr">
        <is>
          <t>2.5</t>
        </is>
      </c>
      <c r="B7" s="1" t="inlineStr">
        <is>
          <t>0000-702-001</t>
        </is>
      </c>
      <c r="D7" t="inlineStr">
        <is>
          <t>Normal</t>
        </is>
      </c>
      <c r="E7" t="n">
        <v>1</v>
      </c>
      <c r="F7" t="n">
        <v>1</v>
      </c>
      <c r="H7" t="inlineStr">
        <is>
          <t>Flowtransmitter - GD300_HB300 - DN250 - Esters</t>
        </is>
      </c>
      <c r="K7" t="inlineStr">
        <is>
          <t>-</t>
        </is>
      </c>
    </row>
    <row r="8" hidden="1" outlineLevel="1" ht="68.25" customHeight="1">
      <c r="A8" s="1" t="inlineStr">
        <is>
          <t>2.6</t>
        </is>
      </c>
      <c r="B8" s="1" t="inlineStr">
        <is>
          <t>0000-701-062</t>
        </is>
      </c>
      <c r="D8" t="inlineStr">
        <is>
          <t>Normal</t>
        </is>
      </c>
      <c r="E8" t="n">
        <v>1</v>
      </c>
      <c r="F8" t="n">
        <v>2</v>
      </c>
      <c r="H8" t="inlineStr">
        <is>
          <t>Butterfly Valve Lug - DN250 PN16 - Z014-A</t>
        </is>
      </c>
      <c r="K8" t="inlineStr">
        <is>
          <t>-</t>
        </is>
      </c>
    </row>
    <row r="9" hidden="1" outlineLevel="1" ht="68.25" customHeight="1">
      <c r="A9" s="1" t="inlineStr">
        <is>
          <t>2.7</t>
        </is>
      </c>
      <c r="B9" s="1" t="inlineStr">
        <is>
          <t>0000-703-040</t>
        </is>
      </c>
      <c r="D9" t="inlineStr">
        <is>
          <t>Purchased</t>
        </is>
      </c>
      <c r="E9" t="n">
        <v>1</v>
      </c>
      <c r="F9" t="n">
        <v>1</v>
      </c>
      <c r="H9" t="inlineStr">
        <is>
          <t>Tee Equal - DN250 Ø273x2,6 - EN10523-4 - 1.4571</t>
        </is>
      </c>
    </row>
    <row r="10" hidden="1" outlineLevel="1" ht="68.25" customHeight="1">
      <c r="A10" s="1" t="inlineStr">
        <is>
          <t>2.8</t>
        </is>
      </c>
      <c r="B10" s="1" t="inlineStr">
        <is>
          <t>0000-703-022</t>
        </is>
      </c>
      <c r="D10" t="inlineStr">
        <is>
          <t>Purchased</t>
        </is>
      </c>
      <c r="E10" t="n">
        <v>1</v>
      </c>
      <c r="F10" t="n">
        <v>1</v>
      </c>
      <c r="H10" t="inlineStr">
        <is>
          <t>Flange - DN250_PN10 - DIN 2527 - 1.4571</t>
        </is>
      </c>
    </row>
    <row r="11" hidden="1" outlineLevel="1" ht="68.25" customHeight="1">
      <c r="A11" s="1" t="inlineStr">
        <is>
          <t>2.9</t>
        </is>
      </c>
      <c r="B11" s="1" t="inlineStr">
        <is>
          <t>0000-342-285</t>
        </is>
      </c>
      <c r="D11" t="inlineStr">
        <is>
          <t>Normal</t>
        </is>
      </c>
      <c r="E11" t="n">
        <v>1</v>
      </c>
      <c r="F11" t="n">
        <v>4</v>
      </c>
      <c r="H11" t="inlineStr">
        <is>
          <t>Top mounting-Pipe Holder DN250-Ø273</t>
        </is>
      </c>
      <c r="K11" t="inlineStr">
        <is>
          <t>-</t>
        </is>
      </c>
      <c r="L11" s="2">
        <f>HYPERLINK("\\192.168.170.18\drawings\2-Basic Components\0000-342 - Pipe Holders\0000-342-285-- - Top mounting-Pipe Holder DN250-Ø273.pdf", "PDF")</f>
        <v/>
      </c>
    </row>
    <row r="12" hidden="1" outlineLevel="1" ht="68.25" customHeight="1">
      <c r="A12" s="1" t="inlineStr">
        <is>
          <t>2.10</t>
        </is>
      </c>
      <c r="B12" s="1" t="inlineStr">
        <is>
          <t>0000-342-031</t>
        </is>
      </c>
      <c r="D12" t="inlineStr">
        <is>
          <t>Normal</t>
        </is>
      </c>
      <c r="E12" t="n">
        <v>1</v>
      </c>
      <c r="F12" t="n">
        <v>7</v>
      </c>
      <c r="H12" t="inlineStr">
        <is>
          <t>Pipe Holder DN250-Ø273</t>
        </is>
      </c>
      <c r="I12" t="inlineStr">
        <is>
          <t>Bigadan Basic</t>
        </is>
      </c>
    </row>
    <row r="13" hidden="1" outlineLevel="1" ht="68.25" customHeight="1">
      <c r="A13" s="1" t="inlineStr">
        <is>
          <t>2.11</t>
        </is>
      </c>
      <c r="B13" s="1" t="inlineStr">
        <is>
          <t>0000-703-030</t>
        </is>
      </c>
      <c r="D13" t="inlineStr">
        <is>
          <t>Normal</t>
        </is>
      </c>
      <c r="E13" t="n">
        <v>1</v>
      </c>
      <c r="F13" t="n">
        <v>4</v>
      </c>
      <c r="H13" t="inlineStr">
        <is>
          <t>Elbow 45° DN250 - Type 3 - r=381 - DIN2605</t>
        </is>
      </c>
    </row>
    <row r="14" collapsed="1" ht="68.25" customHeight="1">
      <c r="A14" s="1" t="inlineStr">
        <is>
          <t>3</t>
        </is>
      </c>
      <c r="B14" s="1" t="inlineStr">
        <is>
          <t>2205-BMxx1-01</t>
        </is>
      </c>
      <c r="D14" t="inlineStr">
        <is>
          <t>Normal</t>
        </is>
      </c>
      <c r="E14" t="n">
        <v>1</v>
      </c>
      <c r="F14" t="n">
        <v>1</v>
      </c>
      <c r="H14" t="inlineStr">
        <is>
          <t>Recirculation Pipe - Inlet - DN100</t>
        </is>
      </c>
      <c r="I14" s="1" t="inlineStr">
        <is>
          <t>2205 - Solrød</t>
        </is>
      </c>
      <c r="J14" t="inlineStr">
        <is>
          <t>Digester Area</t>
        </is>
      </c>
      <c r="L14" s="2">
        <f>HYPERLINK("\\192.168.170.18\drawings\5-Projects\2205 - Solrød Biogas\220511 - Solrød ombygning 2019\Area 01 - Digester\Piping\2205-BMxx1-01-A - Recirculation Pipe - Inlet - DN100.pdf", "PDF")</f>
        <v/>
      </c>
    </row>
    <row r="15" hidden="1" outlineLevel="1" ht="68.25" customHeight="1">
      <c r="A15" s="1" t="inlineStr">
        <is>
          <t>3.1</t>
        </is>
      </c>
      <c r="B15" s="1" t="inlineStr">
        <is>
          <t>0000-703-001</t>
        </is>
      </c>
      <c r="D15" t="inlineStr">
        <is>
          <t>Normal</t>
        </is>
      </c>
      <c r="E15" t="n">
        <v>1</v>
      </c>
      <c r="F15" t="n">
        <v>1</v>
      </c>
      <c r="H15" t="inlineStr">
        <is>
          <t>Pipe - Ø114,3x2,6xL4524 mm - EN10217-7</t>
        </is>
      </c>
    </row>
    <row r="16" hidden="1" outlineLevel="1" ht="68.25" customHeight="1">
      <c r="A16" s="1" t="inlineStr">
        <is>
          <t>3.2</t>
        </is>
      </c>
      <c r="B16" s="1" t="inlineStr">
        <is>
          <t>0000-703-010</t>
        </is>
      </c>
      <c r="D16" t="inlineStr">
        <is>
          <t>Normal</t>
        </is>
      </c>
      <c r="E16" t="n">
        <v>1</v>
      </c>
      <c r="F16" t="n">
        <v>2</v>
      </c>
      <c r="H16" t="inlineStr">
        <is>
          <t>Collar - DN100 PN10 - EN 1092-1 Typ 37</t>
        </is>
      </c>
    </row>
    <row r="17" hidden="1" outlineLevel="1" ht="68.25" customHeight="1">
      <c r="A17" s="1" t="inlineStr">
        <is>
          <t>3.3</t>
        </is>
      </c>
      <c r="B17" s="1" t="inlineStr">
        <is>
          <t>0000-703-020</t>
        </is>
      </c>
      <c r="D17" t="inlineStr">
        <is>
          <t>Normal</t>
        </is>
      </c>
      <c r="E17" t="n">
        <v>1</v>
      </c>
      <c r="F17" t="n">
        <v>2</v>
      </c>
      <c r="H17" t="inlineStr">
        <is>
          <t>Pressed Flange - DN100 PN10/16 - EN 1092-1 Typ 02</t>
        </is>
      </c>
    </row>
    <row r="18" hidden="1" outlineLevel="1" ht="68.25" customHeight="1">
      <c r="A18" s="1" t="inlineStr">
        <is>
          <t>3.4</t>
        </is>
      </c>
      <c r="B18" s="1" t="inlineStr">
        <is>
          <t>0000-703-030</t>
        </is>
      </c>
      <c r="D18" t="inlineStr">
        <is>
          <t>Normal</t>
        </is>
      </c>
      <c r="E18" t="n">
        <v>1</v>
      </c>
      <c r="F18" t="n">
        <v>2</v>
      </c>
      <c r="H18" t="inlineStr">
        <is>
          <t>Elbow 45° DN100 Ø114,3x2,6 - Type 3 - r=152 - DIN2605</t>
        </is>
      </c>
    </row>
    <row r="19" hidden="1" outlineLevel="1" ht="68.25" customHeight="1">
      <c r="A19" s="1" t="inlineStr">
        <is>
          <t>3.5</t>
        </is>
      </c>
      <c r="B19" s="1" t="inlineStr">
        <is>
          <t>0000-701-051</t>
        </is>
      </c>
      <c r="D19" t="inlineStr">
        <is>
          <t>Normal</t>
        </is>
      </c>
      <c r="E19" t="n">
        <v>1</v>
      </c>
      <c r="F19" t="n">
        <v>1</v>
      </c>
      <c r="H19" t="inlineStr">
        <is>
          <t>Ball valve Manual with indicator - DN100 - Pekos 02 TTT/PI</t>
        </is>
      </c>
    </row>
    <row r="20" hidden="1" outlineLevel="1" ht="68.25" customHeight="1">
      <c r="A20" s="1" t="inlineStr">
        <is>
          <t>3.6</t>
        </is>
      </c>
      <c r="B20" s="1" t="inlineStr">
        <is>
          <t>0000-701-052</t>
        </is>
      </c>
      <c r="D20" t="inlineStr">
        <is>
          <t>Normal</t>
        </is>
      </c>
      <c r="E20" t="n">
        <v>1</v>
      </c>
      <c r="F20" t="n">
        <v>1</v>
      </c>
      <c r="H20" t="inlineStr">
        <is>
          <t>Ball Valve - DN100 Automatic - PEKOS 02 TTT / RC200-DA / PI</t>
        </is>
      </c>
    </row>
    <row r="21" hidden="1" outlineLevel="1" ht="68.25" customHeight="1">
      <c r="A21" s="1" t="inlineStr">
        <is>
          <t>3.7</t>
        </is>
      </c>
      <c r="B21" s="1" t="inlineStr">
        <is>
          <t>0000-703-022</t>
        </is>
      </c>
      <c r="D21" t="inlineStr">
        <is>
          <t>Purchased</t>
        </is>
      </c>
      <c r="E21" t="n">
        <v>1</v>
      </c>
      <c r="F21" t="n">
        <v>1</v>
      </c>
      <c r="H21" t="inlineStr">
        <is>
          <t>Flange - DN100_PN10 - DIN 2527</t>
        </is>
      </c>
    </row>
    <row r="22" hidden="1" outlineLevel="1" ht="68.25" customHeight="1">
      <c r="A22" s="1" t="inlineStr">
        <is>
          <t>3.8</t>
        </is>
      </c>
      <c r="B22" s="1" t="inlineStr">
        <is>
          <t>0000-703-060</t>
        </is>
      </c>
      <c r="D22" t="inlineStr">
        <is>
          <t>Normal</t>
        </is>
      </c>
      <c r="E22" t="n">
        <v>1</v>
      </c>
      <c r="F22" t="n">
        <v>1</v>
      </c>
      <c r="H22" t="inlineStr">
        <is>
          <t>Welding Nipple - G2_DN50xL100 - EN10241 - 1.4571</t>
        </is>
      </c>
    </row>
    <row r="23" hidden="1" outlineLevel="1" ht="68.25" customHeight="1">
      <c r="A23" s="1" t="inlineStr">
        <is>
          <t>3.9</t>
        </is>
      </c>
      <c r="B23" s="1" t="inlineStr">
        <is>
          <t>0000-703-062</t>
        </is>
      </c>
      <c r="D23" t="inlineStr">
        <is>
          <t>Normal</t>
        </is>
      </c>
      <c r="E23" t="n">
        <v>1</v>
      </c>
      <c r="F23" t="n">
        <v>1</v>
      </c>
      <c r="H23" t="inlineStr">
        <is>
          <t>Hexagon Cap - 2``</t>
        </is>
      </c>
      <c r="I23" s="1" t="inlineStr">
        <is>
          <t>0000 - Bigadan Basic</t>
        </is>
      </c>
      <c r="K23" t="inlineStr">
        <is>
          <t>-</t>
        </is>
      </c>
    </row>
    <row r="24" hidden="1" outlineLevel="1" ht="68.25" customHeight="1">
      <c r="A24" s="1" t="inlineStr">
        <is>
          <t>3.10</t>
        </is>
      </c>
      <c r="B24" s="1" t="inlineStr">
        <is>
          <t>0000-342-028</t>
        </is>
      </c>
      <c r="D24" t="inlineStr">
        <is>
          <t>Normal</t>
        </is>
      </c>
      <c r="E24" t="n">
        <v>1</v>
      </c>
      <c r="F24" t="n">
        <v>2</v>
      </c>
      <c r="H24" t="inlineStr">
        <is>
          <t>Pipe Holder DN100-Ø114,3</t>
        </is>
      </c>
      <c r="I24" t="inlineStr">
        <is>
          <t>Bigadan Basic</t>
        </is>
      </c>
    </row>
    <row r="25" hidden="1" outlineLevel="1" ht="68.25" customHeight="1">
      <c r="A25" s="1" t="inlineStr">
        <is>
          <t>3.11</t>
        </is>
      </c>
      <c r="B25" s="1" t="inlineStr">
        <is>
          <t>0000-324-103</t>
        </is>
      </c>
      <c r="D25" t="inlineStr">
        <is>
          <t>Normal</t>
        </is>
      </c>
      <c r="E25" t="n">
        <v>1</v>
      </c>
      <c r="F25" t="n">
        <v>1</v>
      </c>
      <c r="H25" t="inlineStr">
        <is>
          <t>Tee Equal Connection Short - DN100</t>
        </is>
      </c>
      <c r="I25" t="inlineStr">
        <is>
          <t>Bigadan Basic</t>
        </is>
      </c>
      <c r="J25" t="inlineStr">
        <is>
          <t>Biomass Connection</t>
        </is>
      </c>
      <c r="L25" s="2">
        <f>HYPERLINK("\\192.168.170.18\drawings\2-Basic Components\0000-324 - Tee Connection\0000-324-103-- - Tee Equal Connection Short - DN100.pdf", "PDF")</f>
        <v/>
      </c>
    </row>
    <row r="26" collapsed="1" ht="68.25" customHeight="1">
      <c r="A26" s="1" t="inlineStr">
        <is>
          <t>4</t>
        </is>
      </c>
      <c r="B26" s="1" t="inlineStr">
        <is>
          <t>2205-BMxx2-01</t>
        </is>
      </c>
      <c r="D26" t="inlineStr">
        <is>
          <t>Normal</t>
        </is>
      </c>
      <c r="E26" t="n">
        <v>1</v>
      </c>
      <c r="F26" t="n">
        <v>1</v>
      </c>
      <c r="H26" t="inlineStr">
        <is>
          <t>DN100 - Outlet</t>
        </is>
      </c>
      <c r="I26" s="1" t="inlineStr">
        <is>
          <t>2205 - Solrød</t>
        </is>
      </c>
      <c r="J26" t="inlineStr">
        <is>
          <t>Digester Area</t>
        </is>
      </c>
      <c r="K26" t="inlineStr">
        <is>
          <t>-</t>
        </is>
      </c>
      <c r="L26" s="2">
        <f>HYPERLINK("\\192.168.170.18\drawings\5-Projects\2205 - Solrød Biogas\220511 - Solrød ombygning 2019\Area 01 - Digester\Piping\2205-BMxx2-01-A - DN100 - Outlet.pdf", "PDF")</f>
        <v/>
      </c>
    </row>
    <row r="27" hidden="1" outlineLevel="1" ht="68.25" customHeight="1">
      <c r="A27" s="1" t="inlineStr">
        <is>
          <t>4.1</t>
        </is>
      </c>
      <c r="B27" s="1" t="inlineStr">
        <is>
          <t>0000-703-010</t>
        </is>
      </c>
      <c r="D27" t="inlineStr">
        <is>
          <t>Normal</t>
        </is>
      </c>
      <c r="E27" t="n">
        <v>1</v>
      </c>
      <c r="F27" t="n">
        <v>4</v>
      </c>
      <c r="H27" t="inlineStr">
        <is>
          <t>Collar - DN100 PN10 - EN 1092-1 Typ 37</t>
        </is>
      </c>
    </row>
    <row r="28" hidden="1" outlineLevel="1" ht="68.25" customHeight="1">
      <c r="A28" s="1" t="inlineStr">
        <is>
          <t>4.2</t>
        </is>
      </c>
      <c r="B28" s="1" t="inlineStr">
        <is>
          <t>0000-703-020</t>
        </is>
      </c>
      <c r="D28" t="inlineStr">
        <is>
          <t>Normal</t>
        </is>
      </c>
      <c r="E28" t="n">
        <v>1</v>
      </c>
      <c r="F28" t="n">
        <v>4</v>
      </c>
      <c r="H28" t="inlineStr">
        <is>
          <t>Pressed Flange - DN100 PN10/16 - EN 1092-1 Typ 02</t>
        </is>
      </c>
    </row>
    <row r="29" hidden="1" outlineLevel="1" ht="68.25" customHeight="1">
      <c r="A29" s="1" t="inlineStr">
        <is>
          <t>4.3</t>
        </is>
      </c>
      <c r="B29" s="1" t="inlineStr">
        <is>
          <t>0000-703-001</t>
        </is>
      </c>
      <c r="D29" t="inlineStr">
        <is>
          <t>Normal</t>
        </is>
      </c>
      <c r="E29" t="n">
        <v>1</v>
      </c>
      <c r="F29" t="n">
        <v>1</v>
      </c>
      <c r="H29" t="inlineStr">
        <is>
          <t>Pipe - DN-Ø114,3x2,6 L=900 - EN10217-7</t>
        </is>
      </c>
      <c r="J29" t="inlineStr">
        <is>
          <t>Digester</t>
        </is>
      </c>
      <c r="K29" t="inlineStr">
        <is>
          <t>-</t>
        </is>
      </c>
    </row>
    <row r="30" hidden="1" outlineLevel="1" ht="68.25" customHeight="1">
      <c r="A30" s="1" t="inlineStr">
        <is>
          <t>4.4</t>
        </is>
      </c>
      <c r="B30" s="1" t="inlineStr">
        <is>
          <t>0000-703-030</t>
        </is>
      </c>
      <c r="D30" t="inlineStr">
        <is>
          <t>Normal</t>
        </is>
      </c>
      <c r="E30" t="n">
        <v>1</v>
      </c>
      <c r="F30" t="n">
        <v>1</v>
      </c>
      <c r="H30" t="inlineStr">
        <is>
          <t>Elbow 90° DN100 Ø114,3x2,6 - Type 3 - r=152 - DIN2605</t>
        </is>
      </c>
    </row>
    <row r="31" hidden="1" outlineLevel="1" ht="68.25" customHeight="1">
      <c r="A31" s="1" t="inlineStr">
        <is>
          <t>4.5</t>
        </is>
      </c>
      <c r="B31" s="1" t="inlineStr">
        <is>
          <t>0000-701-001</t>
        </is>
      </c>
      <c r="D31" t="inlineStr">
        <is>
          <t>Normal</t>
        </is>
      </c>
      <c r="E31" t="n">
        <v>1</v>
      </c>
      <c r="F31" t="n">
        <v>1</v>
      </c>
      <c r="H31" t="inlineStr">
        <is>
          <t>Ball valve - DN50 - manual - Valtor V-106</t>
        </is>
      </c>
    </row>
    <row r="32" hidden="1" outlineLevel="1" ht="68.25" customHeight="1">
      <c r="A32" s="1" t="inlineStr">
        <is>
          <t>4.6</t>
        </is>
      </c>
      <c r="B32" s="1" t="inlineStr">
        <is>
          <t>0000-701-052</t>
        </is>
      </c>
      <c r="D32" t="inlineStr">
        <is>
          <t>Normal</t>
        </is>
      </c>
      <c r="E32" t="n">
        <v>1</v>
      </c>
      <c r="F32" t="n">
        <v>1</v>
      </c>
      <c r="H32" t="inlineStr">
        <is>
          <t>Ball Valve - DN100 Automatic - PEKOS 02 TTT / RC200-DA / PI</t>
        </is>
      </c>
    </row>
    <row r="33" hidden="1" outlineLevel="1" ht="68.25" customHeight="1">
      <c r="A33" s="1" t="inlineStr">
        <is>
          <t>4.7</t>
        </is>
      </c>
      <c r="B33" s="1" t="inlineStr">
        <is>
          <t>0000-703-022</t>
        </is>
      </c>
      <c r="D33" t="inlineStr">
        <is>
          <t>Purchased</t>
        </is>
      </c>
      <c r="E33" t="n">
        <v>1</v>
      </c>
      <c r="F33" t="n">
        <v>1</v>
      </c>
      <c r="H33" t="inlineStr">
        <is>
          <t>Flange - DN100_PN10 - DIN 2527</t>
        </is>
      </c>
    </row>
    <row r="34" hidden="1" outlineLevel="1" ht="68.25" customHeight="1">
      <c r="A34" s="1" t="inlineStr">
        <is>
          <t>4.8</t>
        </is>
      </c>
      <c r="B34" s="1" t="inlineStr">
        <is>
          <t>0000-701-051</t>
        </is>
      </c>
      <c r="D34" t="inlineStr">
        <is>
          <t>Normal</t>
        </is>
      </c>
      <c r="E34" t="n">
        <v>1</v>
      </c>
      <c r="F34" t="n">
        <v>1</v>
      </c>
      <c r="H34" t="inlineStr">
        <is>
          <t>Ball valve Manual with indicator - DN100 - Pekos 02 TTT/PI</t>
        </is>
      </c>
    </row>
    <row r="35" hidden="1" outlineLevel="1" ht="68.25" customHeight="1">
      <c r="A35" s="1" t="inlineStr">
        <is>
          <t>4.9</t>
        </is>
      </c>
      <c r="B35" s="1" t="inlineStr">
        <is>
          <t>0000-702-002</t>
        </is>
      </c>
      <c r="D35" t="inlineStr">
        <is>
          <t>Normal</t>
        </is>
      </c>
      <c r="E35" t="n">
        <v>1</v>
      </c>
      <c r="F35" t="n">
        <v>1</v>
      </c>
      <c r="H35" t="inlineStr">
        <is>
          <t>Flowtransmitter - DN100 - F M MAG 3100 - Siemens</t>
        </is>
      </c>
    </row>
    <row r="36" hidden="1" outlineLevel="1" ht="68.25" customHeight="1">
      <c r="A36" s="1" t="inlineStr">
        <is>
          <t>4.10</t>
        </is>
      </c>
      <c r="B36" s="1" t="inlineStr">
        <is>
          <t>0000-703-060</t>
        </is>
      </c>
      <c r="D36" t="inlineStr">
        <is>
          <t>Normal</t>
        </is>
      </c>
      <c r="E36" t="n">
        <v>1</v>
      </c>
      <c r="F36" t="n">
        <v>2</v>
      </c>
      <c r="H36" t="inlineStr">
        <is>
          <t>Welding Nipple - G2_DN50xL100 - EN10241 - 1.4571</t>
        </is>
      </c>
    </row>
    <row r="37" hidden="1" outlineLevel="1" ht="68.25" customHeight="1">
      <c r="A37" s="1" t="inlineStr">
        <is>
          <t>4.11</t>
        </is>
      </c>
      <c r="B37" s="1" t="inlineStr">
        <is>
          <t>0000-703-062</t>
        </is>
      </c>
      <c r="D37" t="inlineStr">
        <is>
          <t>Normal</t>
        </is>
      </c>
      <c r="E37" t="n">
        <v>1</v>
      </c>
      <c r="F37" t="n">
        <v>1</v>
      </c>
      <c r="H37" t="inlineStr">
        <is>
          <t>Hexagon Cap - 2``</t>
        </is>
      </c>
      <c r="I37" s="1" t="inlineStr">
        <is>
          <t>0000 - Bigadan Basic</t>
        </is>
      </c>
      <c r="K37" t="inlineStr">
        <is>
          <t>-</t>
        </is>
      </c>
    </row>
    <row r="38" hidden="1" outlineLevel="1" ht="68.25" customHeight="1">
      <c r="A38" s="1" t="inlineStr">
        <is>
          <t>4.13</t>
        </is>
      </c>
      <c r="B38" s="1" t="inlineStr">
        <is>
          <t>0000-342-027</t>
        </is>
      </c>
      <c r="D38" t="inlineStr">
        <is>
          <t>Normal</t>
        </is>
      </c>
      <c r="E38" t="n">
        <v>1</v>
      </c>
      <c r="F38" t="n">
        <v>1</v>
      </c>
      <c r="H38" t="inlineStr">
        <is>
          <t>Pipe Holder DN100-Ø114</t>
        </is>
      </c>
      <c r="I38" t="inlineStr">
        <is>
          <t>Bigadan Basic</t>
        </is>
      </c>
    </row>
    <row r="39" hidden="1" outlineLevel="1" ht="68.25" customHeight="1">
      <c r="A39" s="1" t="inlineStr">
        <is>
          <t>4.14</t>
        </is>
      </c>
      <c r="B39" s="1" t="inlineStr">
        <is>
          <t>0000-324-103</t>
        </is>
      </c>
      <c r="D39" t="inlineStr">
        <is>
          <t>Normal</t>
        </is>
      </c>
      <c r="E39" t="n">
        <v>1</v>
      </c>
      <c r="F39" t="n">
        <v>1</v>
      </c>
      <c r="H39" t="inlineStr">
        <is>
          <t>Tee Equal Connection Short - DN100</t>
        </is>
      </c>
      <c r="I39" t="inlineStr">
        <is>
          <t>Bigadan Basic</t>
        </is>
      </c>
      <c r="J39" t="inlineStr">
        <is>
          <t>Biomass Connection</t>
        </is>
      </c>
      <c r="L39" s="2">
        <f>HYPERLINK("\\192.168.170.18\drawings\2-Basic Components\0000-324 - Tee Connection\0000-324-103-- - Tee Equal Connection Short - DN100.pdf", "PDF")</f>
        <v/>
      </c>
    </row>
    <row r="40" hidden="1" outlineLevel="1" ht="68.25" customHeight="1">
      <c r="A40" s="1" t="inlineStr">
        <is>
          <t>4.12</t>
        </is>
      </c>
      <c r="B40" s="1" t="inlineStr">
        <is>
          <t>0000-342-022</t>
        </is>
      </c>
      <c r="D40" t="inlineStr">
        <is>
          <t>Normal</t>
        </is>
      </c>
      <c r="E40" t="n">
        <v>1</v>
      </c>
      <c r="F40" t="n">
        <v>1</v>
      </c>
      <c r="H40" t="inlineStr">
        <is>
          <t>Pipe holder foot L=400</t>
        </is>
      </c>
      <c r="I40" t="inlineStr">
        <is>
          <t>Bigadan Basic</t>
        </is>
      </c>
      <c r="L40" s="2">
        <f>HYPERLINK("\\192.168.170.18\drawings\2-Basic Components\0000-342 - Pipe Holders\0000-342-022-- - Pipe holder foot L=400.pdf", "PDF")</f>
        <v/>
      </c>
    </row>
    <row r="41" collapsed="1" ht="68.25" customHeight="1">
      <c r="A41" s="1" t="inlineStr">
        <is>
          <t>5</t>
        </is>
      </c>
      <c r="B41" s="1" t="inlineStr">
        <is>
          <t>2205-BMxx3-01</t>
        </is>
      </c>
      <c r="D41" t="inlineStr">
        <is>
          <t>Normal</t>
        </is>
      </c>
      <c r="E41" t="n">
        <v>1</v>
      </c>
      <c r="F41" t="n">
        <v>1</v>
      </c>
      <c r="H41" t="inlineStr">
        <is>
          <t>DN150 - Inlet</t>
        </is>
      </c>
      <c r="I41" s="1" t="inlineStr">
        <is>
          <t>2205 - Solrød</t>
        </is>
      </c>
      <c r="J41" t="inlineStr">
        <is>
          <t>Digester Area</t>
        </is>
      </c>
      <c r="K41" t="inlineStr">
        <is>
          <t>-</t>
        </is>
      </c>
      <c r="L41" s="2">
        <f>HYPERLINK("\\192.168.170.18\drawings\5-Projects\2205 - Solrød Biogas\220511 - Solrød ombygning 2019\Area 01 - Digester\Piping\2205-BMxx3-01-A - DN150 - Inlet.pdf", "PDF")</f>
        <v/>
      </c>
    </row>
    <row r="42" hidden="1" outlineLevel="1" ht="68.25" customHeight="1">
      <c r="A42" s="1" t="inlineStr">
        <is>
          <t>5.1</t>
        </is>
      </c>
      <c r="B42" s="1" t="inlineStr">
        <is>
          <t>0000-703-001</t>
        </is>
      </c>
      <c r="D42" t="inlineStr">
        <is>
          <t>Normal</t>
        </is>
      </c>
      <c r="E42" t="n">
        <v>1</v>
      </c>
      <c r="F42" t="n">
        <v>1</v>
      </c>
      <c r="H42" t="inlineStr">
        <is>
          <t>Pipe - DN-Ø168,3x2,6 L=3948 mm - EN10217-7</t>
        </is>
      </c>
    </row>
    <row r="43" hidden="1" outlineLevel="1" ht="68.25" customHeight="1">
      <c r="A43" s="1" t="inlineStr">
        <is>
          <t>5.2</t>
        </is>
      </c>
      <c r="B43" s="1" t="inlineStr">
        <is>
          <t>0000-703-010</t>
        </is>
      </c>
      <c r="D43" t="inlineStr">
        <is>
          <t>Normal</t>
        </is>
      </c>
      <c r="E43" t="n">
        <v>1</v>
      </c>
      <c r="F43" t="n">
        <v>2</v>
      </c>
      <c r="H43" t="inlineStr">
        <is>
          <t>Collar - DN150 PN10 - EN 1092-1 Typ 37</t>
        </is>
      </c>
    </row>
    <row r="44" hidden="1" outlineLevel="1" ht="68.25" customHeight="1">
      <c r="A44" s="1" t="inlineStr">
        <is>
          <t>5.3</t>
        </is>
      </c>
      <c r="B44" s="1" t="inlineStr">
        <is>
          <t>0000-703-020</t>
        </is>
      </c>
      <c r="D44" t="inlineStr">
        <is>
          <t>Normal</t>
        </is>
      </c>
      <c r="E44" t="n">
        <v>1</v>
      </c>
      <c r="F44" t="n">
        <v>2</v>
      </c>
      <c r="H44" t="inlineStr">
        <is>
          <t>Pressed Flange - DN150 PN10 - EN 1092-1 Typ 02</t>
        </is>
      </c>
    </row>
    <row r="45" hidden="1" outlineLevel="1" ht="68.25" customHeight="1">
      <c r="A45" s="1" t="inlineStr">
        <is>
          <t>5.4</t>
        </is>
      </c>
      <c r="B45" s="1" t="inlineStr">
        <is>
          <t>0000-342-029</t>
        </is>
      </c>
      <c r="D45" t="inlineStr">
        <is>
          <t>Inseparable</t>
        </is>
      </c>
      <c r="E45" t="n">
        <v>1</v>
      </c>
      <c r="F45" t="n">
        <v>2</v>
      </c>
      <c r="H45" t="inlineStr">
        <is>
          <t>Pipe Holder DN150-Ø168,3</t>
        </is>
      </c>
      <c r="I45" t="inlineStr">
        <is>
          <t>Bigadan Basic</t>
        </is>
      </c>
      <c r="K45" t="inlineStr">
        <is>
          <t>-</t>
        </is>
      </c>
    </row>
    <row r="46" hidden="1" outlineLevel="2" ht="68.25" customHeight="1">
      <c r="A46" s="1" t="inlineStr">
        <is>
          <t>5.4.1</t>
        </is>
      </c>
      <c r="B46" s="1" t="inlineStr">
        <is>
          <t>0000-703-004</t>
        </is>
      </c>
      <c r="D46" t="inlineStr">
        <is>
          <t>Inseparable</t>
        </is>
      </c>
      <c r="E46" t="n">
        <v>1</v>
      </c>
      <c r="F46" t="n">
        <v>1</v>
      </c>
      <c r="H46" t="inlineStr">
        <is>
          <t>Sheet metal t=4mm</t>
        </is>
      </c>
      <c r="I46" t="inlineStr">
        <is>
          <t>Bigadan Basic</t>
        </is>
      </c>
      <c r="K46" t="inlineStr">
        <is>
          <t>-</t>
        </is>
      </c>
    </row>
    <row r="47" hidden="1" outlineLevel="2" ht="68.25" customHeight="1">
      <c r="A47" s="1" t="inlineStr">
        <is>
          <t>5.4.2</t>
        </is>
      </c>
      <c r="B47" s="1" t="inlineStr">
        <is>
          <t>0000-703-090</t>
        </is>
      </c>
      <c r="D47" t="inlineStr">
        <is>
          <t>Normal</t>
        </is>
      </c>
      <c r="E47" t="n">
        <v>1</v>
      </c>
      <c r="F47" t="n">
        <v>2</v>
      </c>
      <c r="H47" t="inlineStr">
        <is>
          <t>DIN 3567 - DN150 - Pipe Clamp Form A</t>
        </is>
      </c>
      <c r="K47" t="inlineStr">
        <is>
          <t>-</t>
        </is>
      </c>
    </row>
    <row r="48" hidden="1" outlineLevel="2" ht="68.25" customHeight="1">
      <c r="A48" s="1" t="inlineStr">
        <is>
          <t>5.4.3</t>
        </is>
      </c>
      <c r="B48" s="1" t="inlineStr">
        <is>
          <t>0000-750-003</t>
        </is>
      </c>
      <c r="D48" t="inlineStr">
        <is>
          <t>Purchased</t>
        </is>
      </c>
      <c r="E48" t="n">
        <v>1</v>
      </c>
      <c r="F48" t="n">
        <v>4</v>
      </c>
      <c r="H48" t="inlineStr">
        <is>
          <t>Washer - M16 - ISO7089</t>
        </is>
      </c>
    </row>
    <row r="49" hidden="1" outlineLevel="2" ht="68.25" customHeight="1">
      <c r="A49" s="1" t="inlineStr">
        <is>
          <t>5.4.4</t>
        </is>
      </c>
      <c r="B49" s="1" t="inlineStr">
        <is>
          <t>0000-750-002</t>
        </is>
      </c>
      <c r="D49" t="inlineStr">
        <is>
          <t>Normal</t>
        </is>
      </c>
      <c r="E49" t="n">
        <v>1</v>
      </c>
      <c r="F49" t="n">
        <v>2</v>
      </c>
      <c r="H49" t="inlineStr">
        <is>
          <t>Nut - M16 - ISO 4032</t>
        </is>
      </c>
      <c r="K49" t="inlineStr">
        <is>
          <t>-</t>
        </is>
      </c>
    </row>
    <row r="50" hidden="1" outlineLevel="2" ht="68.25" customHeight="1">
      <c r="A50" s="1" t="inlineStr">
        <is>
          <t>5.4.5</t>
        </is>
      </c>
      <c r="B50" s="1" t="inlineStr">
        <is>
          <t>0000-750-001</t>
        </is>
      </c>
      <c r="D50" t="inlineStr">
        <is>
          <t>Normal</t>
        </is>
      </c>
      <c r="E50" t="n">
        <v>1</v>
      </c>
      <c r="F50" t="n">
        <v>2</v>
      </c>
      <c r="H50" t="inlineStr">
        <is>
          <t>Bolt - M16x50 - ISO4017</t>
        </is>
      </c>
      <c r="K50" t="inlineStr">
        <is>
          <t>-</t>
        </is>
      </c>
    </row>
    <row r="51" hidden="1" outlineLevel="1" ht="68.25" customHeight="1">
      <c r="A51" s="1" t="inlineStr">
        <is>
          <t>5.5</t>
        </is>
      </c>
      <c r="B51" s="1" t="inlineStr">
        <is>
          <t>0000-703-022</t>
        </is>
      </c>
      <c r="D51" t="inlineStr">
        <is>
          <t>Purchased</t>
        </is>
      </c>
      <c r="E51" t="n">
        <v>1</v>
      </c>
      <c r="F51" t="n">
        <v>1</v>
      </c>
      <c r="H51" t="inlineStr">
        <is>
          <t>Flange - DN150_PN10 - DIN 2527</t>
        </is>
      </c>
    </row>
    <row r="52" hidden="1" outlineLevel="1" ht="68.25" customHeight="1">
      <c r="A52" s="1" t="inlineStr">
        <is>
          <t>5.6</t>
        </is>
      </c>
      <c r="B52" s="1" t="inlineStr">
        <is>
          <t>0000-701-051</t>
        </is>
      </c>
      <c r="D52" t="inlineStr">
        <is>
          <t>Normal</t>
        </is>
      </c>
      <c r="E52" t="n">
        <v>1</v>
      </c>
      <c r="F52" t="n">
        <v>1</v>
      </c>
      <c r="H52" t="inlineStr">
        <is>
          <t>Ball valve Manual with indicator - DN150 - Valtor - Pekos 02 TTT/PI</t>
        </is>
      </c>
    </row>
    <row r="53" hidden="1" outlineLevel="1" ht="68.25" customHeight="1">
      <c r="A53" s="1" t="inlineStr">
        <is>
          <t>5.7</t>
        </is>
      </c>
      <c r="B53" s="1" t="inlineStr">
        <is>
          <t>0000-701-052</t>
        </is>
      </c>
      <c r="D53" t="inlineStr">
        <is>
          <t>Normal</t>
        </is>
      </c>
      <c r="E53" t="n">
        <v>1</v>
      </c>
      <c r="F53" t="n">
        <v>1</v>
      </c>
      <c r="H53" t="inlineStr">
        <is>
          <t>Ball valve - DN150 Automatic - Pekos 02 TTT/PI</t>
        </is>
      </c>
    </row>
    <row r="54" hidden="1" outlineLevel="1" ht="68.25" customHeight="1">
      <c r="A54" s="1" t="inlineStr">
        <is>
          <t>5.8</t>
        </is>
      </c>
      <c r="B54" s="1" t="inlineStr">
        <is>
          <t>0000-703-060</t>
        </is>
      </c>
      <c r="D54" t="inlineStr">
        <is>
          <t>Normal</t>
        </is>
      </c>
      <c r="E54" t="n">
        <v>1</v>
      </c>
      <c r="F54" t="n">
        <v>1</v>
      </c>
      <c r="H54" t="inlineStr">
        <is>
          <t>Welding Nipple - G2_DN50xL100 - EN10241 - 1.4571</t>
        </is>
      </c>
    </row>
    <row r="55" hidden="1" outlineLevel="1" ht="68.25" customHeight="1">
      <c r="A55" s="1" t="inlineStr">
        <is>
          <t>5.9</t>
        </is>
      </c>
      <c r="B55" s="1" t="inlineStr">
        <is>
          <t>0000-703-062</t>
        </is>
      </c>
      <c r="D55" t="inlineStr">
        <is>
          <t>Normal</t>
        </is>
      </c>
      <c r="E55" t="n">
        <v>1</v>
      </c>
      <c r="F55" t="n">
        <v>1</v>
      </c>
      <c r="H55" t="inlineStr">
        <is>
          <t>Hexagon Cap - 2``</t>
        </is>
      </c>
      <c r="I55" s="1" t="inlineStr">
        <is>
          <t>0000 - Bigadan Basic</t>
        </is>
      </c>
      <c r="K55" t="inlineStr">
        <is>
          <t>-</t>
        </is>
      </c>
    </row>
    <row r="56" hidden="1" outlineLevel="1" ht="68.25" customHeight="1">
      <c r="A56" s="1" t="inlineStr">
        <is>
          <t>5.10</t>
        </is>
      </c>
      <c r="B56" s="1" t="inlineStr">
        <is>
          <t>0000-703-030</t>
        </is>
      </c>
      <c r="D56" t="inlineStr">
        <is>
          <t>Normal</t>
        </is>
      </c>
      <c r="E56" t="n">
        <v>1</v>
      </c>
      <c r="F56" t="n">
        <v>4</v>
      </c>
      <c r="H56" t="inlineStr">
        <is>
          <t>Elbow 45° DN150-Ø168,3x2,6 - Type 2 R=229 - DIN2605</t>
        </is>
      </c>
      <c r="I56" t="inlineStr">
        <is>
          <t>Bigadan Basic</t>
        </is>
      </c>
    </row>
    <row r="57" hidden="1" outlineLevel="1" ht="68.25" customHeight="1">
      <c r="A57" s="1" t="inlineStr">
        <is>
          <t>5.11</t>
        </is>
      </c>
      <c r="B57" s="1" t="inlineStr">
        <is>
          <t>0000-324-150</t>
        </is>
      </c>
      <c r="D57" t="inlineStr">
        <is>
          <t>Normal</t>
        </is>
      </c>
      <c r="E57" t="n">
        <v>1</v>
      </c>
      <c r="F57" t="n">
        <v>1</v>
      </c>
      <c r="H57" t="inlineStr">
        <is>
          <t>Tee Equal Connection - DN150 - 1.4301</t>
        </is>
      </c>
      <c r="I57" t="inlineStr">
        <is>
          <t>Bigadan Basic</t>
        </is>
      </c>
      <c r="J57" t="inlineStr">
        <is>
          <t>Biomass Connection</t>
        </is>
      </c>
    </row>
    <row r="58" collapsed="1" ht="68.25" customHeight="1">
      <c r="A58" s="1" t="inlineStr">
        <is>
          <t>7</t>
        </is>
      </c>
      <c r="B58" s="1" t="inlineStr">
        <is>
          <t>2205-BMxx5-01</t>
        </is>
      </c>
      <c r="D58" t="inlineStr">
        <is>
          <t>Normal</t>
        </is>
      </c>
      <c r="E58" t="n">
        <v>1</v>
      </c>
      <c r="F58" t="n">
        <v>1</v>
      </c>
      <c r="H58" t="inlineStr">
        <is>
          <t>DN150 - Outlet</t>
        </is>
      </c>
      <c r="I58" s="1" t="inlineStr">
        <is>
          <t>2205 - Solrød</t>
        </is>
      </c>
      <c r="J58" t="inlineStr">
        <is>
          <t>Digester Area</t>
        </is>
      </c>
      <c r="K58" t="inlineStr">
        <is>
          <t>-</t>
        </is>
      </c>
      <c r="L58" s="2">
        <f>HYPERLINK("\\192.168.170.18\drawings\5-Projects\2205 - Solrød Biogas\220511 - Solrød ombygning 2019\Area 01 - Digester\Piping\2205-BMxx5-01-A - DN150 - Outlet.pdf", "PDF")</f>
        <v/>
      </c>
    </row>
    <row r="59" hidden="1" outlineLevel="1" ht="68.25" customHeight="1">
      <c r="A59" s="1" t="inlineStr">
        <is>
          <t>7.1</t>
        </is>
      </c>
      <c r="B59" s="1" t="inlineStr">
        <is>
          <t>0000-703-001</t>
        </is>
      </c>
      <c r="D59" t="inlineStr">
        <is>
          <t>Normal</t>
        </is>
      </c>
      <c r="E59" t="n">
        <v>1</v>
      </c>
      <c r="F59" t="n">
        <v>1</v>
      </c>
      <c r="H59" t="inlineStr">
        <is>
          <t>Pipe - DN150-Ø168,3x2,6 L=956 - EN10217-7</t>
        </is>
      </c>
      <c r="K59" t="inlineStr">
        <is>
          <t>-</t>
        </is>
      </c>
    </row>
    <row r="60" hidden="1" outlineLevel="1" ht="68.25" customHeight="1">
      <c r="A60" s="1" t="inlineStr">
        <is>
          <t>7.2</t>
        </is>
      </c>
      <c r="B60" s="1" t="inlineStr">
        <is>
          <t>0000-703-020</t>
        </is>
      </c>
      <c r="D60" t="inlineStr">
        <is>
          <t>Normal</t>
        </is>
      </c>
      <c r="E60" t="n">
        <v>1</v>
      </c>
      <c r="F60" t="n">
        <v>4</v>
      </c>
      <c r="H60" t="inlineStr">
        <is>
          <t>Pressed Flange - DN150 PN10 - EN 1092-1 Typ 02</t>
        </is>
      </c>
    </row>
    <row r="61" hidden="1" outlineLevel="1" ht="68.25" customHeight="1">
      <c r="A61" s="1" t="inlineStr">
        <is>
          <t>7.3</t>
        </is>
      </c>
      <c r="B61" s="1" t="inlineStr">
        <is>
          <t>0000-703-010</t>
        </is>
      </c>
      <c r="D61" t="inlineStr">
        <is>
          <t>Normal</t>
        </is>
      </c>
      <c r="E61" t="n">
        <v>1</v>
      </c>
      <c r="F61" t="n">
        <v>4</v>
      </c>
      <c r="H61" t="inlineStr">
        <is>
          <t>Collar - DN150 PN10 - EN 1092-1 Typ 37</t>
        </is>
      </c>
    </row>
    <row r="62" hidden="1" outlineLevel="1" ht="68.25" customHeight="1">
      <c r="A62" s="1" t="inlineStr">
        <is>
          <t>7.4</t>
        </is>
      </c>
      <c r="B62" s="1" t="inlineStr">
        <is>
          <t>0000-703-030</t>
        </is>
      </c>
      <c r="D62" t="inlineStr">
        <is>
          <t>Normal</t>
        </is>
      </c>
      <c r="E62" t="n">
        <v>1</v>
      </c>
      <c r="F62" t="n">
        <v>1</v>
      </c>
      <c r="H62" t="inlineStr">
        <is>
          <t>Elbow 90° DN150 Ø168,3x2,6 - Type 3 - r=229 - DIN2605</t>
        </is>
      </c>
    </row>
    <row r="63" hidden="1" outlineLevel="1" ht="68.25" customHeight="1">
      <c r="A63" s="1" t="inlineStr">
        <is>
          <t>7.5</t>
        </is>
      </c>
      <c r="B63" s="1" t="inlineStr">
        <is>
          <t>0000-702-002</t>
        </is>
      </c>
      <c r="D63" t="inlineStr">
        <is>
          <t>Normal</t>
        </is>
      </c>
      <c r="E63" t="n">
        <v>1</v>
      </c>
      <c r="F63" t="n">
        <v>1</v>
      </c>
      <c r="H63" t="inlineStr">
        <is>
          <t>Flowtransmitter - DN150 PN16 - F M MAG 3100 - Siemens</t>
        </is>
      </c>
      <c r="J63" s="1" t="inlineStr">
        <is>
          <t>7ME6340-4HC1X-XAXX.stp</t>
        </is>
      </c>
      <c r="K63" t="inlineStr">
        <is>
          <t>-</t>
        </is>
      </c>
    </row>
    <row r="64" hidden="1" outlineLevel="1" ht="68.25" customHeight="1">
      <c r="A64" s="1" t="inlineStr">
        <is>
          <t>7.6</t>
        </is>
      </c>
      <c r="B64" s="1" t="inlineStr">
        <is>
          <t>0000-703-060</t>
        </is>
      </c>
      <c r="D64" t="inlineStr">
        <is>
          <t>Normal</t>
        </is>
      </c>
      <c r="E64" t="n">
        <v>1</v>
      </c>
      <c r="F64" t="n">
        <v>2</v>
      </c>
      <c r="H64" t="inlineStr">
        <is>
          <t>Welding Nipple - G2_DN50xL100 - EN10241 - 1.4571</t>
        </is>
      </c>
    </row>
    <row r="65" hidden="1" outlineLevel="1" ht="68.25" customHeight="1">
      <c r="A65" s="1" t="inlineStr">
        <is>
          <t>7.7</t>
        </is>
      </c>
      <c r="B65" s="1" t="inlineStr">
        <is>
          <t>0000-701-001</t>
        </is>
      </c>
      <c r="D65" t="inlineStr">
        <is>
          <t>Normal</t>
        </is>
      </c>
      <c r="E65" t="n">
        <v>1</v>
      </c>
      <c r="F65" t="n">
        <v>1</v>
      </c>
      <c r="H65" t="inlineStr">
        <is>
          <t>Ball valve - DN50 - manual - Valtor V-106</t>
        </is>
      </c>
    </row>
    <row r="66" hidden="1" outlineLevel="1" ht="68.25" customHeight="1">
      <c r="A66" s="1" t="inlineStr">
        <is>
          <t>7.8</t>
        </is>
      </c>
      <c r="B66" s="1" t="inlineStr">
        <is>
          <t>0000-701-051</t>
        </is>
      </c>
      <c r="D66" t="inlineStr">
        <is>
          <t>Normal</t>
        </is>
      </c>
      <c r="E66" t="n">
        <v>1</v>
      </c>
      <c r="F66" t="n">
        <v>1</v>
      </c>
      <c r="H66" t="inlineStr">
        <is>
          <t>Ball valve Manual with indicator - DN150 - Valtor - Pekos 02 TTT/PI</t>
        </is>
      </c>
    </row>
    <row r="67" hidden="1" outlineLevel="1" ht="68.25" customHeight="1">
      <c r="A67" s="1" t="inlineStr">
        <is>
          <t>7.9</t>
        </is>
      </c>
      <c r="B67" s="1" t="inlineStr">
        <is>
          <t>0000-701-052</t>
        </is>
      </c>
      <c r="D67" t="inlineStr">
        <is>
          <t>Normal</t>
        </is>
      </c>
      <c r="E67" t="n">
        <v>1</v>
      </c>
      <c r="F67" t="n">
        <v>1</v>
      </c>
      <c r="H67" t="inlineStr">
        <is>
          <t>Ball valve - DN150 Automatic - Pekos 02 TTT/PI</t>
        </is>
      </c>
    </row>
    <row r="68" hidden="1" outlineLevel="1" ht="68.25" customHeight="1">
      <c r="A68" s="1" t="inlineStr">
        <is>
          <t>7.10</t>
        </is>
      </c>
      <c r="B68" s="1" t="inlineStr">
        <is>
          <t>0000-324-150</t>
        </is>
      </c>
      <c r="D68" t="inlineStr">
        <is>
          <t>Normal</t>
        </is>
      </c>
      <c r="E68" t="n">
        <v>1</v>
      </c>
      <c r="F68" t="n">
        <v>1</v>
      </c>
      <c r="H68" t="inlineStr">
        <is>
          <t>Tee Equal Connection - DN150 - 1.4301</t>
        </is>
      </c>
      <c r="I68" t="inlineStr">
        <is>
          <t>Bigadan Basic</t>
        </is>
      </c>
      <c r="J68" t="inlineStr">
        <is>
          <t>Biomass Connection</t>
        </is>
      </c>
    </row>
    <row r="69" hidden="1" outlineLevel="1" ht="68.25" customHeight="1">
      <c r="A69" s="1" t="inlineStr">
        <is>
          <t>7.11</t>
        </is>
      </c>
      <c r="B69" s="1" t="inlineStr">
        <is>
          <t>0000-703-062</t>
        </is>
      </c>
      <c r="D69" t="inlineStr">
        <is>
          <t>Normal</t>
        </is>
      </c>
      <c r="E69" t="n">
        <v>1</v>
      </c>
      <c r="F69" t="n">
        <v>1</v>
      </c>
      <c r="H69" t="inlineStr">
        <is>
          <t>Hexagon Cap - 2``</t>
        </is>
      </c>
      <c r="I69" s="1" t="inlineStr">
        <is>
          <t>0000 - Bigadan Basic</t>
        </is>
      </c>
      <c r="K69" t="inlineStr">
        <is>
          <t>-</t>
        </is>
      </c>
    </row>
    <row r="70" hidden="1" outlineLevel="1" ht="68.25" customHeight="1">
      <c r="A70" s="1" t="inlineStr">
        <is>
          <t>7.13</t>
        </is>
      </c>
      <c r="B70" s="1" t="inlineStr">
        <is>
          <t>0000-342-029</t>
        </is>
      </c>
      <c r="D70" t="inlineStr">
        <is>
          <t>Normal</t>
        </is>
      </c>
      <c r="E70" t="n">
        <v>1</v>
      </c>
      <c r="F70" t="n">
        <v>1</v>
      </c>
      <c r="H70" t="inlineStr">
        <is>
          <t>Pipe Holder DN150-Ø168,3</t>
        </is>
      </c>
      <c r="I70" t="inlineStr">
        <is>
          <t>Bigadan Basic</t>
        </is>
      </c>
    </row>
    <row r="71" hidden="1" outlineLevel="1" ht="68.25" customHeight="1">
      <c r="A71" s="1" t="inlineStr">
        <is>
          <t>7.14</t>
        </is>
      </c>
      <c r="B71" s="1" t="inlineStr">
        <is>
          <t>0000-703-022</t>
        </is>
      </c>
      <c r="D71" t="inlineStr">
        <is>
          <t>Purchased</t>
        </is>
      </c>
      <c r="E71" t="n">
        <v>1</v>
      </c>
      <c r="F71" t="n">
        <v>1</v>
      </c>
      <c r="H71" t="inlineStr">
        <is>
          <t>Flange - DN150_PN10 - DIN 2527</t>
        </is>
      </c>
    </row>
    <row r="72" hidden="1" outlineLevel="1" ht="68.25" customHeight="1">
      <c r="A72" s="1" t="inlineStr">
        <is>
          <t>7.12</t>
        </is>
      </c>
      <c r="B72" s="1" t="inlineStr">
        <is>
          <t>0000-342-022</t>
        </is>
      </c>
      <c r="D72" t="inlineStr">
        <is>
          <t>Normal</t>
        </is>
      </c>
      <c r="E72" t="n">
        <v>1</v>
      </c>
      <c r="F72" t="n">
        <v>1</v>
      </c>
      <c r="H72" t="inlineStr">
        <is>
          <t>Pipe holder foot L=400</t>
        </is>
      </c>
      <c r="I72" t="inlineStr">
        <is>
          <t>Bigadan Basic</t>
        </is>
      </c>
      <c r="L72" s="2">
        <f>HYPERLINK("\\192.168.170.18\drawings\2-Basic Components\0000-342 - Pipe Holders\0000-342-022-- - Pipe holder foot L=400.pdf", "PDF")</f>
        <v/>
      </c>
    </row>
    <row r="73" collapsed="1" ht="68.25" customHeight="1">
      <c r="A73" s="1" t="inlineStr">
        <is>
          <t>9</t>
        </is>
      </c>
      <c r="B73" s="1" t="inlineStr">
        <is>
          <t>2205-AFxx1-01</t>
        </is>
      </c>
      <c r="D73" t="inlineStr">
        <is>
          <t>Normal</t>
        </is>
      </c>
      <c r="E73" t="n">
        <v>1</v>
      </c>
      <c r="F73" t="n">
        <v>1</v>
      </c>
      <c r="H73" t="inlineStr">
        <is>
          <t>Anti Foam Preparation Pipe 2'' DN50</t>
        </is>
      </c>
      <c r="I73" s="1" t="inlineStr">
        <is>
          <t>2205 - Solrød</t>
        </is>
      </c>
      <c r="J73" t="inlineStr">
        <is>
          <t>Digester Area</t>
        </is>
      </c>
      <c r="K73" t="inlineStr">
        <is>
          <t>-</t>
        </is>
      </c>
      <c r="L73" s="2">
        <f>HYPERLINK("\\192.168.170.18\drawings\5-Projects\2205 - Solrød Biogas\220511 - Solrød ombygning 2019\Area 01 - Digester\Piping\2205-AFxx1-01-- - Anti Foam Preparation Pipe 2'' DN50.pdf", "PDF")</f>
        <v/>
      </c>
    </row>
    <row r="74" hidden="1" outlineLevel="1" ht="68.25" customHeight="1">
      <c r="A74" s="1" t="inlineStr">
        <is>
          <t>9.1</t>
        </is>
      </c>
      <c r="B74" s="1" t="inlineStr">
        <is>
          <t>2205-AFxx1-01</t>
        </is>
      </c>
      <c r="D74" t="inlineStr">
        <is>
          <t>Normal</t>
        </is>
      </c>
      <c r="E74" t="n">
        <v>1</v>
      </c>
      <c r="F74" t="n">
        <v>1</v>
      </c>
      <c r="H74" t="inlineStr">
        <is>
          <t>Anti Foam Preparation Pipe 2'' (DN50)</t>
        </is>
      </c>
      <c r="L74" s="2">
        <f>HYPERLINK("\\192.168.170.18\drawings\5-Projects\2205 - Solrød Biogas\220511 - Solrød ombygning 2019\Area 01 - Digester\Piping\2205-AFxx1-01-- - Anti Foam Preparation Pipe 2'' DN50.pdf", "PDF")</f>
        <v/>
      </c>
    </row>
    <row r="75" collapsed="1" ht="68.25" customHeight="1">
      <c r="A75" s="1" t="inlineStr">
        <is>
          <t>10</t>
        </is>
      </c>
      <c r="B75" s="1" t="inlineStr">
        <is>
          <t>2205-TWxx1-01</t>
        </is>
      </c>
      <c r="D75" t="inlineStr">
        <is>
          <t>Normal</t>
        </is>
      </c>
      <c r="E75" t="n">
        <v>1</v>
      </c>
      <c r="F75" t="n">
        <v>1</v>
      </c>
      <c r="H75" t="inlineStr">
        <is>
          <t>Technical Water Pipe</t>
        </is>
      </c>
      <c r="I75" s="1" t="inlineStr">
        <is>
          <t>2205 - Solrød</t>
        </is>
      </c>
      <c r="J75" t="inlineStr">
        <is>
          <t>Digester Area</t>
        </is>
      </c>
      <c r="L75" s="2">
        <f>HYPERLINK("\\192.168.170.18\drawings\5-Projects\2205 - Solrød Biogas\220511 - Solrød ombygning 2019\Area 01 - Digester\Piping\2205-TWxx1-01-- - Technical Water Pipe.pdf", "PDF")</f>
        <v/>
      </c>
    </row>
    <row r="76" hidden="1" outlineLevel="1" ht="68.25" customHeight="1">
      <c r="A76" s="1" t="inlineStr">
        <is>
          <t>10.1</t>
        </is>
      </c>
      <c r="B76" s="1" t="inlineStr">
        <is>
          <t>0000-703-301</t>
        </is>
      </c>
      <c r="D76" t="inlineStr">
        <is>
          <t>Normal</t>
        </is>
      </c>
      <c r="E76" t="n">
        <v>1</v>
      </c>
      <c r="F76" t="n">
        <v>1</v>
      </c>
      <c r="H76" t="inlineStr">
        <is>
          <t>Pipe - DN20-Ø22,0x1,2 L=41829</t>
        </is>
      </c>
    </row>
    <row r="77" hidden="1" outlineLevel="1" ht="68.25" customHeight="1">
      <c r="A77" s="1" t="inlineStr">
        <is>
          <t>10.2</t>
        </is>
      </c>
      <c r="B77" s="1" t="inlineStr">
        <is>
          <t>0000-701-001</t>
        </is>
      </c>
      <c r="D77" t="inlineStr">
        <is>
          <t>Normal</t>
        </is>
      </c>
      <c r="E77" t="n">
        <v>1</v>
      </c>
      <c r="F77" t="n">
        <v>3</v>
      </c>
      <c r="H77" t="inlineStr">
        <is>
          <t>Ball valve - DN15 ½" - manual - Valtor V-106</t>
        </is>
      </c>
    </row>
    <row r="78" hidden="1" outlineLevel="1" ht="68.25" customHeight="1">
      <c r="A78" s="1" t="inlineStr">
        <is>
          <t>10.3</t>
        </is>
      </c>
      <c r="B78" s="1" t="inlineStr">
        <is>
          <t>0000-701-058</t>
        </is>
      </c>
      <c r="D78" t="inlineStr">
        <is>
          <t>Normal</t>
        </is>
      </c>
      <c r="E78" t="n">
        <v>1</v>
      </c>
      <c r="F78" t="n">
        <v>1</v>
      </c>
      <c r="H78" t="inlineStr">
        <is>
          <t>Pneumatic Angle Seat Valves - DN15 - V500</t>
        </is>
      </c>
      <c r="K78" t="inlineStr">
        <is>
          <t>-</t>
        </is>
      </c>
    </row>
    <row r="79" collapsed="1" ht="68.25" customHeight="1">
      <c r="A79" s="1" t="inlineStr">
        <is>
          <t>11</t>
        </is>
      </c>
      <c r="B79" s="1" t="inlineStr">
        <is>
          <t>3205-615-003</t>
        </is>
      </c>
      <c r="D79" t="inlineStr">
        <is>
          <t>Normal</t>
        </is>
      </c>
      <c r="E79" t="n">
        <v>1</v>
      </c>
      <c r="F79" t="n">
        <v>1</v>
      </c>
      <c r="H79" t="inlineStr">
        <is>
          <t>Digester - Assembly - 10150m³</t>
        </is>
      </c>
      <c r="I79" s="1" t="inlineStr">
        <is>
          <t>2205 - Solrød</t>
        </is>
      </c>
      <c r="J79" t="inlineStr">
        <is>
          <t>Digester</t>
        </is>
      </c>
      <c r="K79" t="inlineStr">
        <is>
          <t>-</t>
        </is>
      </c>
      <c r="L79" s="2">
        <f>HYPERLINK("\\192.168.170.18\drawings\5-Projects\2205 - Solrød Biogas\220511 - Solrød ombygning 2019\Area 01 - Digester\Equipment\615 - Digester\Old\2205-615-003-B - Digester - Assembly - 10150m³.pdf", "PDF")</f>
        <v/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Jesper</dc:creator>
  <dcterms:created xsi:type="dcterms:W3CDTF">2020-04-07T05:00:37Z</dcterms:created>
  <dcterms:modified xsi:type="dcterms:W3CDTF">2020-04-28T03:40:41Z</dcterms:modified>
  <cp:lastModifiedBy>Jesper</cp:lastModifiedBy>
</cp:coreProperties>
</file>