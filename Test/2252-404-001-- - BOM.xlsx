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Denne_projektmappe"/>
  <bookViews>
    <workbookView visibility="visible" minimized="0" showHorizontalScroll="1" showVerticalScroll="1" showSheetTabs="1" xWindow="-120" yWindow="-120" windowWidth="29040" windowHeight="17640" tabRatio="600" firstSheet="0" activeTab="0" autoFilterDateGrouping="1"/>
  </bookViews>
  <sheets>
    <sheet name="BO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 hidden="0"/>
  </cellStyles>
  <dxfs count="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12700</colOff>
      <row>1</row>
      <rowOff>12700</rowOff>
    </from>
    <to>
      <col>2</col>
      <colOff>1727200</colOff>
      <row>1</row>
      <rowOff>1727200</rowOff>
    </to>
    <pic>
      <nvPicPr>
        <cNvPr id="3" name="Billed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231900" y="2032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</row>
      <rowOff>12700</rowOff>
    </from>
    <to>
      <col>2</col>
      <colOff>1727200</colOff>
      <row>2</row>
      <rowOff>1727200</rowOff>
    </to>
    <pic>
      <nvPicPr>
        <cNvPr id="5" name="Billede 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31900" y="10699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</row>
      <rowOff>12700</rowOff>
    </from>
    <to>
      <col>2</col>
      <colOff>1727200</colOff>
      <row>3</row>
      <rowOff>1727200</rowOff>
    </to>
    <pic>
      <nvPicPr>
        <cNvPr id="7" name="Billede 6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31900" y="19367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</row>
      <rowOff>12700</rowOff>
    </from>
    <to>
      <col>2</col>
      <colOff>1727200</colOff>
      <row>4</row>
      <rowOff>1727200</rowOff>
    </to>
    <pic>
      <nvPicPr>
        <cNvPr id="9" name="Billede 8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231900" y="28035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</row>
      <rowOff>12700</rowOff>
    </from>
    <to>
      <col>2</col>
      <colOff>1727200</colOff>
      <row>5</row>
      <rowOff>1727200</rowOff>
    </to>
    <pic>
      <nvPicPr>
        <cNvPr id="11" name="Billede 10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231900" y="36703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</row>
      <rowOff>12700</rowOff>
    </from>
    <to>
      <col>2</col>
      <colOff>1727200</colOff>
      <row>6</row>
      <rowOff>1727200</rowOff>
    </to>
    <pic>
      <nvPicPr>
        <cNvPr id="13" name="Billede 12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231900" y="45370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</row>
      <rowOff>12700</rowOff>
    </from>
    <to>
      <col>2</col>
      <colOff>1727200</colOff>
      <row>7</row>
      <rowOff>1727200</rowOff>
    </to>
    <pic>
      <nvPicPr>
        <cNvPr id="15" name="Billede 14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231900" y="54038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</row>
      <rowOff>12700</rowOff>
    </from>
    <to>
      <col>2</col>
      <colOff>1727200</colOff>
      <row>8</row>
      <rowOff>1727200</rowOff>
    </to>
    <pic>
      <nvPicPr>
        <cNvPr id="17" name="Billede 16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1231900" y="62706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</row>
      <rowOff>12700</rowOff>
    </from>
    <to>
      <col>2</col>
      <colOff>1727200</colOff>
      <row>9</row>
      <rowOff>1727200</rowOff>
    </to>
    <pic>
      <nvPicPr>
        <cNvPr id="19" name="Billede 18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1231900" y="71374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</row>
      <rowOff>12700</rowOff>
    </from>
    <to>
      <col>2</col>
      <colOff>1727200</colOff>
      <row>10</row>
      <rowOff>1727200</rowOff>
    </to>
    <pic>
      <nvPicPr>
        <cNvPr id="21" name="Billede 20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231900" y="80041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</row>
      <rowOff>12700</rowOff>
    </from>
    <to>
      <col>2</col>
      <colOff>1727200</colOff>
      <row>11</row>
      <rowOff>1727200</rowOff>
    </to>
    <pic>
      <nvPicPr>
        <cNvPr id="23" name="Billede 22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1231900" y="88709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</row>
      <rowOff>12700</rowOff>
    </from>
    <to>
      <col>2</col>
      <colOff>1727200</colOff>
      <row>12</row>
      <rowOff>1727200</rowOff>
    </to>
    <pic>
      <nvPicPr>
        <cNvPr id="25" name="Billede 24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1231900" y="97377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13</row>
      <rowOff>12700</rowOff>
    </from>
    <to>
      <col>2</col>
      <colOff>1727200</colOff>
      <row>13</row>
      <rowOff>1727200</rowOff>
    </to>
    <pic>
      <nvPicPr>
        <cNvPr id="27" name="Billede 26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1231900" y="106045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14</row>
      <rowOff>12700</rowOff>
    </from>
    <to>
      <col>2</col>
      <colOff>1727200</colOff>
      <row>14</row>
      <rowOff>1727200</rowOff>
    </to>
    <pic>
      <nvPicPr>
        <cNvPr id="29" name="Billede 28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1231900" y="114712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15</row>
      <rowOff>12700</rowOff>
    </from>
    <to>
      <col>2</col>
      <colOff>1727200</colOff>
      <row>15</row>
      <rowOff>1727200</rowOff>
    </to>
    <pic>
      <nvPicPr>
        <cNvPr id="31" name="Billede 30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1231900" y="123380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16</row>
      <rowOff>12700</rowOff>
    </from>
    <to>
      <col>2</col>
      <colOff>1727200</colOff>
      <row>16</row>
      <rowOff>1727200</rowOff>
    </to>
    <pic>
      <nvPicPr>
        <cNvPr id="33" name="Billede 32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1231900" y="132048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17</row>
      <rowOff>12700</rowOff>
    </from>
    <to>
      <col>2</col>
      <colOff>1727200</colOff>
      <row>17</row>
      <rowOff>1727200</rowOff>
    </to>
    <pic>
      <nvPicPr>
        <cNvPr id="35" name="Billede 34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1231900" y="140716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18</row>
      <rowOff>12700</rowOff>
    </from>
    <to>
      <col>2</col>
      <colOff>1727200</colOff>
      <row>18</row>
      <rowOff>1727200</rowOff>
    </to>
    <pic>
      <nvPicPr>
        <cNvPr id="37" name="Billede 36"/>
        <cNvPicPr>
          <a:picLocks noChangeAspect="1"/>
        </cNvPicPr>
      </nvPicPr>
      <blipFill>
        <a:blip r:embed="rId18"/>
        <a:stretch>
          <a:fillRect/>
        </a:stretch>
      </blipFill>
      <spPr>
        <a:xfrm>
          <a:off x="1231900" y="149383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19</row>
      <rowOff>12700</rowOff>
    </from>
    <to>
      <col>2</col>
      <colOff>1727200</colOff>
      <row>19</row>
      <rowOff>1727200</rowOff>
    </to>
    <pic>
      <nvPicPr>
        <cNvPr id="39" name="Billede 38"/>
        <cNvPicPr>
          <a:picLocks noChangeAspect="1"/>
        </cNvPicPr>
      </nvPicPr>
      <blipFill>
        <a:blip r:embed="rId19"/>
        <a:stretch>
          <a:fillRect/>
        </a:stretch>
      </blipFill>
      <spPr>
        <a:xfrm>
          <a:off x="1231900" y="158051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20</row>
      <rowOff>12700</rowOff>
    </from>
    <to>
      <col>2</col>
      <colOff>1727200</colOff>
      <row>20</row>
      <rowOff>1727200</rowOff>
    </to>
    <pic>
      <nvPicPr>
        <cNvPr id="41" name="Billede 40"/>
        <cNvPicPr>
          <a:picLocks noChangeAspect="1"/>
        </cNvPicPr>
      </nvPicPr>
      <blipFill>
        <a:blip r:embed="rId20"/>
        <a:stretch>
          <a:fillRect/>
        </a:stretch>
      </blipFill>
      <spPr>
        <a:xfrm>
          <a:off x="1231900" y="166719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21</row>
      <rowOff>12700</rowOff>
    </from>
    <to>
      <col>2</col>
      <colOff>1727200</colOff>
      <row>21</row>
      <rowOff>1727200</rowOff>
    </to>
    <pic>
      <nvPicPr>
        <cNvPr id="43" name="Billede 42"/>
        <cNvPicPr>
          <a:picLocks noChangeAspect="1"/>
        </cNvPicPr>
      </nvPicPr>
      <blipFill>
        <a:blip r:embed="rId21"/>
        <a:stretch>
          <a:fillRect/>
        </a:stretch>
      </blipFill>
      <spPr>
        <a:xfrm>
          <a:off x="1231900" y="175387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22</row>
      <rowOff>12700</rowOff>
    </from>
    <to>
      <col>2</col>
      <colOff>1727200</colOff>
      <row>22</row>
      <rowOff>1727200</rowOff>
    </to>
    <pic>
      <nvPicPr>
        <cNvPr id="45" name="Billede 44"/>
        <cNvPicPr>
          <a:picLocks noChangeAspect="1"/>
        </cNvPicPr>
      </nvPicPr>
      <blipFill>
        <a:blip r:embed="rId22"/>
        <a:stretch>
          <a:fillRect/>
        </a:stretch>
      </blipFill>
      <spPr>
        <a:xfrm>
          <a:off x="1231900" y="184054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23</row>
      <rowOff>12700</rowOff>
    </from>
    <to>
      <col>2</col>
      <colOff>1727200</colOff>
      <row>23</row>
      <rowOff>1727200</rowOff>
    </to>
    <pic>
      <nvPicPr>
        <cNvPr id="47" name="Billede 46"/>
        <cNvPicPr>
          <a:picLocks noChangeAspect="1"/>
        </cNvPicPr>
      </nvPicPr>
      <blipFill>
        <a:blip r:embed="rId23"/>
        <a:stretch>
          <a:fillRect/>
        </a:stretch>
      </blipFill>
      <spPr>
        <a:xfrm>
          <a:off x="1231900" y="192722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24</row>
      <rowOff>12700</rowOff>
    </from>
    <to>
      <col>2</col>
      <colOff>1727200</colOff>
      <row>24</row>
      <rowOff>1727200</rowOff>
    </to>
    <pic>
      <nvPicPr>
        <cNvPr id="49" name="Billede 48"/>
        <cNvPicPr>
          <a:picLocks noChangeAspect="1"/>
        </cNvPicPr>
      </nvPicPr>
      <blipFill>
        <a:blip r:embed="rId24"/>
        <a:stretch>
          <a:fillRect/>
        </a:stretch>
      </blipFill>
      <spPr>
        <a:xfrm>
          <a:off x="1231900" y="201390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25</row>
      <rowOff>12700</rowOff>
    </from>
    <to>
      <col>2</col>
      <colOff>1727200</colOff>
      <row>25</row>
      <rowOff>1727200</rowOff>
    </to>
    <pic>
      <nvPicPr>
        <cNvPr id="51" name="Billede 50"/>
        <cNvPicPr>
          <a:picLocks noChangeAspect="1"/>
        </cNvPicPr>
      </nvPicPr>
      <blipFill>
        <a:blip r:embed="rId25"/>
        <a:stretch>
          <a:fillRect/>
        </a:stretch>
      </blipFill>
      <spPr>
        <a:xfrm>
          <a:off x="1231900" y="210058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26</row>
      <rowOff>12700</rowOff>
    </from>
    <to>
      <col>2</col>
      <colOff>1727200</colOff>
      <row>26</row>
      <rowOff>1727200</rowOff>
    </to>
    <pic>
      <nvPicPr>
        <cNvPr id="53" name="Billede 52"/>
        <cNvPicPr>
          <a:picLocks noChangeAspect="1"/>
        </cNvPicPr>
      </nvPicPr>
      <blipFill>
        <a:blip r:embed="rId26"/>
        <a:stretch>
          <a:fillRect/>
        </a:stretch>
      </blipFill>
      <spPr>
        <a:xfrm>
          <a:off x="1231900" y="218725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27</row>
      <rowOff>12700</rowOff>
    </from>
    <to>
      <col>2</col>
      <colOff>1727200</colOff>
      <row>27</row>
      <rowOff>1727200</rowOff>
    </to>
    <pic>
      <nvPicPr>
        <cNvPr id="55" name="Billede 54"/>
        <cNvPicPr>
          <a:picLocks noChangeAspect="1"/>
        </cNvPicPr>
      </nvPicPr>
      <blipFill>
        <a:blip r:embed="rId27"/>
        <a:stretch>
          <a:fillRect/>
        </a:stretch>
      </blipFill>
      <spPr>
        <a:xfrm>
          <a:off x="1231900" y="227393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28</row>
      <rowOff>0</rowOff>
    </from>
    <to>
      <col>2</col>
      <colOff>1727200</colOff>
      <row>28</row>
      <rowOff>0</rowOff>
    </to>
    <pic>
      <nvPicPr>
        <cNvPr id="635" name="Billede 634"/>
        <cNvPicPr>
          <a:picLocks noChangeAspect="1"/>
        </cNvPicPr>
      </nvPicPr>
      <blipFill>
        <a:blip r:embed="rId28"/>
        <a:stretch>
          <a:fillRect/>
        </a:stretch>
      </blipFill>
      <spPr>
        <a:xfrm>
          <a:off x="1231900" y="2741041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28</row>
      <rowOff>12700</rowOff>
    </from>
    <to>
      <col>2</col>
      <colOff>1727200</colOff>
      <row>28</row>
      <rowOff>1727200</rowOff>
    </to>
    <pic>
      <nvPicPr>
        <cNvPr id="637" name="Billede 636"/>
        <cNvPicPr>
          <a:picLocks noChangeAspect="1"/>
        </cNvPicPr>
      </nvPicPr>
      <blipFill>
        <a:blip r:embed="rId29"/>
        <a:stretch>
          <a:fillRect/>
        </a:stretch>
      </blipFill>
      <spPr>
        <a:xfrm>
          <a:off x="1231900" y="2749708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29</row>
      <rowOff>12700</rowOff>
    </from>
    <to>
      <col>2</col>
      <colOff>1727200</colOff>
      <row>29</row>
      <rowOff>1727200</rowOff>
    </to>
    <pic>
      <nvPicPr>
        <cNvPr id="639" name="Billede 638"/>
        <cNvPicPr>
          <a:picLocks noChangeAspect="1"/>
        </cNvPicPr>
      </nvPicPr>
      <blipFill>
        <a:blip r:embed="rId30"/>
        <a:stretch>
          <a:fillRect/>
        </a:stretch>
      </blipFill>
      <spPr>
        <a:xfrm>
          <a:off x="1231900" y="2758376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30</row>
      <rowOff>12700</rowOff>
    </from>
    <to>
      <col>2</col>
      <colOff>1727200</colOff>
      <row>30</row>
      <rowOff>1727200</rowOff>
    </to>
    <pic>
      <nvPicPr>
        <cNvPr id="641" name="Billede 640"/>
        <cNvPicPr>
          <a:picLocks noChangeAspect="1"/>
        </cNvPicPr>
      </nvPicPr>
      <blipFill>
        <a:blip r:embed="rId31"/>
        <a:stretch>
          <a:fillRect/>
        </a:stretch>
      </blipFill>
      <spPr>
        <a:xfrm>
          <a:off x="1231900" y="2767044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31</row>
      <rowOff>12700</rowOff>
    </from>
    <to>
      <col>2</col>
      <colOff>1727200</colOff>
      <row>31</row>
      <rowOff>1727200</rowOff>
    </to>
    <pic>
      <nvPicPr>
        <cNvPr id="643" name="Billede 642"/>
        <cNvPicPr>
          <a:picLocks noChangeAspect="1"/>
        </cNvPicPr>
      </nvPicPr>
      <blipFill>
        <a:blip r:embed="rId32"/>
        <a:stretch>
          <a:fillRect/>
        </a:stretch>
      </blipFill>
      <spPr>
        <a:xfrm>
          <a:off x="1231900" y="2775712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32</row>
      <rowOff>12700</rowOff>
    </from>
    <to>
      <col>2</col>
      <colOff>1727200</colOff>
      <row>32</row>
      <rowOff>1727200</rowOff>
    </to>
    <pic>
      <nvPicPr>
        <cNvPr id="645" name="Billede 644"/>
        <cNvPicPr>
          <a:picLocks noChangeAspect="1"/>
        </cNvPicPr>
      </nvPicPr>
      <blipFill>
        <a:blip r:embed="rId33"/>
        <a:stretch>
          <a:fillRect/>
        </a:stretch>
      </blipFill>
      <spPr>
        <a:xfrm>
          <a:off x="1231900" y="2784379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33</row>
      <rowOff>12700</rowOff>
    </from>
    <to>
      <col>2</col>
      <colOff>1727200</colOff>
      <row>33</row>
      <rowOff>1727200</rowOff>
    </to>
    <pic>
      <nvPicPr>
        <cNvPr id="647" name="Billede 646"/>
        <cNvPicPr>
          <a:picLocks noChangeAspect="1"/>
        </cNvPicPr>
      </nvPicPr>
      <blipFill>
        <a:blip r:embed="rId34"/>
        <a:stretch>
          <a:fillRect/>
        </a:stretch>
      </blipFill>
      <spPr>
        <a:xfrm>
          <a:off x="1231900" y="2793047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34</row>
      <rowOff>12700</rowOff>
    </from>
    <to>
      <col>2</col>
      <colOff>1727200</colOff>
      <row>34</row>
      <rowOff>1727200</rowOff>
    </to>
    <pic>
      <nvPicPr>
        <cNvPr id="649" name="Billede 648"/>
        <cNvPicPr>
          <a:picLocks noChangeAspect="1"/>
        </cNvPicPr>
      </nvPicPr>
      <blipFill>
        <a:blip r:embed="rId35"/>
        <a:stretch>
          <a:fillRect/>
        </a:stretch>
      </blipFill>
      <spPr>
        <a:xfrm>
          <a:off x="1231900" y="2801715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35</row>
      <rowOff>12700</rowOff>
    </from>
    <to>
      <col>2</col>
      <colOff>1727200</colOff>
      <row>35</row>
      <rowOff>1727200</rowOff>
    </to>
    <pic>
      <nvPicPr>
        <cNvPr id="651" name="Billede 650"/>
        <cNvPicPr>
          <a:picLocks noChangeAspect="1"/>
        </cNvPicPr>
      </nvPicPr>
      <blipFill>
        <a:blip r:embed="rId36"/>
        <a:stretch>
          <a:fillRect/>
        </a:stretch>
      </blipFill>
      <spPr>
        <a:xfrm>
          <a:off x="1231900" y="2810383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36</row>
      <rowOff>12700</rowOff>
    </from>
    <to>
      <col>2</col>
      <colOff>1727200</colOff>
      <row>36</row>
      <rowOff>1727200</rowOff>
    </to>
    <pic>
      <nvPicPr>
        <cNvPr id="653" name="Billede 652"/>
        <cNvPicPr>
          <a:picLocks noChangeAspect="1"/>
        </cNvPicPr>
      </nvPicPr>
      <blipFill>
        <a:blip r:embed="rId37"/>
        <a:stretch>
          <a:fillRect/>
        </a:stretch>
      </blipFill>
      <spPr>
        <a:xfrm>
          <a:off x="1231900" y="2819050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37</row>
      <rowOff>12700</rowOff>
    </from>
    <to>
      <col>2</col>
      <colOff>1727200</colOff>
      <row>37</row>
      <rowOff>1727200</rowOff>
    </to>
    <pic>
      <nvPicPr>
        <cNvPr id="655" name="Billede 654"/>
        <cNvPicPr>
          <a:picLocks noChangeAspect="1"/>
        </cNvPicPr>
      </nvPicPr>
      <blipFill>
        <a:blip r:embed="rId38"/>
        <a:stretch>
          <a:fillRect/>
        </a:stretch>
      </blipFill>
      <spPr>
        <a:xfrm>
          <a:off x="1231900" y="2827718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38</row>
      <rowOff>12700</rowOff>
    </from>
    <to>
      <col>2</col>
      <colOff>1727200</colOff>
      <row>38</row>
      <rowOff>1727200</rowOff>
    </to>
    <pic>
      <nvPicPr>
        <cNvPr id="657" name="Billede 656"/>
        <cNvPicPr>
          <a:picLocks noChangeAspect="1"/>
        </cNvPicPr>
      </nvPicPr>
      <blipFill>
        <a:blip r:embed="rId39"/>
        <a:stretch>
          <a:fillRect/>
        </a:stretch>
      </blipFill>
      <spPr>
        <a:xfrm>
          <a:off x="1231900" y="2836386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39</row>
      <rowOff>12700</rowOff>
    </from>
    <to>
      <col>2</col>
      <colOff>1727200</colOff>
      <row>39</row>
      <rowOff>1727200</rowOff>
    </to>
    <pic>
      <nvPicPr>
        <cNvPr id="659" name="Billede 658"/>
        <cNvPicPr>
          <a:picLocks noChangeAspect="1"/>
        </cNvPicPr>
      </nvPicPr>
      <blipFill>
        <a:blip r:embed="rId40"/>
        <a:stretch>
          <a:fillRect/>
        </a:stretch>
      </blipFill>
      <spPr>
        <a:xfrm>
          <a:off x="1231900" y="2845054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40</row>
      <rowOff>12700</rowOff>
    </from>
    <to>
      <col>2</col>
      <colOff>1727200</colOff>
      <row>40</row>
      <rowOff>1727200</rowOff>
    </to>
    <pic>
      <nvPicPr>
        <cNvPr id="661" name="Billede 660"/>
        <cNvPicPr>
          <a:picLocks noChangeAspect="1"/>
        </cNvPicPr>
      </nvPicPr>
      <blipFill>
        <a:blip r:embed="rId41"/>
        <a:stretch>
          <a:fillRect/>
        </a:stretch>
      </blipFill>
      <spPr>
        <a:xfrm>
          <a:off x="1231900" y="2853721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41</row>
      <rowOff>12700</rowOff>
    </from>
    <to>
      <col>2</col>
      <colOff>1727200</colOff>
      <row>41</row>
      <rowOff>1727200</rowOff>
    </to>
    <pic>
      <nvPicPr>
        <cNvPr id="663" name="Billede 662"/>
        <cNvPicPr>
          <a:picLocks noChangeAspect="1"/>
        </cNvPicPr>
      </nvPicPr>
      <blipFill>
        <a:blip r:embed="rId42"/>
        <a:stretch>
          <a:fillRect/>
        </a:stretch>
      </blipFill>
      <spPr>
        <a:xfrm>
          <a:off x="1231900" y="2862389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42</row>
      <rowOff>12700</rowOff>
    </from>
    <to>
      <col>2</col>
      <colOff>1727200</colOff>
      <row>42</row>
      <rowOff>1727200</rowOff>
    </to>
    <pic>
      <nvPicPr>
        <cNvPr id="665" name="Billede 664"/>
        <cNvPicPr>
          <a:picLocks noChangeAspect="1"/>
        </cNvPicPr>
      </nvPicPr>
      <blipFill>
        <a:blip r:embed="rId43"/>
        <a:stretch>
          <a:fillRect/>
        </a:stretch>
      </blipFill>
      <spPr>
        <a:xfrm>
          <a:off x="1231900" y="2871057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43</row>
      <rowOff>12700</rowOff>
    </from>
    <to>
      <col>2</col>
      <colOff>1727200</colOff>
      <row>43</row>
      <rowOff>1727200</rowOff>
    </to>
    <pic>
      <nvPicPr>
        <cNvPr id="667" name="Billede 666"/>
        <cNvPicPr>
          <a:picLocks noChangeAspect="1"/>
        </cNvPicPr>
      </nvPicPr>
      <blipFill>
        <a:blip r:embed="rId44"/>
        <a:stretch>
          <a:fillRect/>
        </a:stretch>
      </blipFill>
      <spPr>
        <a:xfrm>
          <a:off x="1231900" y="2879725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44</row>
      <rowOff>12700</rowOff>
    </from>
    <to>
      <col>2</col>
      <colOff>1727200</colOff>
      <row>44</row>
      <rowOff>1727200</rowOff>
    </to>
    <pic>
      <nvPicPr>
        <cNvPr id="669" name="Billede 668"/>
        <cNvPicPr>
          <a:picLocks noChangeAspect="1"/>
        </cNvPicPr>
      </nvPicPr>
      <blipFill>
        <a:blip r:embed="rId45"/>
        <a:stretch>
          <a:fillRect/>
        </a:stretch>
      </blipFill>
      <spPr>
        <a:xfrm>
          <a:off x="1231900" y="2888392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45</row>
      <rowOff>12700</rowOff>
    </from>
    <to>
      <col>2</col>
      <colOff>1727200</colOff>
      <row>45</row>
      <rowOff>1727200</rowOff>
    </to>
    <pic>
      <nvPicPr>
        <cNvPr id="671" name="Billede 670"/>
        <cNvPicPr>
          <a:picLocks noChangeAspect="1"/>
        </cNvPicPr>
      </nvPicPr>
      <blipFill>
        <a:blip r:embed="rId46"/>
        <a:stretch>
          <a:fillRect/>
        </a:stretch>
      </blipFill>
      <spPr>
        <a:xfrm>
          <a:off x="1231900" y="2897060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46</row>
      <rowOff>12700</rowOff>
    </from>
    <to>
      <col>2</col>
      <colOff>1727200</colOff>
      <row>46</row>
      <rowOff>1727200</rowOff>
    </to>
    <pic>
      <nvPicPr>
        <cNvPr id="673" name="Billede 672"/>
        <cNvPicPr>
          <a:picLocks noChangeAspect="1"/>
        </cNvPicPr>
      </nvPicPr>
      <blipFill>
        <a:blip r:embed="rId47"/>
        <a:stretch>
          <a:fillRect/>
        </a:stretch>
      </blipFill>
      <spPr>
        <a:xfrm>
          <a:off x="1231900" y="2905728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47</row>
      <rowOff>12700</rowOff>
    </from>
    <to>
      <col>2</col>
      <colOff>1727200</colOff>
      <row>47</row>
      <rowOff>1727200</rowOff>
    </to>
    <pic>
      <nvPicPr>
        <cNvPr id="675" name="Billede 674"/>
        <cNvPicPr>
          <a:picLocks noChangeAspect="1"/>
        </cNvPicPr>
      </nvPicPr>
      <blipFill>
        <a:blip r:embed="rId48"/>
        <a:stretch>
          <a:fillRect/>
        </a:stretch>
      </blipFill>
      <spPr>
        <a:xfrm>
          <a:off x="1231900" y="2914396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48</row>
      <rowOff>12700</rowOff>
    </from>
    <to>
      <col>2</col>
      <colOff>1727200</colOff>
      <row>48</row>
      <rowOff>1727200</rowOff>
    </to>
    <pic>
      <nvPicPr>
        <cNvPr id="677" name="Billede 676"/>
        <cNvPicPr>
          <a:picLocks noChangeAspect="1"/>
        </cNvPicPr>
      </nvPicPr>
      <blipFill>
        <a:blip r:embed="rId49"/>
        <a:stretch>
          <a:fillRect/>
        </a:stretch>
      </blipFill>
      <spPr>
        <a:xfrm>
          <a:off x="1231900" y="2923063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49</row>
      <rowOff>12700</rowOff>
    </from>
    <to>
      <col>2</col>
      <colOff>1727200</colOff>
      <row>49</row>
      <rowOff>1727200</rowOff>
    </to>
    <pic>
      <nvPicPr>
        <cNvPr id="679" name="Billede 678"/>
        <cNvPicPr>
          <a:picLocks noChangeAspect="1"/>
        </cNvPicPr>
      </nvPicPr>
      <blipFill>
        <a:blip r:embed="rId50"/>
        <a:stretch>
          <a:fillRect/>
        </a:stretch>
      </blipFill>
      <spPr>
        <a:xfrm>
          <a:off x="1231900" y="2931731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50</row>
      <rowOff>12700</rowOff>
    </from>
    <to>
      <col>2</col>
      <colOff>1727200</colOff>
      <row>50</row>
      <rowOff>1727200</rowOff>
    </to>
    <pic>
      <nvPicPr>
        <cNvPr id="681" name="Billede 680"/>
        <cNvPicPr>
          <a:picLocks noChangeAspect="1"/>
        </cNvPicPr>
      </nvPicPr>
      <blipFill>
        <a:blip r:embed="rId51"/>
        <a:stretch>
          <a:fillRect/>
        </a:stretch>
      </blipFill>
      <spPr>
        <a:xfrm>
          <a:off x="1231900" y="2940399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51</row>
      <rowOff>12700</rowOff>
    </from>
    <to>
      <col>2</col>
      <colOff>1727200</colOff>
      <row>51</row>
      <rowOff>1727200</rowOff>
    </to>
    <pic>
      <nvPicPr>
        <cNvPr id="683" name="Billede 682"/>
        <cNvPicPr>
          <a:picLocks noChangeAspect="1"/>
        </cNvPicPr>
      </nvPicPr>
      <blipFill>
        <a:blip r:embed="rId52"/>
        <a:stretch>
          <a:fillRect/>
        </a:stretch>
      </blipFill>
      <spPr>
        <a:xfrm>
          <a:off x="1231900" y="2949067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52</row>
      <rowOff>12700</rowOff>
    </from>
    <to>
      <col>2</col>
      <colOff>1727200</colOff>
      <row>52</row>
      <rowOff>1727200</rowOff>
    </to>
    <pic>
      <nvPicPr>
        <cNvPr id="685" name="Billede 684"/>
        <cNvPicPr>
          <a:picLocks noChangeAspect="1"/>
        </cNvPicPr>
      </nvPicPr>
      <blipFill>
        <a:blip r:embed="rId53"/>
        <a:stretch>
          <a:fillRect/>
        </a:stretch>
      </blipFill>
      <spPr>
        <a:xfrm>
          <a:off x="1231900" y="2957734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53</row>
      <rowOff>12700</rowOff>
    </from>
    <to>
      <col>2</col>
      <colOff>1727200</colOff>
      <row>53</row>
      <rowOff>1727200</rowOff>
    </to>
    <pic>
      <nvPicPr>
        <cNvPr id="687" name="Billede 686"/>
        <cNvPicPr>
          <a:picLocks noChangeAspect="1"/>
        </cNvPicPr>
      </nvPicPr>
      <blipFill>
        <a:blip r:embed="rId54"/>
        <a:stretch>
          <a:fillRect/>
        </a:stretch>
      </blipFill>
      <spPr>
        <a:xfrm>
          <a:off x="1231900" y="2966402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54</row>
      <rowOff>12700</rowOff>
    </from>
    <to>
      <col>2</col>
      <colOff>1727200</colOff>
      <row>54</row>
      <rowOff>1727200</rowOff>
    </to>
    <pic>
      <nvPicPr>
        <cNvPr id="689" name="Billede 688"/>
        <cNvPicPr>
          <a:picLocks noChangeAspect="1"/>
        </cNvPicPr>
      </nvPicPr>
      <blipFill>
        <a:blip r:embed="rId55"/>
        <a:stretch>
          <a:fillRect/>
        </a:stretch>
      </blipFill>
      <spPr>
        <a:xfrm>
          <a:off x="1231900" y="2975070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55</row>
      <rowOff>12700</rowOff>
    </from>
    <to>
      <col>2</col>
      <colOff>1727200</colOff>
      <row>55</row>
      <rowOff>1727200</rowOff>
    </to>
    <pic>
      <nvPicPr>
        <cNvPr id="691" name="Billede 690"/>
        <cNvPicPr>
          <a:picLocks noChangeAspect="1"/>
        </cNvPicPr>
      </nvPicPr>
      <blipFill>
        <a:blip r:embed="rId56"/>
        <a:stretch>
          <a:fillRect/>
        </a:stretch>
      </blipFill>
      <spPr>
        <a:xfrm>
          <a:off x="1231900" y="2983738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56</row>
      <rowOff>12700</rowOff>
    </from>
    <to>
      <col>2</col>
      <colOff>1727200</colOff>
      <row>56</row>
      <rowOff>1727200</rowOff>
    </to>
    <pic>
      <nvPicPr>
        <cNvPr id="693" name="Billede 692"/>
        <cNvPicPr>
          <a:picLocks noChangeAspect="1"/>
        </cNvPicPr>
      </nvPicPr>
      <blipFill>
        <a:blip r:embed="rId57"/>
        <a:stretch>
          <a:fillRect/>
        </a:stretch>
      </blipFill>
      <spPr>
        <a:xfrm>
          <a:off x="1231900" y="2992405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57</row>
      <rowOff>12700</rowOff>
    </from>
    <to>
      <col>2</col>
      <colOff>1727200</colOff>
      <row>57</row>
      <rowOff>1727200</rowOff>
    </to>
    <pic>
      <nvPicPr>
        <cNvPr id="695" name="Billede 694"/>
        <cNvPicPr>
          <a:picLocks noChangeAspect="1"/>
        </cNvPicPr>
      </nvPicPr>
      <blipFill>
        <a:blip r:embed="rId58"/>
        <a:stretch>
          <a:fillRect/>
        </a:stretch>
      </blipFill>
      <spPr>
        <a:xfrm>
          <a:off x="1231900" y="3001073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58</row>
      <rowOff>12700</rowOff>
    </from>
    <to>
      <col>2</col>
      <colOff>1727200</colOff>
      <row>58</row>
      <rowOff>1727200</rowOff>
    </to>
    <pic>
      <nvPicPr>
        <cNvPr id="697" name="Billede 696"/>
        <cNvPicPr>
          <a:picLocks noChangeAspect="1"/>
        </cNvPicPr>
      </nvPicPr>
      <blipFill>
        <a:blip r:embed="rId59"/>
        <a:stretch>
          <a:fillRect/>
        </a:stretch>
      </blipFill>
      <spPr>
        <a:xfrm>
          <a:off x="1231900" y="3009741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59</row>
      <rowOff>12700</rowOff>
    </from>
    <to>
      <col>2</col>
      <colOff>1727200</colOff>
      <row>59</row>
      <rowOff>1727200</rowOff>
    </to>
    <pic>
      <nvPicPr>
        <cNvPr id="699" name="Billede 698"/>
        <cNvPicPr>
          <a:picLocks noChangeAspect="1"/>
        </cNvPicPr>
      </nvPicPr>
      <blipFill>
        <a:blip r:embed="rId60"/>
        <a:stretch>
          <a:fillRect/>
        </a:stretch>
      </blipFill>
      <spPr>
        <a:xfrm>
          <a:off x="1231900" y="3018409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60</row>
      <rowOff>12700</rowOff>
    </from>
    <to>
      <col>2</col>
      <colOff>1727200</colOff>
      <row>60</row>
      <rowOff>1727200</rowOff>
    </to>
    <pic>
      <nvPicPr>
        <cNvPr id="701" name="Billede 700"/>
        <cNvPicPr>
          <a:picLocks noChangeAspect="1"/>
        </cNvPicPr>
      </nvPicPr>
      <blipFill>
        <a:blip r:embed="rId61"/>
        <a:stretch>
          <a:fillRect/>
        </a:stretch>
      </blipFill>
      <spPr>
        <a:xfrm>
          <a:off x="1231900" y="3027076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61</row>
      <rowOff>12700</rowOff>
    </from>
    <to>
      <col>2</col>
      <colOff>1727200</colOff>
      <row>61</row>
      <rowOff>1727200</rowOff>
    </to>
    <pic>
      <nvPicPr>
        <cNvPr id="703" name="Billede 702"/>
        <cNvPicPr>
          <a:picLocks noChangeAspect="1"/>
        </cNvPicPr>
      </nvPicPr>
      <blipFill>
        <a:blip r:embed="rId62"/>
        <a:stretch>
          <a:fillRect/>
        </a:stretch>
      </blipFill>
      <spPr>
        <a:xfrm>
          <a:off x="1231900" y="3035744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62</row>
      <rowOff>12700</rowOff>
    </from>
    <to>
      <col>2</col>
      <colOff>1727200</colOff>
      <row>62</row>
      <rowOff>1727200</rowOff>
    </to>
    <pic>
      <nvPicPr>
        <cNvPr id="705" name="Billede 704"/>
        <cNvPicPr>
          <a:picLocks noChangeAspect="1"/>
        </cNvPicPr>
      </nvPicPr>
      <blipFill>
        <a:blip r:embed="rId63"/>
        <a:stretch>
          <a:fillRect/>
        </a:stretch>
      </blipFill>
      <spPr>
        <a:xfrm>
          <a:off x="1231900" y="3044412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63</row>
      <rowOff>12700</rowOff>
    </from>
    <to>
      <col>2</col>
      <colOff>1727200</colOff>
      <row>63</row>
      <rowOff>1727200</rowOff>
    </to>
    <pic>
      <nvPicPr>
        <cNvPr id="707" name="Billede 706"/>
        <cNvPicPr>
          <a:picLocks noChangeAspect="1"/>
        </cNvPicPr>
      </nvPicPr>
      <blipFill>
        <a:blip r:embed="rId64"/>
        <a:stretch>
          <a:fillRect/>
        </a:stretch>
      </blipFill>
      <spPr>
        <a:xfrm>
          <a:off x="1231900" y="3053080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64</row>
      <rowOff>12700</rowOff>
    </from>
    <to>
      <col>2</col>
      <colOff>1727200</colOff>
      <row>64</row>
      <rowOff>1727200</rowOff>
    </to>
    <pic>
      <nvPicPr>
        <cNvPr id="709" name="Billede 708"/>
        <cNvPicPr>
          <a:picLocks noChangeAspect="1"/>
        </cNvPicPr>
      </nvPicPr>
      <blipFill>
        <a:blip r:embed="rId65"/>
        <a:stretch>
          <a:fillRect/>
        </a:stretch>
      </blipFill>
      <spPr>
        <a:xfrm>
          <a:off x="1231900" y="3061747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65</row>
      <rowOff>12700</rowOff>
    </from>
    <to>
      <col>2</col>
      <colOff>1727200</colOff>
      <row>65</row>
      <rowOff>1727200</rowOff>
    </to>
    <pic>
      <nvPicPr>
        <cNvPr id="711" name="Billede 710"/>
        <cNvPicPr>
          <a:picLocks noChangeAspect="1"/>
        </cNvPicPr>
      </nvPicPr>
      <blipFill>
        <a:blip r:embed="rId66"/>
        <a:stretch>
          <a:fillRect/>
        </a:stretch>
      </blipFill>
      <spPr>
        <a:xfrm>
          <a:off x="1231900" y="3070415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66</row>
      <rowOff>12700</rowOff>
    </from>
    <to>
      <col>2</col>
      <colOff>1727200</colOff>
      <row>66</row>
      <rowOff>1727200</rowOff>
    </to>
    <pic>
      <nvPicPr>
        <cNvPr id="713" name="Billede 712"/>
        <cNvPicPr>
          <a:picLocks noChangeAspect="1"/>
        </cNvPicPr>
      </nvPicPr>
      <blipFill>
        <a:blip r:embed="rId67"/>
        <a:stretch>
          <a:fillRect/>
        </a:stretch>
      </blipFill>
      <spPr>
        <a:xfrm>
          <a:off x="1231900" y="3079083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67</row>
      <rowOff>12700</rowOff>
    </from>
    <to>
      <col>2</col>
      <colOff>1727200</colOff>
      <row>67</row>
      <rowOff>1727200</rowOff>
    </to>
    <pic>
      <nvPicPr>
        <cNvPr id="715" name="Billede 714"/>
        <cNvPicPr>
          <a:picLocks noChangeAspect="1"/>
        </cNvPicPr>
      </nvPicPr>
      <blipFill>
        <a:blip r:embed="rId68"/>
        <a:stretch>
          <a:fillRect/>
        </a:stretch>
      </blipFill>
      <spPr>
        <a:xfrm>
          <a:off x="1231900" y="3087751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68</row>
      <rowOff>12700</rowOff>
    </from>
    <to>
      <col>2</col>
      <colOff>1727200</colOff>
      <row>68</row>
      <rowOff>1727200</rowOff>
    </to>
    <pic>
      <nvPicPr>
        <cNvPr id="717" name="Billede 716"/>
        <cNvPicPr>
          <a:picLocks noChangeAspect="1"/>
        </cNvPicPr>
      </nvPicPr>
      <blipFill>
        <a:blip r:embed="rId69"/>
        <a:stretch>
          <a:fillRect/>
        </a:stretch>
      </blipFill>
      <spPr>
        <a:xfrm>
          <a:off x="1231900" y="3096418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69</row>
      <rowOff>12700</rowOff>
    </from>
    <to>
      <col>2</col>
      <colOff>1727200</colOff>
      <row>69</row>
      <rowOff>1727200</rowOff>
    </to>
    <pic>
      <nvPicPr>
        <cNvPr id="719" name="Billede 718"/>
        <cNvPicPr>
          <a:picLocks noChangeAspect="1"/>
        </cNvPicPr>
      </nvPicPr>
      <blipFill>
        <a:blip r:embed="rId70"/>
        <a:stretch>
          <a:fillRect/>
        </a:stretch>
      </blipFill>
      <spPr>
        <a:xfrm>
          <a:off x="1231900" y="3105086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70</row>
      <rowOff>12700</rowOff>
    </from>
    <to>
      <col>2</col>
      <colOff>1727200</colOff>
      <row>70</row>
      <rowOff>1727200</rowOff>
    </to>
    <pic>
      <nvPicPr>
        <cNvPr id="721" name="Billede 720"/>
        <cNvPicPr>
          <a:picLocks noChangeAspect="1"/>
        </cNvPicPr>
      </nvPicPr>
      <blipFill>
        <a:blip r:embed="rId71"/>
        <a:stretch>
          <a:fillRect/>
        </a:stretch>
      </blipFill>
      <spPr>
        <a:xfrm>
          <a:off x="1231900" y="3113754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71</row>
      <rowOff>12700</rowOff>
    </from>
    <to>
      <col>2</col>
      <colOff>1727200</colOff>
      <row>71</row>
      <rowOff>1727200</rowOff>
    </to>
    <pic>
      <nvPicPr>
        <cNvPr id="723" name="Billede 722"/>
        <cNvPicPr>
          <a:picLocks noChangeAspect="1"/>
        </cNvPicPr>
      </nvPicPr>
      <blipFill>
        <a:blip r:embed="rId72"/>
        <a:stretch>
          <a:fillRect/>
        </a:stretch>
      </blipFill>
      <spPr>
        <a:xfrm>
          <a:off x="1231900" y="3122422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72</row>
      <rowOff>12700</rowOff>
    </from>
    <to>
      <col>2</col>
      <colOff>1727200</colOff>
      <row>72</row>
      <rowOff>1727200</rowOff>
    </to>
    <pic>
      <nvPicPr>
        <cNvPr id="725" name="Billede 724"/>
        <cNvPicPr>
          <a:picLocks noChangeAspect="1"/>
        </cNvPicPr>
      </nvPicPr>
      <blipFill>
        <a:blip r:embed="rId73"/>
        <a:stretch>
          <a:fillRect/>
        </a:stretch>
      </blipFill>
      <spPr>
        <a:xfrm>
          <a:off x="1231900" y="3131089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73</row>
      <rowOff>12700</rowOff>
    </from>
    <to>
      <col>2</col>
      <colOff>1727200</colOff>
      <row>73</row>
      <rowOff>1727200</rowOff>
    </to>
    <pic>
      <nvPicPr>
        <cNvPr id="727" name="Billede 726"/>
        <cNvPicPr>
          <a:picLocks noChangeAspect="1"/>
        </cNvPicPr>
      </nvPicPr>
      <blipFill>
        <a:blip r:embed="rId74"/>
        <a:stretch>
          <a:fillRect/>
        </a:stretch>
      </blipFill>
      <spPr>
        <a:xfrm>
          <a:off x="1231900" y="3139757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74</row>
      <rowOff>12700</rowOff>
    </from>
    <to>
      <col>2</col>
      <colOff>1727200</colOff>
      <row>74</row>
      <rowOff>1727200</rowOff>
    </to>
    <pic>
      <nvPicPr>
        <cNvPr id="729" name="Billede 728"/>
        <cNvPicPr>
          <a:picLocks noChangeAspect="1"/>
        </cNvPicPr>
      </nvPicPr>
      <blipFill>
        <a:blip r:embed="rId75"/>
        <a:stretch>
          <a:fillRect/>
        </a:stretch>
      </blipFill>
      <spPr>
        <a:xfrm>
          <a:off x="1231900" y="3148425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75</row>
      <rowOff>12700</rowOff>
    </from>
    <to>
      <col>2</col>
      <colOff>1727200</colOff>
      <row>75</row>
      <rowOff>1727200</rowOff>
    </to>
    <pic>
      <nvPicPr>
        <cNvPr id="731" name="Billede 730"/>
        <cNvPicPr>
          <a:picLocks noChangeAspect="1"/>
        </cNvPicPr>
      </nvPicPr>
      <blipFill>
        <a:blip r:embed="rId76"/>
        <a:stretch>
          <a:fillRect/>
        </a:stretch>
      </blipFill>
      <spPr>
        <a:xfrm>
          <a:off x="1231900" y="3157093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76</row>
      <rowOff>12700</rowOff>
    </from>
    <to>
      <col>2</col>
      <colOff>1727200</colOff>
      <row>76</row>
      <rowOff>1727200</rowOff>
    </to>
    <pic>
      <nvPicPr>
        <cNvPr id="733" name="Billede 732"/>
        <cNvPicPr>
          <a:picLocks noChangeAspect="1"/>
        </cNvPicPr>
      </nvPicPr>
      <blipFill>
        <a:blip r:embed="rId77"/>
        <a:stretch>
          <a:fillRect/>
        </a:stretch>
      </blipFill>
      <spPr>
        <a:xfrm>
          <a:off x="1231900" y="3165760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77</row>
      <rowOff>12700</rowOff>
    </from>
    <to>
      <col>2</col>
      <colOff>1727200</colOff>
      <row>77</row>
      <rowOff>1727200</rowOff>
    </to>
    <pic>
      <nvPicPr>
        <cNvPr id="735" name="Billede 734"/>
        <cNvPicPr>
          <a:picLocks noChangeAspect="1"/>
        </cNvPicPr>
      </nvPicPr>
      <blipFill>
        <a:blip r:embed="rId78"/>
        <a:stretch>
          <a:fillRect/>
        </a:stretch>
      </blipFill>
      <spPr>
        <a:xfrm>
          <a:off x="1231900" y="3174428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78</row>
      <rowOff>12700</rowOff>
    </from>
    <to>
      <col>2</col>
      <colOff>1727200</colOff>
      <row>78</row>
      <rowOff>1727200</rowOff>
    </to>
    <pic>
      <nvPicPr>
        <cNvPr id="737" name="Billede 736"/>
        <cNvPicPr>
          <a:picLocks noChangeAspect="1"/>
        </cNvPicPr>
      </nvPicPr>
      <blipFill>
        <a:blip r:embed="rId79"/>
        <a:stretch>
          <a:fillRect/>
        </a:stretch>
      </blipFill>
      <spPr>
        <a:xfrm>
          <a:off x="1231900" y="3183096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79</row>
      <rowOff>12700</rowOff>
    </from>
    <to>
      <col>2</col>
      <colOff>1727200</colOff>
      <row>79</row>
      <rowOff>1727200</rowOff>
    </to>
    <pic>
      <nvPicPr>
        <cNvPr id="739" name="Billede 738"/>
        <cNvPicPr>
          <a:picLocks noChangeAspect="1"/>
        </cNvPicPr>
      </nvPicPr>
      <blipFill>
        <a:blip r:embed="rId80"/>
        <a:stretch>
          <a:fillRect/>
        </a:stretch>
      </blipFill>
      <spPr>
        <a:xfrm>
          <a:off x="1231900" y="3191764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80</row>
      <rowOff>12700</rowOff>
    </from>
    <to>
      <col>2</col>
      <colOff>1727200</colOff>
      <row>80</row>
      <rowOff>1727200</rowOff>
    </to>
    <pic>
      <nvPicPr>
        <cNvPr id="741" name="Billede 740"/>
        <cNvPicPr>
          <a:picLocks noChangeAspect="1"/>
        </cNvPicPr>
      </nvPicPr>
      <blipFill>
        <a:blip r:embed="rId81"/>
        <a:stretch>
          <a:fillRect/>
        </a:stretch>
      </blipFill>
      <spPr>
        <a:xfrm>
          <a:off x="1231900" y="3200431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81</row>
      <rowOff>12700</rowOff>
    </from>
    <to>
      <col>2</col>
      <colOff>1727200</colOff>
      <row>81</row>
      <rowOff>1727200</rowOff>
    </to>
    <pic>
      <nvPicPr>
        <cNvPr id="743" name="Billede 742"/>
        <cNvPicPr>
          <a:picLocks noChangeAspect="1"/>
        </cNvPicPr>
      </nvPicPr>
      <blipFill>
        <a:blip r:embed="rId82"/>
        <a:stretch>
          <a:fillRect/>
        </a:stretch>
      </blipFill>
      <spPr>
        <a:xfrm>
          <a:off x="1231900" y="3209099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82</row>
      <rowOff>12700</rowOff>
    </from>
    <to>
      <col>2</col>
      <colOff>1727200</colOff>
      <row>82</row>
      <rowOff>1727200</rowOff>
    </to>
    <pic>
      <nvPicPr>
        <cNvPr id="745" name="Billede 744"/>
        <cNvPicPr>
          <a:picLocks noChangeAspect="1"/>
        </cNvPicPr>
      </nvPicPr>
      <blipFill>
        <a:blip r:embed="rId83"/>
        <a:stretch>
          <a:fillRect/>
        </a:stretch>
      </blipFill>
      <spPr>
        <a:xfrm>
          <a:off x="1231900" y="3217767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83</row>
      <rowOff>12700</rowOff>
    </from>
    <to>
      <col>2</col>
      <colOff>1727200</colOff>
      <row>83</row>
      <rowOff>1727200</rowOff>
    </to>
    <pic>
      <nvPicPr>
        <cNvPr id="747" name="Billede 746"/>
        <cNvPicPr>
          <a:picLocks noChangeAspect="1"/>
        </cNvPicPr>
      </nvPicPr>
      <blipFill>
        <a:blip r:embed="rId84"/>
        <a:stretch>
          <a:fillRect/>
        </a:stretch>
      </blipFill>
      <spPr>
        <a:xfrm>
          <a:off x="1231900" y="3226435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84</row>
      <rowOff>12700</rowOff>
    </from>
    <to>
      <col>2</col>
      <colOff>1727200</colOff>
      <row>84</row>
      <rowOff>1727200</rowOff>
    </to>
    <pic>
      <nvPicPr>
        <cNvPr id="749" name="Billede 748"/>
        <cNvPicPr>
          <a:picLocks noChangeAspect="1"/>
        </cNvPicPr>
      </nvPicPr>
      <blipFill>
        <a:blip r:embed="rId85"/>
        <a:stretch>
          <a:fillRect/>
        </a:stretch>
      </blipFill>
      <spPr>
        <a:xfrm>
          <a:off x="1231900" y="3235102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85</row>
      <rowOff>12700</rowOff>
    </from>
    <to>
      <col>2</col>
      <colOff>1727200</colOff>
      <row>85</row>
      <rowOff>1727200</rowOff>
    </to>
    <pic>
      <nvPicPr>
        <cNvPr id="751" name="Billede 750"/>
        <cNvPicPr>
          <a:picLocks noChangeAspect="1"/>
        </cNvPicPr>
      </nvPicPr>
      <blipFill>
        <a:blip r:embed="rId86"/>
        <a:stretch>
          <a:fillRect/>
        </a:stretch>
      </blipFill>
      <spPr>
        <a:xfrm>
          <a:off x="1231900" y="3243770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86</row>
      <rowOff>12700</rowOff>
    </from>
    <to>
      <col>2</col>
      <colOff>1727200</colOff>
      <row>86</row>
      <rowOff>1727200</rowOff>
    </to>
    <pic>
      <nvPicPr>
        <cNvPr id="753" name="Billede 752"/>
        <cNvPicPr>
          <a:picLocks noChangeAspect="1"/>
        </cNvPicPr>
      </nvPicPr>
      <blipFill>
        <a:blip r:embed="rId87"/>
        <a:stretch>
          <a:fillRect/>
        </a:stretch>
      </blipFill>
      <spPr>
        <a:xfrm>
          <a:off x="1231900" y="3252438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87</row>
      <rowOff>12700</rowOff>
    </from>
    <to>
      <col>2</col>
      <colOff>1727200</colOff>
      <row>87</row>
      <rowOff>1727200</rowOff>
    </to>
    <pic>
      <nvPicPr>
        <cNvPr id="755" name="Billede 754"/>
        <cNvPicPr>
          <a:picLocks noChangeAspect="1"/>
        </cNvPicPr>
      </nvPicPr>
      <blipFill>
        <a:blip r:embed="rId88"/>
        <a:stretch>
          <a:fillRect/>
        </a:stretch>
      </blipFill>
      <spPr>
        <a:xfrm>
          <a:off x="1231900" y="3261106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88</row>
      <rowOff>12700</rowOff>
    </from>
    <to>
      <col>2</col>
      <colOff>1727200</colOff>
      <row>88</row>
      <rowOff>1727200</rowOff>
    </to>
    <pic>
      <nvPicPr>
        <cNvPr id="757" name="Billede 756"/>
        <cNvPicPr>
          <a:picLocks noChangeAspect="1"/>
        </cNvPicPr>
      </nvPicPr>
      <blipFill>
        <a:blip r:embed="rId89"/>
        <a:stretch>
          <a:fillRect/>
        </a:stretch>
      </blipFill>
      <spPr>
        <a:xfrm>
          <a:off x="1231900" y="3269773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89</row>
      <rowOff>12700</rowOff>
    </from>
    <to>
      <col>2</col>
      <colOff>1727200</colOff>
      <row>89</row>
      <rowOff>1727200</rowOff>
    </to>
    <pic>
      <nvPicPr>
        <cNvPr id="759" name="Billede 758"/>
        <cNvPicPr>
          <a:picLocks noChangeAspect="1"/>
        </cNvPicPr>
      </nvPicPr>
      <blipFill>
        <a:blip r:embed="rId90"/>
        <a:stretch>
          <a:fillRect/>
        </a:stretch>
      </blipFill>
      <spPr>
        <a:xfrm>
          <a:off x="1231900" y="3278441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90</row>
      <rowOff>12700</rowOff>
    </from>
    <to>
      <col>2</col>
      <colOff>1727200</colOff>
      <row>90</row>
      <rowOff>1727200</rowOff>
    </to>
    <pic>
      <nvPicPr>
        <cNvPr id="761" name="Billede 760"/>
        <cNvPicPr>
          <a:picLocks noChangeAspect="1"/>
        </cNvPicPr>
      </nvPicPr>
      <blipFill>
        <a:blip r:embed="rId91"/>
        <a:stretch>
          <a:fillRect/>
        </a:stretch>
      </blipFill>
      <spPr>
        <a:xfrm>
          <a:off x="1231900" y="3287109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91</row>
      <rowOff>12700</rowOff>
    </from>
    <to>
      <col>2</col>
      <colOff>1727200</colOff>
      <row>91</row>
      <rowOff>1727200</rowOff>
    </to>
    <pic>
      <nvPicPr>
        <cNvPr id="763" name="Billede 762"/>
        <cNvPicPr>
          <a:picLocks noChangeAspect="1"/>
        </cNvPicPr>
      </nvPicPr>
      <blipFill>
        <a:blip r:embed="rId92"/>
        <a:stretch>
          <a:fillRect/>
        </a:stretch>
      </blipFill>
      <spPr>
        <a:xfrm>
          <a:off x="1231900" y="3295777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92</row>
      <rowOff>12700</rowOff>
    </from>
    <to>
      <col>2</col>
      <colOff>1727200</colOff>
      <row>92</row>
      <rowOff>1727200</rowOff>
    </to>
    <pic>
      <nvPicPr>
        <cNvPr id="765" name="Billede 764"/>
        <cNvPicPr>
          <a:picLocks noChangeAspect="1"/>
        </cNvPicPr>
      </nvPicPr>
      <blipFill>
        <a:blip r:embed="rId93"/>
        <a:stretch>
          <a:fillRect/>
        </a:stretch>
      </blipFill>
      <spPr>
        <a:xfrm>
          <a:off x="1231900" y="3304444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93</row>
      <rowOff>12700</rowOff>
    </from>
    <to>
      <col>2</col>
      <colOff>1727200</colOff>
      <row>93</row>
      <rowOff>1727200</rowOff>
    </to>
    <pic>
      <nvPicPr>
        <cNvPr id="767" name="Billede 766"/>
        <cNvPicPr>
          <a:picLocks noChangeAspect="1"/>
        </cNvPicPr>
      </nvPicPr>
      <blipFill>
        <a:blip r:embed="rId94"/>
        <a:stretch>
          <a:fillRect/>
        </a:stretch>
      </blipFill>
      <spPr>
        <a:xfrm>
          <a:off x="1231900" y="3313112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94</row>
      <rowOff>12700</rowOff>
    </from>
    <to>
      <col>2</col>
      <colOff>1727200</colOff>
      <row>94</row>
      <rowOff>1727200</rowOff>
    </to>
    <pic>
      <nvPicPr>
        <cNvPr id="769" name="Billede 768"/>
        <cNvPicPr>
          <a:picLocks noChangeAspect="1"/>
        </cNvPicPr>
      </nvPicPr>
      <blipFill>
        <a:blip r:embed="rId95"/>
        <a:stretch>
          <a:fillRect/>
        </a:stretch>
      </blipFill>
      <spPr>
        <a:xfrm>
          <a:off x="1231900" y="3321780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95</row>
      <rowOff>12700</rowOff>
    </from>
    <to>
      <col>2</col>
      <colOff>1727200</colOff>
      <row>95</row>
      <rowOff>1727200</rowOff>
    </to>
    <pic>
      <nvPicPr>
        <cNvPr id="771" name="Billede 770"/>
        <cNvPicPr>
          <a:picLocks noChangeAspect="1"/>
        </cNvPicPr>
      </nvPicPr>
      <blipFill>
        <a:blip r:embed="rId96"/>
        <a:stretch>
          <a:fillRect/>
        </a:stretch>
      </blipFill>
      <spPr>
        <a:xfrm>
          <a:off x="1231900" y="3330448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96</row>
      <rowOff>12700</rowOff>
    </from>
    <to>
      <col>2</col>
      <colOff>1727200</colOff>
      <row>96</row>
      <rowOff>1727200</rowOff>
    </to>
    <pic>
      <nvPicPr>
        <cNvPr id="773" name="Billede 772"/>
        <cNvPicPr>
          <a:picLocks noChangeAspect="1"/>
        </cNvPicPr>
      </nvPicPr>
      <blipFill>
        <a:blip r:embed="rId97"/>
        <a:stretch>
          <a:fillRect/>
        </a:stretch>
      </blipFill>
      <spPr>
        <a:xfrm>
          <a:off x="1231900" y="3339115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97</row>
      <rowOff>12700</rowOff>
    </from>
    <to>
      <col>2</col>
      <colOff>1727200</colOff>
      <row>97</row>
      <rowOff>1727200</rowOff>
    </to>
    <pic>
      <nvPicPr>
        <cNvPr id="775" name="Billede 774"/>
        <cNvPicPr>
          <a:picLocks noChangeAspect="1"/>
        </cNvPicPr>
      </nvPicPr>
      <blipFill>
        <a:blip r:embed="rId98"/>
        <a:stretch>
          <a:fillRect/>
        </a:stretch>
      </blipFill>
      <spPr>
        <a:xfrm>
          <a:off x="1231900" y="3347783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98</row>
      <rowOff>12700</rowOff>
    </from>
    <to>
      <col>2</col>
      <colOff>1727200</colOff>
      <row>98</row>
      <rowOff>1727200</rowOff>
    </to>
    <pic>
      <nvPicPr>
        <cNvPr id="777" name="Billede 776"/>
        <cNvPicPr>
          <a:picLocks noChangeAspect="1"/>
        </cNvPicPr>
      </nvPicPr>
      <blipFill>
        <a:blip r:embed="rId99"/>
        <a:stretch>
          <a:fillRect/>
        </a:stretch>
      </blipFill>
      <spPr>
        <a:xfrm>
          <a:off x="1231900" y="3356451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99</row>
      <rowOff>12700</rowOff>
    </from>
    <to>
      <col>2</col>
      <colOff>1727200</colOff>
      <row>99</row>
      <rowOff>1727200</rowOff>
    </to>
    <pic>
      <nvPicPr>
        <cNvPr id="779" name="Billede 778"/>
        <cNvPicPr>
          <a:picLocks noChangeAspect="1"/>
        </cNvPicPr>
      </nvPicPr>
      <blipFill>
        <a:blip r:embed="rId100"/>
        <a:stretch>
          <a:fillRect/>
        </a:stretch>
      </blipFill>
      <spPr>
        <a:xfrm>
          <a:off x="1231900" y="3365119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100</row>
      <rowOff>12700</rowOff>
    </from>
    <to>
      <col>2</col>
      <colOff>1727200</colOff>
      <row>100</row>
      <rowOff>1727200</rowOff>
    </to>
    <pic>
      <nvPicPr>
        <cNvPr id="781" name="Billede 780"/>
        <cNvPicPr>
          <a:picLocks noChangeAspect="1"/>
        </cNvPicPr>
      </nvPicPr>
      <blipFill>
        <a:blip r:embed="rId101"/>
        <a:stretch>
          <a:fillRect/>
        </a:stretch>
      </blipFill>
      <spPr>
        <a:xfrm>
          <a:off x="1231900" y="3373786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101</row>
      <rowOff>12700</rowOff>
    </from>
    <to>
      <col>2</col>
      <colOff>1727200</colOff>
      <row>101</row>
      <rowOff>1727200</rowOff>
    </to>
    <pic>
      <nvPicPr>
        <cNvPr id="783" name="Billede 782"/>
        <cNvPicPr>
          <a:picLocks noChangeAspect="1"/>
        </cNvPicPr>
      </nvPicPr>
      <blipFill>
        <a:blip r:embed="rId102"/>
        <a:stretch>
          <a:fillRect/>
        </a:stretch>
      </blipFill>
      <spPr>
        <a:xfrm>
          <a:off x="1231900" y="3382454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102</row>
      <rowOff>12700</rowOff>
    </from>
    <to>
      <col>2</col>
      <colOff>1727200</colOff>
      <row>102</row>
      <rowOff>1727200</rowOff>
    </to>
    <pic>
      <nvPicPr>
        <cNvPr id="785" name="Billede 784"/>
        <cNvPicPr>
          <a:picLocks noChangeAspect="1"/>
        </cNvPicPr>
      </nvPicPr>
      <blipFill>
        <a:blip r:embed="rId103"/>
        <a:stretch>
          <a:fillRect/>
        </a:stretch>
      </blipFill>
      <spPr>
        <a:xfrm>
          <a:off x="1231900" y="3391122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103</row>
      <rowOff>12700</rowOff>
    </from>
    <to>
      <col>2</col>
      <colOff>1727200</colOff>
      <row>103</row>
      <rowOff>1727200</rowOff>
    </to>
    <pic>
      <nvPicPr>
        <cNvPr id="787" name="Billede 786"/>
        <cNvPicPr>
          <a:picLocks noChangeAspect="1"/>
        </cNvPicPr>
      </nvPicPr>
      <blipFill>
        <a:blip r:embed="rId104"/>
        <a:stretch>
          <a:fillRect/>
        </a:stretch>
      </blipFill>
      <spPr>
        <a:xfrm>
          <a:off x="1231900" y="3399790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104</row>
      <rowOff>12700</rowOff>
    </from>
    <to>
      <col>2</col>
      <colOff>1727200</colOff>
      <row>104</row>
      <rowOff>1727200</rowOff>
    </to>
    <pic>
      <nvPicPr>
        <cNvPr id="789" name="Billede 788"/>
        <cNvPicPr>
          <a:picLocks noChangeAspect="1"/>
        </cNvPicPr>
      </nvPicPr>
      <blipFill>
        <a:blip r:embed="rId105"/>
        <a:stretch>
          <a:fillRect/>
        </a:stretch>
      </blipFill>
      <spPr>
        <a:xfrm>
          <a:off x="1231900" y="3408457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105</row>
      <rowOff>12700</rowOff>
    </from>
    <to>
      <col>2</col>
      <colOff>1727200</colOff>
      <row>105</row>
      <rowOff>1727200</rowOff>
    </to>
    <pic>
      <nvPicPr>
        <cNvPr id="791" name="Billede 790"/>
        <cNvPicPr>
          <a:picLocks noChangeAspect="1"/>
        </cNvPicPr>
      </nvPicPr>
      <blipFill>
        <a:blip r:embed="rId106"/>
        <a:stretch>
          <a:fillRect/>
        </a:stretch>
      </blipFill>
      <spPr>
        <a:xfrm>
          <a:off x="1231900" y="3417125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106</row>
      <rowOff>12700</rowOff>
    </from>
    <to>
      <col>2</col>
      <colOff>1727200</colOff>
      <row>106</row>
      <rowOff>1727200</rowOff>
    </to>
    <pic>
      <nvPicPr>
        <cNvPr id="793" name="Billede 792"/>
        <cNvPicPr>
          <a:picLocks noChangeAspect="1"/>
        </cNvPicPr>
      </nvPicPr>
      <blipFill>
        <a:blip r:embed="rId107"/>
        <a:stretch>
          <a:fillRect/>
        </a:stretch>
      </blipFill>
      <spPr>
        <a:xfrm>
          <a:off x="1231900" y="3425793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107</row>
      <rowOff>12700</rowOff>
    </from>
    <to>
      <col>2</col>
      <colOff>1727200</colOff>
      <row>107</row>
      <rowOff>1727200</rowOff>
    </to>
    <pic>
      <nvPicPr>
        <cNvPr id="795" name="Billede 794"/>
        <cNvPicPr>
          <a:picLocks noChangeAspect="1"/>
        </cNvPicPr>
      </nvPicPr>
      <blipFill>
        <a:blip r:embed="rId108"/>
        <a:stretch>
          <a:fillRect/>
        </a:stretch>
      </blipFill>
      <spPr>
        <a:xfrm>
          <a:off x="1231900" y="3434461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108</row>
      <rowOff>12700</rowOff>
    </from>
    <to>
      <col>2</col>
      <colOff>1727200</colOff>
      <row>108</row>
      <rowOff>1727200</rowOff>
    </to>
    <pic>
      <nvPicPr>
        <cNvPr id="797" name="Billede 796"/>
        <cNvPicPr>
          <a:picLocks noChangeAspect="1"/>
        </cNvPicPr>
      </nvPicPr>
      <blipFill>
        <a:blip r:embed="rId109"/>
        <a:stretch>
          <a:fillRect/>
        </a:stretch>
      </blipFill>
      <spPr>
        <a:xfrm>
          <a:off x="1231900" y="3443128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109</row>
      <rowOff>12700</rowOff>
    </from>
    <to>
      <col>2</col>
      <colOff>1727200</colOff>
      <row>109</row>
      <rowOff>1727200</rowOff>
    </to>
    <pic>
      <nvPicPr>
        <cNvPr id="799" name="Billede 798"/>
        <cNvPicPr>
          <a:picLocks noChangeAspect="1"/>
        </cNvPicPr>
      </nvPicPr>
      <blipFill>
        <a:blip r:embed="rId110"/>
        <a:stretch>
          <a:fillRect/>
        </a:stretch>
      </blipFill>
      <spPr>
        <a:xfrm>
          <a:off x="1231900" y="3451796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110</row>
      <rowOff>12700</rowOff>
    </from>
    <to>
      <col>2</col>
      <colOff>1727200</colOff>
      <row>110</row>
      <rowOff>1727200</rowOff>
    </to>
    <pic>
      <nvPicPr>
        <cNvPr id="801" name="Billede 800"/>
        <cNvPicPr>
          <a:picLocks noChangeAspect="1"/>
        </cNvPicPr>
      </nvPicPr>
      <blipFill>
        <a:blip r:embed="rId111"/>
        <a:stretch>
          <a:fillRect/>
        </a:stretch>
      </blipFill>
      <spPr>
        <a:xfrm>
          <a:off x="1231900" y="3460464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111</row>
      <rowOff>12700</rowOff>
    </from>
    <to>
      <col>2</col>
      <colOff>1727200</colOff>
      <row>111</row>
      <rowOff>1727200</rowOff>
    </to>
    <pic>
      <nvPicPr>
        <cNvPr id="803" name="Billede 802"/>
        <cNvPicPr>
          <a:picLocks noChangeAspect="1"/>
        </cNvPicPr>
      </nvPicPr>
      <blipFill>
        <a:blip r:embed="rId112"/>
        <a:stretch>
          <a:fillRect/>
        </a:stretch>
      </blipFill>
      <spPr>
        <a:xfrm>
          <a:off x="1231900" y="3469132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112</row>
      <rowOff>12700</rowOff>
    </from>
    <to>
      <col>2</col>
      <colOff>1727200</colOff>
      <row>112</row>
      <rowOff>1727200</rowOff>
    </to>
    <pic>
      <nvPicPr>
        <cNvPr id="805" name="Billede 804"/>
        <cNvPicPr>
          <a:picLocks noChangeAspect="1"/>
        </cNvPicPr>
      </nvPicPr>
      <blipFill>
        <a:blip r:embed="rId113"/>
        <a:stretch>
          <a:fillRect/>
        </a:stretch>
      </blipFill>
      <spPr>
        <a:xfrm>
          <a:off x="1231900" y="3477799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113</row>
      <rowOff>12700</rowOff>
    </from>
    <to>
      <col>2</col>
      <colOff>1727200</colOff>
      <row>113</row>
      <rowOff>1727200</rowOff>
    </to>
    <pic>
      <nvPicPr>
        <cNvPr id="807" name="Billede 806"/>
        <cNvPicPr>
          <a:picLocks noChangeAspect="1"/>
        </cNvPicPr>
      </nvPicPr>
      <blipFill>
        <a:blip r:embed="rId114"/>
        <a:stretch>
          <a:fillRect/>
        </a:stretch>
      </blipFill>
      <spPr>
        <a:xfrm>
          <a:off x="1231900" y="3486467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114</row>
      <rowOff>12700</rowOff>
    </from>
    <to>
      <col>2</col>
      <colOff>1727200</colOff>
      <row>114</row>
      <rowOff>1727200</rowOff>
    </to>
    <pic>
      <nvPicPr>
        <cNvPr id="809" name="Billede 808"/>
        <cNvPicPr>
          <a:picLocks noChangeAspect="1"/>
        </cNvPicPr>
      </nvPicPr>
      <blipFill>
        <a:blip r:embed="rId115"/>
        <a:stretch>
          <a:fillRect/>
        </a:stretch>
      </blipFill>
      <spPr>
        <a:xfrm>
          <a:off x="1231900" y="3495135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115</row>
      <rowOff>12700</rowOff>
    </from>
    <to>
      <col>2</col>
      <colOff>1727200</colOff>
      <row>115</row>
      <rowOff>1727200</rowOff>
    </to>
    <pic>
      <nvPicPr>
        <cNvPr id="811" name="Billede 810"/>
        <cNvPicPr>
          <a:picLocks noChangeAspect="1"/>
        </cNvPicPr>
      </nvPicPr>
      <blipFill>
        <a:blip r:embed="rId116"/>
        <a:stretch>
          <a:fillRect/>
        </a:stretch>
      </blipFill>
      <spPr>
        <a:xfrm>
          <a:off x="1231900" y="3503803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116</row>
      <rowOff>12700</rowOff>
    </from>
    <to>
      <col>2</col>
      <colOff>1727200</colOff>
      <row>116</row>
      <rowOff>1727200</rowOff>
    </to>
    <pic>
      <nvPicPr>
        <cNvPr id="813" name="Billede 812"/>
        <cNvPicPr>
          <a:picLocks noChangeAspect="1"/>
        </cNvPicPr>
      </nvPicPr>
      <blipFill>
        <a:blip r:embed="rId117"/>
        <a:stretch>
          <a:fillRect/>
        </a:stretch>
      </blipFill>
      <spPr>
        <a:xfrm>
          <a:off x="1231900" y="3512470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117</row>
      <rowOff>12700</rowOff>
    </from>
    <to>
      <col>2</col>
      <colOff>1727200</colOff>
      <row>117</row>
      <rowOff>1727200</rowOff>
    </to>
    <pic>
      <nvPicPr>
        <cNvPr id="815" name="Billede 814"/>
        <cNvPicPr>
          <a:picLocks noChangeAspect="1"/>
        </cNvPicPr>
      </nvPicPr>
      <blipFill>
        <a:blip r:embed="rId118"/>
        <a:stretch>
          <a:fillRect/>
        </a:stretch>
      </blipFill>
      <spPr>
        <a:xfrm>
          <a:off x="1231900" y="3521138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118</row>
      <rowOff>12700</rowOff>
    </from>
    <to>
      <col>2</col>
      <colOff>1727200</colOff>
      <row>118</row>
      <rowOff>1727200</rowOff>
    </to>
    <pic>
      <nvPicPr>
        <cNvPr id="817" name="Billede 816"/>
        <cNvPicPr>
          <a:picLocks noChangeAspect="1"/>
        </cNvPicPr>
      </nvPicPr>
      <blipFill>
        <a:blip r:embed="rId119"/>
        <a:stretch>
          <a:fillRect/>
        </a:stretch>
      </blipFill>
      <spPr>
        <a:xfrm>
          <a:off x="1231900" y="3529806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119</row>
      <rowOff>12700</rowOff>
    </from>
    <to>
      <col>2</col>
      <colOff>1727200</colOff>
      <row>119</row>
      <rowOff>1727200</rowOff>
    </to>
    <pic>
      <nvPicPr>
        <cNvPr id="819" name="Billede 818"/>
        <cNvPicPr>
          <a:picLocks noChangeAspect="1"/>
        </cNvPicPr>
      </nvPicPr>
      <blipFill>
        <a:blip r:embed="rId120"/>
        <a:stretch>
          <a:fillRect/>
        </a:stretch>
      </blipFill>
      <spPr>
        <a:xfrm>
          <a:off x="1231900" y="3538474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120</row>
      <rowOff>12700</rowOff>
    </from>
    <to>
      <col>2</col>
      <colOff>1727200</colOff>
      <row>120</row>
      <rowOff>1727200</rowOff>
    </to>
    <pic>
      <nvPicPr>
        <cNvPr id="821" name="Billede 820"/>
        <cNvPicPr>
          <a:picLocks noChangeAspect="1"/>
        </cNvPicPr>
      </nvPicPr>
      <blipFill>
        <a:blip r:embed="rId121"/>
        <a:stretch>
          <a:fillRect/>
        </a:stretch>
      </blipFill>
      <spPr>
        <a:xfrm>
          <a:off x="1231900" y="3547141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121</row>
      <rowOff>12700</rowOff>
    </from>
    <to>
      <col>2</col>
      <colOff>1727200</colOff>
      <row>121</row>
      <rowOff>1727200</rowOff>
    </to>
    <pic>
      <nvPicPr>
        <cNvPr id="823" name="Billede 822"/>
        <cNvPicPr>
          <a:picLocks noChangeAspect="1"/>
        </cNvPicPr>
      </nvPicPr>
      <blipFill>
        <a:blip r:embed="rId122"/>
        <a:stretch>
          <a:fillRect/>
        </a:stretch>
      </blipFill>
      <spPr>
        <a:xfrm>
          <a:off x="1231900" y="3555809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122</row>
      <rowOff>12700</rowOff>
    </from>
    <to>
      <col>2</col>
      <colOff>1727200</colOff>
      <row>122</row>
      <rowOff>1727200</rowOff>
    </to>
    <pic>
      <nvPicPr>
        <cNvPr id="825" name="Billede 824"/>
        <cNvPicPr>
          <a:picLocks noChangeAspect="1"/>
        </cNvPicPr>
      </nvPicPr>
      <blipFill>
        <a:blip r:embed="rId123"/>
        <a:stretch>
          <a:fillRect/>
        </a:stretch>
      </blipFill>
      <spPr>
        <a:xfrm>
          <a:off x="1231900" y="3564477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123</row>
      <rowOff>12700</rowOff>
    </from>
    <to>
      <col>2</col>
      <colOff>1727200</colOff>
      <row>123</row>
      <rowOff>1727200</rowOff>
    </to>
    <pic>
      <nvPicPr>
        <cNvPr id="827" name="Billede 826"/>
        <cNvPicPr>
          <a:picLocks noChangeAspect="1"/>
        </cNvPicPr>
      </nvPicPr>
      <blipFill>
        <a:blip r:embed="rId124"/>
        <a:stretch>
          <a:fillRect/>
        </a:stretch>
      </blipFill>
      <spPr>
        <a:xfrm>
          <a:off x="1231900" y="3573145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124</row>
      <rowOff>12700</rowOff>
    </from>
    <to>
      <col>2</col>
      <colOff>1727200</colOff>
      <row>124</row>
      <rowOff>1727200</rowOff>
    </to>
    <pic>
      <nvPicPr>
        <cNvPr id="829" name="Billede 828"/>
        <cNvPicPr>
          <a:picLocks noChangeAspect="1"/>
        </cNvPicPr>
      </nvPicPr>
      <blipFill>
        <a:blip r:embed="rId125"/>
        <a:stretch>
          <a:fillRect/>
        </a:stretch>
      </blipFill>
      <spPr>
        <a:xfrm>
          <a:off x="1231900" y="3581812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125</row>
      <rowOff>12700</rowOff>
    </from>
    <to>
      <col>2</col>
      <colOff>1727200</colOff>
      <row>125</row>
      <rowOff>1727200</rowOff>
    </to>
    <pic>
      <nvPicPr>
        <cNvPr id="831" name="Billede 830"/>
        <cNvPicPr>
          <a:picLocks noChangeAspect="1"/>
        </cNvPicPr>
      </nvPicPr>
      <blipFill>
        <a:blip r:embed="rId126"/>
        <a:stretch>
          <a:fillRect/>
        </a:stretch>
      </blipFill>
      <spPr>
        <a:xfrm>
          <a:off x="1231900" y="3590480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126</row>
      <rowOff>12700</rowOff>
    </from>
    <to>
      <col>2</col>
      <colOff>1727200</colOff>
      <row>126</row>
      <rowOff>1727200</rowOff>
    </to>
    <pic>
      <nvPicPr>
        <cNvPr id="833" name="Billede 832"/>
        <cNvPicPr>
          <a:picLocks noChangeAspect="1"/>
        </cNvPicPr>
      </nvPicPr>
      <blipFill>
        <a:blip r:embed="rId127"/>
        <a:stretch>
          <a:fillRect/>
        </a:stretch>
      </blipFill>
      <spPr>
        <a:xfrm>
          <a:off x="1231900" y="3599148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127</row>
      <rowOff>12700</rowOff>
    </from>
    <to>
      <col>2</col>
      <colOff>1727200</colOff>
      <row>127</row>
      <rowOff>1727200</rowOff>
    </to>
    <pic>
      <nvPicPr>
        <cNvPr id="835" name="Billede 834"/>
        <cNvPicPr>
          <a:picLocks noChangeAspect="1"/>
        </cNvPicPr>
      </nvPicPr>
      <blipFill>
        <a:blip r:embed="rId128"/>
        <a:stretch>
          <a:fillRect/>
        </a:stretch>
      </blipFill>
      <spPr>
        <a:xfrm>
          <a:off x="1231900" y="3607816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128</row>
      <rowOff>12700</rowOff>
    </from>
    <to>
      <col>2</col>
      <colOff>1727200</colOff>
      <row>128</row>
      <rowOff>1727200</rowOff>
    </to>
    <pic>
      <nvPicPr>
        <cNvPr id="837" name="Billede 836"/>
        <cNvPicPr>
          <a:picLocks noChangeAspect="1"/>
        </cNvPicPr>
      </nvPicPr>
      <blipFill>
        <a:blip r:embed="rId129"/>
        <a:stretch>
          <a:fillRect/>
        </a:stretch>
      </blipFill>
      <spPr>
        <a:xfrm>
          <a:off x="1231900" y="3616483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129</row>
      <rowOff>12700</rowOff>
    </from>
    <to>
      <col>2</col>
      <colOff>1727200</colOff>
      <row>129</row>
      <rowOff>1727200</rowOff>
    </to>
    <pic>
      <nvPicPr>
        <cNvPr id="839" name="Billede 838"/>
        <cNvPicPr>
          <a:picLocks noChangeAspect="1"/>
        </cNvPicPr>
      </nvPicPr>
      <blipFill>
        <a:blip r:embed="rId130"/>
        <a:stretch>
          <a:fillRect/>
        </a:stretch>
      </blipFill>
      <spPr>
        <a:xfrm>
          <a:off x="1231900" y="3625151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130</row>
      <rowOff>12700</rowOff>
    </from>
    <to>
      <col>2</col>
      <colOff>1727200</colOff>
      <row>130</row>
      <rowOff>1727200</rowOff>
    </to>
    <pic>
      <nvPicPr>
        <cNvPr id="841" name="Billede 840"/>
        <cNvPicPr>
          <a:picLocks noChangeAspect="1"/>
        </cNvPicPr>
      </nvPicPr>
      <blipFill>
        <a:blip r:embed="rId131"/>
        <a:stretch>
          <a:fillRect/>
        </a:stretch>
      </blipFill>
      <spPr>
        <a:xfrm>
          <a:off x="1231900" y="3633819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131</row>
      <rowOff>12700</rowOff>
    </from>
    <to>
      <col>2</col>
      <colOff>1727200</colOff>
      <row>131</row>
      <rowOff>1727200</rowOff>
    </to>
    <pic>
      <nvPicPr>
        <cNvPr id="843" name="Billede 842"/>
        <cNvPicPr>
          <a:picLocks noChangeAspect="1"/>
        </cNvPicPr>
      </nvPicPr>
      <blipFill>
        <a:blip r:embed="rId132"/>
        <a:stretch>
          <a:fillRect/>
        </a:stretch>
      </blipFill>
      <spPr>
        <a:xfrm>
          <a:off x="1231900" y="3642487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132</row>
      <rowOff>12700</rowOff>
    </from>
    <to>
      <col>2</col>
      <colOff>1727200</colOff>
      <row>132</row>
      <rowOff>1727200</rowOff>
    </to>
    <pic>
      <nvPicPr>
        <cNvPr id="845" name="Billede 844"/>
        <cNvPicPr>
          <a:picLocks noChangeAspect="1"/>
        </cNvPicPr>
      </nvPicPr>
      <blipFill>
        <a:blip r:embed="rId133"/>
        <a:stretch>
          <a:fillRect/>
        </a:stretch>
      </blipFill>
      <spPr>
        <a:xfrm>
          <a:off x="1231900" y="3651154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133</row>
      <rowOff>12700</rowOff>
    </from>
    <to>
      <col>2</col>
      <colOff>1727200</colOff>
      <row>133</row>
      <rowOff>1727200</rowOff>
    </to>
    <pic>
      <nvPicPr>
        <cNvPr id="847" name="Billede 846"/>
        <cNvPicPr>
          <a:picLocks noChangeAspect="1"/>
        </cNvPicPr>
      </nvPicPr>
      <blipFill>
        <a:blip r:embed="rId134"/>
        <a:stretch>
          <a:fillRect/>
        </a:stretch>
      </blipFill>
      <spPr>
        <a:xfrm>
          <a:off x="1231900" y="365982250"/>
          <a:ext cx="1714500" cy="1714500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1" displayName="Tabel1" ref="A1:L134" headerRowCount="1" totalsRowShown="0">
  <autoFilter ref="A1:L134"/>
  <tableColumns count="12">
    <tableColumn id="1" name="Item" dataDxfId="4"/>
    <tableColumn id="2" name="Part Number" dataDxfId="3"/>
    <tableColumn id="3" name="Thumbnail"/>
    <tableColumn id="4" name="BOM Structure"/>
    <tableColumn id="5" name="Unit QTY"/>
    <tableColumn id="6" name="QTY"/>
    <tableColumn id="7" name="Stock Number"/>
    <tableColumn id="8" name="Description"/>
    <tableColumn id="9" name="REV"/>
    <tableColumn id="10" name="D" dataDxfId="2"/>
    <tableColumn id="11" name="t" dataDxfId="1"/>
    <tableColumn id="12" name="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Ark1">
    <outlinePr summaryBelow="1" summaryRight="1"/>
    <pageSetUpPr/>
  </sheetPr>
  <dimension ref="A1:M134"/>
  <sheetViews>
    <sheetView tabSelected="1" zoomScaleNormal="100" workbookViewId="0">
      <selection activeCell="A2" sqref="A2"/>
    </sheetView>
  </sheetViews>
  <sheetFormatPr baseColWidth="8" defaultRowHeight="15" outlineLevelRow="2"/>
  <cols>
    <col width="10.28515625" bestFit="1" customWidth="1" min="1" max="1"/>
    <col width="44.140625" bestFit="1" customWidth="1" min="2" max="2"/>
    <col width="12.5703125" customWidth="1" min="3" max="3"/>
    <col width="16" customWidth="1" min="4" max="4"/>
    <col width="12.42578125" bestFit="1" customWidth="1" min="5" max="6"/>
    <col width="15.5703125" customWidth="1" min="7" max="7"/>
    <col width="60.42578125" bestFit="1" customWidth="1" min="8" max="8"/>
    <col width="6.5703125" customWidth="1" min="9" max="9"/>
    <col width="7.5703125" bestFit="1" customWidth="1" min="10" max="11"/>
    <col width="12.42578125" bestFit="1" customWidth="1" min="12" max="12"/>
  </cols>
  <sheetData>
    <row r="1">
      <c r="A1" t="inlineStr">
        <is>
          <t>Item</t>
        </is>
      </c>
      <c r="B1" t="inlineStr">
        <is>
          <t>Part Number</t>
        </is>
      </c>
      <c r="C1" t="inlineStr">
        <is>
          <t>Thumbnail</t>
        </is>
      </c>
      <c r="D1" t="inlineStr">
        <is>
          <t>BOM Structure</t>
        </is>
      </c>
      <c r="E1" t="inlineStr">
        <is>
          <t>Unit QTY</t>
        </is>
      </c>
      <c r="F1" t="inlineStr">
        <is>
          <t>QTY</t>
        </is>
      </c>
      <c r="G1" t="inlineStr">
        <is>
          <t>Stock Number</t>
        </is>
      </c>
      <c r="H1" t="inlineStr">
        <is>
          <t>Description</t>
        </is>
      </c>
      <c r="I1" t="inlineStr">
        <is>
          <t>REV</t>
        </is>
      </c>
      <c r="J1" t="inlineStr">
        <is>
          <t>D</t>
        </is>
      </c>
      <c r="K1" t="inlineStr">
        <is>
          <t>t</t>
        </is>
      </c>
      <c r="L1" t="inlineStr">
        <is>
          <t>L</t>
        </is>
      </c>
      <c r="M1" t="inlineStr">
        <is>
          <t>Link to Drawing</t>
        </is>
      </c>
    </row>
    <row r="2" ht="68.25" customHeight="1">
      <c r="A2" s="1" t="inlineStr">
        <is>
          <t>1</t>
        </is>
      </c>
      <c r="B2" s="1" t="inlineStr">
        <is>
          <t>0000-341-005</t>
        </is>
      </c>
      <c r="D2" t="inlineStr">
        <is>
          <t>Normal</t>
        </is>
      </c>
      <c r="E2" t="n">
        <v>1</v>
      </c>
      <c r="F2" t="n">
        <v>2</v>
      </c>
      <c r="H2" t="inlineStr">
        <is>
          <t>Pipe Support - 100x100 L=2500</t>
        </is>
      </c>
      <c r="I2" t="inlineStr"/>
      <c r="J2" s="1" t="inlineStr"/>
      <c r="K2" s="1" t="inlineStr"/>
      <c r="L2" s="1" t="inlineStr"/>
      <c r="M2" t="inlineStr">
        <is>
          <t>Not available</t>
        </is>
      </c>
    </row>
    <row r="3" hidden="1" outlineLevel="1" ht="68.25" customHeight="1">
      <c r="A3" s="1" t="inlineStr">
        <is>
          <t>1.3</t>
        </is>
      </c>
      <c r="B3" s="1" t="inlineStr">
        <is>
          <t>0000-703-004</t>
        </is>
      </c>
      <c r="D3" t="inlineStr">
        <is>
          <t>Normal</t>
        </is>
      </c>
      <c r="E3" t="n">
        <v>1</v>
      </c>
      <c r="F3" t="n">
        <v>1</v>
      </c>
      <c r="H3" t="inlineStr">
        <is>
          <t>Cover plate - 96x96x3</t>
        </is>
      </c>
      <c r="I3" t="inlineStr"/>
      <c r="J3" s="1" t="inlineStr"/>
      <c r="K3" s="1" t="inlineStr"/>
      <c r="L3" s="1" t="inlineStr"/>
      <c r="M3" t="inlineStr">
        <is>
          <t>Not available</t>
        </is>
      </c>
    </row>
    <row r="4" hidden="1" outlineLevel="1" ht="68.25" customHeight="1">
      <c r="A4" s="1" t="inlineStr">
        <is>
          <t>1.2</t>
        </is>
      </c>
      <c r="B4" s="1" t="inlineStr">
        <is>
          <t>0000-703-103</t>
        </is>
      </c>
      <c r="D4" t="inlineStr">
        <is>
          <t>Normal</t>
        </is>
      </c>
      <c r="E4" t="inlineStr">
        <is>
          <t>2500,000 mm</t>
        </is>
      </c>
      <c r="F4" t="inlineStr">
        <is>
          <t>2500,000 mm</t>
        </is>
      </c>
      <c r="H4" t="inlineStr">
        <is>
          <t>Square pipe - EN10210-2 - 100x100x4</t>
        </is>
      </c>
      <c r="I4" t="inlineStr"/>
      <c r="J4" s="1" t="inlineStr"/>
      <c r="K4" s="1" t="inlineStr"/>
      <c r="L4" s="1" t="inlineStr">
        <is>
          <t>2500,000 mm</t>
        </is>
      </c>
      <c r="M4" t="inlineStr">
        <is>
          <t>Not available</t>
        </is>
      </c>
    </row>
    <row r="5" hidden="1" outlineLevel="1" ht="68.25" customHeight="1">
      <c r="A5" s="1" t="inlineStr">
        <is>
          <t>1.1</t>
        </is>
      </c>
      <c r="B5" s="1" t="inlineStr">
        <is>
          <t>0000-703-104</t>
        </is>
      </c>
      <c r="D5" t="inlineStr">
        <is>
          <t>Normal</t>
        </is>
      </c>
      <c r="E5" t="n">
        <v>1</v>
      </c>
      <c r="F5" t="n">
        <v>1</v>
      </c>
      <c r="H5" t="inlineStr">
        <is>
          <t>Holder foot 250x250x8</t>
        </is>
      </c>
      <c r="I5" t="inlineStr"/>
      <c r="J5" s="1" t="inlineStr"/>
      <c r="K5" s="1" t="inlineStr"/>
      <c r="L5" s="1" t="inlineStr"/>
      <c r="M5" t="inlineStr">
        <is>
          <t>Not available</t>
        </is>
      </c>
    </row>
    <row r="6" collapsed="1" ht="68.25" customHeight="1">
      <c r="A6" s="1" t="inlineStr">
        <is>
          <t>2</t>
        </is>
      </c>
      <c r="B6" s="1" t="inlineStr">
        <is>
          <t>0000-342-012</t>
        </is>
      </c>
      <c r="D6" t="inlineStr">
        <is>
          <t>Normal</t>
        </is>
      </c>
      <c r="E6" t="n">
        <v>1</v>
      </c>
      <c r="F6" t="n">
        <v>2</v>
      </c>
      <c r="H6" t="inlineStr">
        <is>
          <t xml:space="preserve">Pipe Holder DN150 </t>
        </is>
      </c>
      <c r="I6" t="inlineStr"/>
      <c r="J6" s="1" t="inlineStr"/>
      <c r="K6" s="1" t="inlineStr"/>
      <c r="L6" s="1" t="inlineStr"/>
      <c r="M6" t="inlineStr">
        <is>
          <t>Not available</t>
        </is>
      </c>
    </row>
    <row r="7" hidden="1" outlineLevel="1" ht="68.25" customHeight="1">
      <c r="A7" s="1" t="inlineStr">
        <is>
          <t>2.1</t>
        </is>
      </c>
      <c r="B7" s="1" t="inlineStr">
        <is>
          <t>0000-703-090</t>
        </is>
      </c>
      <c r="D7" t="inlineStr">
        <is>
          <t>Normal</t>
        </is>
      </c>
      <c r="E7" t="n">
        <v>1</v>
      </c>
      <c r="F7" t="n">
        <v>2</v>
      </c>
      <c r="H7" t="inlineStr">
        <is>
          <t>DIN 3567 - DN150 - Pipe Clamp Form A</t>
        </is>
      </c>
      <c r="I7" t="inlineStr"/>
      <c r="J7" s="1" t="inlineStr"/>
      <c r="K7" s="1" t="inlineStr"/>
      <c r="L7" s="1" t="inlineStr"/>
      <c r="M7" t="inlineStr">
        <is>
          <t>Not available</t>
        </is>
      </c>
    </row>
    <row r="8" hidden="1" outlineLevel="1" ht="68.25" customHeight="1">
      <c r="A8" s="1" t="inlineStr">
        <is>
          <t>2.5</t>
        </is>
      </c>
      <c r="B8" s="1" t="inlineStr">
        <is>
          <t>0000-750-001</t>
        </is>
      </c>
      <c r="D8" t="inlineStr">
        <is>
          <t>Normal</t>
        </is>
      </c>
      <c r="E8" t="n">
        <v>1</v>
      </c>
      <c r="F8" t="n">
        <v>2</v>
      </c>
      <c r="H8" t="inlineStr">
        <is>
          <t>Bolt - M16x50 - ISO4017</t>
        </is>
      </c>
      <c r="I8" t="inlineStr"/>
      <c r="J8" s="1" t="inlineStr"/>
      <c r="K8" s="1" t="inlineStr"/>
      <c r="L8" s="1" t="inlineStr"/>
      <c r="M8" t="inlineStr">
        <is>
          <t>Not available</t>
        </is>
      </c>
    </row>
    <row r="9" hidden="1" outlineLevel="1" ht="68.25" customHeight="1">
      <c r="A9" s="1" t="inlineStr">
        <is>
          <t>2.3</t>
        </is>
      </c>
      <c r="B9" s="1" t="inlineStr">
        <is>
          <t>0000-750-002</t>
        </is>
      </c>
      <c r="D9" t="inlineStr">
        <is>
          <t>Normal</t>
        </is>
      </c>
      <c r="E9" t="n">
        <v>1</v>
      </c>
      <c r="F9" t="n">
        <v>2</v>
      </c>
      <c r="H9" t="inlineStr">
        <is>
          <t>Nut - M16 - ISO 4032</t>
        </is>
      </c>
      <c r="I9" t="inlineStr"/>
      <c r="J9" s="1" t="inlineStr"/>
      <c r="K9" s="1" t="inlineStr"/>
      <c r="L9" s="1" t="inlineStr"/>
      <c r="M9" t="inlineStr">
        <is>
          <t>Not available</t>
        </is>
      </c>
    </row>
    <row r="10" hidden="1" outlineLevel="1" ht="68.25" customHeight="1">
      <c r="A10" s="1" t="inlineStr">
        <is>
          <t>2.4</t>
        </is>
      </c>
      <c r="B10" s="1" t="inlineStr">
        <is>
          <t>0000-750-003</t>
        </is>
      </c>
      <c r="D10" t="inlineStr">
        <is>
          <t>Purchased</t>
        </is>
      </c>
      <c r="E10" t="n">
        <v>1</v>
      </c>
      <c r="F10" t="n">
        <v>4</v>
      </c>
      <c r="H10" t="inlineStr">
        <is>
          <t>Washer - M16 - ISO7089</t>
        </is>
      </c>
      <c r="I10" t="inlineStr"/>
      <c r="J10" s="1" t="inlineStr"/>
      <c r="K10" s="1" t="inlineStr"/>
      <c r="L10" s="1" t="inlineStr"/>
      <c r="M10" t="inlineStr">
        <is>
          <t>Not available</t>
        </is>
      </c>
    </row>
    <row r="11" hidden="1" outlineLevel="1" ht="68.25" customHeight="1">
      <c r="A11" s="1" t="inlineStr">
        <is>
          <t>2.2</t>
        </is>
      </c>
      <c r="B11" s="1" t="inlineStr">
        <is>
          <t>0000-750-004</t>
        </is>
      </c>
      <c r="D11" t="inlineStr">
        <is>
          <t>Normal</t>
        </is>
      </c>
      <c r="E11" t="n">
        <v>1</v>
      </c>
      <c r="F11" t="n">
        <v>1</v>
      </c>
      <c r="H11" t="inlineStr">
        <is>
          <t>M16x250 - DIN 975 Thread Bar - A2</t>
        </is>
      </c>
      <c r="I11" t="inlineStr"/>
      <c r="J11" s="1" t="inlineStr"/>
      <c r="K11" s="1" t="inlineStr"/>
      <c r="L11" s="1" t="inlineStr"/>
      <c r="M11" t="inlineStr">
        <is>
          <t>Not available</t>
        </is>
      </c>
    </row>
    <row r="12" collapsed="1" ht="68.25" customHeight="1">
      <c r="A12" s="1" t="inlineStr">
        <is>
          <t>3</t>
        </is>
      </c>
      <c r="B12" s="1" t="inlineStr">
        <is>
          <t>0000-343-001</t>
        </is>
      </c>
      <c r="D12" t="inlineStr">
        <is>
          <t>Inseparable</t>
        </is>
      </c>
      <c r="E12" t="n">
        <v>1</v>
      </c>
      <c r="F12" t="n">
        <v>2</v>
      </c>
      <c r="H12" t="inlineStr">
        <is>
          <t>Support Bracket for Pipe Holders - 350</t>
        </is>
      </c>
      <c r="I12" t="inlineStr"/>
      <c r="J12" s="1" t="inlineStr"/>
      <c r="K12" s="1" t="inlineStr"/>
      <c r="L12" s="1" t="inlineStr"/>
      <c r="M12" t="inlineStr">
        <is>
          <t>Not available</t>
        </is>
      </c>
    </row>
    <row r="13" hidden="1" outlineLevel="1" ht="68.25" customHeight="1">
      <c r="A13" s="1" t="inlineStr">
        <is>
          <t>3.2</t>
        </is>
      </c>
      <c r="B13" s="1" t="inlineStr">
        <is>
          <t>0000-343-002</t>
        </is>
      </c>
      <c r="D13" t="inlineStr">
        <is>
          <t>Normal</t>
        </is>
      </c>
      <c r="E13" t="n">
        <v>1</v>
      </c>
      <c r="F13" t="n">
        <v>1</v>
      </c>
      <c r="I13" t="inlineStr"/>
      <c r="J13" s="1" t="inlineStr"/>
      <c r="K13" s="1" t="inlineStr"/>
      <c r="L13" s="1" t="inlineStr"/>
      <c r="M13" t="inlineStr">
        <is>
          <t>Not available</t>
        </is>
      </c>
    </row>
    <row r="14" hidden="1" outlineLevel="2" ht="68.25" customHeight="1">
      <c r="A14" s="1" t="inlineStr">
        <is>
          <t>3.2.1</t>
        </is>
      </c>
      <c r="B14" s="1" t="inlineStr">
        <is>
          <t>0000-703-104</t>
        </is>
      </c>
      <c r="D14" t="inlineStr">
        <is>
          <t>Normal</t>
        </is>
      </c>
      <c r="E14" t="inlineStr">
        <is>
          <t>160,0 mm</t>
        </is>
      </c>
      <c r="F14" t="inlineStr">
        <is>
          <t>160,0 mm</t>
        </is>
      </c>
      <c r="G14" s="1" t="inlineStr">
        <is>
          <t>100 x 8</t>
        </is>
      </c>
      <c r="H14" t="inlineStr">
        <is>
          <t>Sheet 8mm</t>
        </is>
      </c>
      <c r="I14" t="inlineStr"/>
      <c r="J14" s="1" t="inlineStr"/>
      <c r="K14" s="1" t="inlineStr"/>
      <c r="L14" s="1" t="inlineStr"/>
      <c r="M14" t="inlineStr">
        <is>
          <t>Not available</t>
        </is>
      </c>
    </row>
    <row r="15" hidden="1" outlineLevel="2" ht="68.25" customHeight="1">
      <c r="A15" s="1" t="inlineStr">
        <is>
          <t>3.2.2</t>
        </is>
      </c>
      <c r="B15" s="1" t="inlineStr">
        <is>
          <t>0000-703-104</t>
        </is>
      </c>
      <c r="D15" t="inlineStr">
        <is>
          <t>Normal</t>
        </is>
      </c>
      <c r="E15" t="n">
        <v>1</v>
      </c>
      <c r="F15" t="n">
        <v>1</v>
      </c>
      <c r="H15" t="inlineStr">
        <is>
          <t>Sheet 5mm</t>
        </is>
      </c>
      <c r="I15" t="inlineStr"/>
      <c r="J15" s="1" t="inlineStr"/>
      <c r="K15" s="1" t="inlineStr"/>
      <c r="L15" s="1" t="inlineStr"/>
      <c r="M15" t="inlineStr">
        <is>
          <t>Not available</t>
        </is>
      </c>
    </row>
    <row r="16" hidden="1" outlineLevel="1" collapsed="1" ht="68.25" customHeight="1">
      <c r="A16" s="1" t="inlineStr">
        <is>
          <t>3.1</t>
        </is>
      </c>
      <c r="B16" s="1" t="inlineStr">
        <is>
          <t>0000-703-104</t>
        </is>
      </c>
      <c r="D16" t="inlineStr">
        <is>
          <t>Normal</t>
        </is>
      </c>
      <c r="E16" t="inlineStr">
        <is>
          <t>160,0 mm</t>
        </is>
      </c>
      <c r="F16" t="inlineStr">
        <is>
          <t>160,0 mm</t>
        </is>
      </c>
      <c r="G16" s="1" t="inlineStr">
        <is>
          <t>100 x 8</t>
        </is>
      </c>
      <c r="H16" t="inlineStr">
        <is>
          <t>Sheet 8mm</t>
        </is>
      </c>
      <c r="I16" t="inlineStr"/>
      <c r="J16" s="1" t="inlineStr"/>
      <c r="K16" s="1" t="inlineStr"/>
      <c r="L16" s="1" t="inlineStr"/>
      <c r="M16" t="inlineStr">
        <is>
          <t>Not available</t>
        </is>
      </c>
    </row>
    <row r="17" hidden="1" outlineLevel="1" ht="68.25" customHeight="1">
      <c r="A17" s="1" t="inlineStr">
        <is>
          <t>3.4</t>
        </is>
      </c>
      <c r="B17" s="1" t="inlineStr">
        <is>
          <t>0000-750-002</t>
        </is>
      </c>
      <c r="D17" t="inlineStr">
        <is>
          <t>Normal</t>
        </is>
      </c>
      <c r="E17" t="n">
        <v>1</v>
      </c>
      <c r="F17" t="n">
        <v>8</v>
      </c>
      <c r="H17" t="inlineStr">
        <is>
          <t>Nut - M12 - EN 24032 - FZV</t>
        </is>
      </c>
      <c r="I17" t="inlineStr"/>
      <c r="J17" s="1" t="inlineStr"/>
      <c r="K17" s="1" t="inlineStr"/>
      <c r="L17" s="1" t="inlineStr"/>
      <c r="M17" t="inlineStr">
        <is>
          <t>Not available</t>
        </is>
      </c>
    </row>
    <row r="18" hidden="1" outlineLevel="1" ht="68.25" customHeight="1">
      <c r="A18" s="1" t="inlineStr">
        <is>
          <t>3.3</t>
        </is>
      </c>
      <c r="B18" s="1" t="inlineStr">
        <is>
          <t>0000-750-003</t>
        </is>
      </c>
      <c r="D18" t="inlineStr">
        <is>
          <t>Purchased</t>
        </is>
      </c>
      <c r="E18" t="n">
        <v>1</v>
      </c>
      <c r="F18" t="n">
        <v>8</v>
      </c>
      <c r="H18" t="inlineStr">
        <is>
          <t>Washer - M12 - DIN125-1A - FZV</t>
        </is>
      </c>
      <c r="I18" t="inlineStr"/>
      <c r="J18" s="1" t="inlineStr"/>
      <c r="K18" s="1" t="inlineStr"/>
      <c r="L18" s="1" t="inlineStr"/>
      <c r="M18" t="inlineStr">
        <is>
          <t>Not available</t>
        </is>
      </c>
    </row>
    <row r="19" hidden="1" outlineLevel="1" ht="68.25" customHeight="1">
      <c r="A19" s="1" t="inlineStr">
        <is>
          <t>3.5</t>
        </is>
      </c>
      <c r="B19" s="1" t="inlineStr">
        <is>
          <t>0000-750-004</t>
        </is>
      </c>
      <c r="D19" t="inlineStr">
        <is>
          <t>Normal</t>
        </is>
      </c>
      <c r="E19" t="n">
        <v>1</v>
      </c>
      <c r="F19" t="n">
        <v>4</v>
      </c>
      <c r="H19" t="inlineStr">
        <is>
          <t>Threaded Bar - M12x160 - DIN 975 - 8.8 - FZV</t>
        </is>
      </c>
      <c r="I19" t="inlineStr"/>
      <c r="J19" s="1" t="inlineStr"/>
      <c r="K19" s="1" t="inlineStr"/>
      <c r="L19" s="1" t="inlineStr"/>
      <c r="M19" t="inlineStr">
        <is>
          <t>Not available</t>
        </is>
      </c>
    </row>
    <row r="20" collapsed="1" ht="68.25" customHeight="1">
      <c r="A20" s="1" t="inlineStr">
        <is>
          <t>4</t>
        </is>
      </c>
      <c r="B20" s="1" t="inlineStr">
        <is>
          <t>0000-750-002</t>
        </is>
      </c>
      <c r="D20" t="inlineStr">
        <is>
          <t>Normal</t>
        </is>
      </c>
      <c r="E20" t="n">
        <v>1</v>
      </c>
      <c r="F20" t="n">
        <v>4</v>
      </c>
      <c r="H20" t="inlineStr">
        <is>
          <t>Nut - M16 - ISO 4032</t>
        </is>
      </c>
      <c r="I20" t="inlineStr"/>
      <c r="J20" s="1" t="inlineStr"/>
      <c r="K20" s="1" t="inlineStr"/>
      <c r="L20" s="1" t="inlineStr"/>
      <c r="M20" t="inlineStr">
        <is>
          <t>Not available</t>
        </is>
      </c>
    </row>
    <row r="21" ht="68.25" customHeight="1">
      <c r="A21" s="1" t="inlineStr">
        <is>
          <t>5</t>
        </is>
      </c>
      <c r="B21" s="1" t="inlineStr">
        <is>
          <t>0000-750-003</t>
        </is>
      </c>
      <c r="D21" t="inlineStr">
        <is>
          <t>Purchased</t>
        </is>
      </c>
      <c r="E21" t="n">
        <v>1</v>
      </c>
      <c r="F21" t="n">
        <v>4</v>
      </c>
      <c r="H21" t="inlineStr">
        <is>
          <t>Washer - M16 - ISO 7093</t>
        </is>
      </c>
      <c r="I21" t="inlineStr"/>
      <c r="J21" s="1" t="inlineStr"/>
      <c r="K21" s="1" t="inlineStr"/>
      <c r="L21" s="1" t="inlineStr"/>
      <c r="M21" t="inlineStr">
        <is>
          <t>Not available</t>
        </is>
      </c>
    </row>
    <row r="22" ht="68.25" customHeight="1">
      <c r="A22" s="1" t="inlineStr">
        <is>
          <t>6</t>
        </is>
      </c>
      <c r="B22" s="1" t="inlineStr">
        <is>
          <t>2252-342-001</t>
        </is>
      </c>
      <c r="D22" t="inlineStr">
        <is>
          <t>Normal</t>
        </is>
      </c>
      <c r="E22" t="n">
        <v>1</v>
      </c>
      <c r="F22" t="n">
        <v>2</v>
      </c>
      <c r="H22" t="inlineStr">
        <is>
          <t>Pipe holder foot L=400</t>
        </is>
      </c>
      <c r="I22" t="inlineStr"/>
      <c r="J22" s="1" t="inlineStr"/>
      <c r="K22" s="1" t="inlineStr"/>
      <c r="L22" s="1" t="inlineStr"/>
      <c r="M22" t="inlineStr">
        <is>
          <t>Not available</t>
        </is>
      </c>
    </row>
    <row r="23" hidden="1" outlineLevel="1" ht="68.25" customHeight="1">
      <c r="A23" s="1" t="inlineStr">
        <is>
          <t>6.1</t>
        </is>
      </c>
      <c r="B23" s="1" t="inlineStr">
        <is>
          <t>0000-703-003</t>
        </is>
      </c>
      <c r="D23" t="inlineStr">
        <is>
          <t>Normal</t>
        </is>
      </c>
      <c r="E23" t="n">
        <v>1</v>
      </c>
      <c r="F23" t="n">
        <v>1</v>
      </c>
      <c r="H23" t="inlineStr">
        <is>
          <t>Square tube - 70x70x4xL550</t>
        </is>
      </c>
      <c r="I23" t="inlineStr"/>
      <c r="J23" s="1" t="inlineStr">
        <is>
          <t>70</t>
        </is>
      </c>
      <c r="K23" s="1" t="inlineStr">
        <is>
          <t>4</t>
        </is>
      </c>
      <c r="L23" s="1" t="inlineStr">
        <is>
          <t>550</t>
        </is>
      </c>
      <c r="M23" t="inlineStr">
        <is>
          <t>Not available</t>
        </is>
      </c>
    </row>
    <row r="24" hidden="1" outlineLevel="1" ht="68.25" customHeight="1">
      <c r="A24" s="1" t="inlineStr">
        <is>
          <t>6.3</t>
        </is>
      </c>
      <c r="B24" s="1" t="inlineStr">
        <is>
          <t>0000-703-004</t>
        </is>
      </c>
      <c r="D24" t="inlineStr">
        <is>
          <t>Normal</t>
        </is>
      </c>
      <c r="E24" t="n">
        <v>1</v>
      </c>
      <c r="F24" t="n">
        <v>1</v>
      </c>
      <c r="H24" t="inlineStr">
        <is>
          <t>Sheet plate - t= 6,0 mm</t>
        </is>
      </c>
      <c r="I24" t="inlineStr"/>
      <c r="J24" s="1" t="inlineStr">
        <is>
          <t>1,0</t>
        </is>
      </c>
      <c r="K24" s="1" t="inlineStr">
        <is>
          <t>6,0</t>
        </is>
      </c>
      <c r="L24" s="1" t="inlineStr">
        <is>
          <t>160</t>
        </is>
      </c>
      <c r="M24" t="inlineStr">
        <is>
          <t>Not available</t>
        </is>
      </c>
    </row>
    <row r="25" hidden="1" outlineLevel="1" ht="68.25" customHeight="1">
      <c r="A25" s="1" t="inlineStr">
        <is>
          <t>6.2</t>
        </is>
      </c>
      <c r="B25" s="1" t="inlineStr">
        <is>
          <t>0000-703-090</t>
        </is>
      </c>
      <c r="D25" t="inlineStr">
        <is>
          <t>Normal</t>
        </is>
      </c>
      <c r="E25" t="n">
        <v>1</v>
      </c>
      <c r="F25" t="n">
        <v>2</v>
      </c>
      <c r="H25" t="inlineStr">
        <is>
          <t>DIN 3567 - DN300 - Pipe Clamp Form A</t>
        </is>
      </c>
      <c r="I25" t="inlineStr"/>
      <c r="J25" s="1" t="inlineStr"/>
      <c r="K25" s="1" t="inlineStr"/>
      <c r="L25" s="1" t="inlineStr"/>
      <c r="M25" t="inlineStr">
        <is>
          <t>Not available</t>
        </is>
      </c>
    </row>
    <row r="26" collapsed="1" ht="68.25" customHeight="1">
      <c r="A26" s="1" t="inlineStr">
        <is>
          <t>7</t>
        </is>
      </c>
      <c r="B26" s="1" t="inlineStr">
        <is>
          <t>2252-504-01</t>
        </is>
      </c>
      <c r="D26" t="inlineStr">
        <is>
          <t>Normal</t>
        </is>
      </c>
      <c r="E26" t="n">
        <v>1</v>
      </c>
      <c r="F26" t="n">
        <v>2</v>
      </c>
      <c r="H26" t="inlineStr">
        <is>
          <t>Foundation for GasMix PD</t>
        </is>
      </c>
      <c r="I26" t="inlineStr"/>
      <c r="J26" s="1" t="inlineStr">
        <is>
          <t>1,0</t>
        </is>
      </c>
      <c r="K26" s="1" t="inlineStr">
        <is>
          <t>1,0</t>
        </is>
      </c>
      <c r="L26" s="1" t="inlineStr">
        <is>
          <t>1</t>
        </is>
      </c>
      <c r="M26" t="inlineStr">
        <is>
          <t>Not available</t>
        </is>
      </c>
    </row>
    <row r="27" ht="68.25" customHeight="1">
      <c r="A27" s="1" t="inlineStr">
        <is>
          <t>8</t>
        </is>
      </c>
      <c r="B27" s="1" t="inlineStr">
        <is>
          <t>2252-599-01</t>
        </is>
      </c>
      <c r="D27" t="inlineStr">
        <is>
          <t>Normal</t>
        </is>
      </c>
      <c r="E27" t="n">
        <v>1</v>
      </c>
      <c r="F27" t="n">
        <v>1</v>
      </c>
      <c r="H27" t="inlineStr">
        <is>
          <t>Foundation for Pipe Holder</t>
        </is>
      </c>
      <c r="I27" t="inlineStr"/>
      <c r="J27" s="1" t="inlineStr">
        <is>
          <t>1,0</t>
        </is>
      </c>
      <c r="K27" s="1" t="inlineStr">
        <is>
          <t>1,0</t>
        </is>
      </c>
      <c r="L27" s="1" t="inlineStr">
        <is>
          <t>1</t>
        </is>
      </c>
      <c r="M27" t="inlineStr">
        <is>
          <t>Not available</t>
        </is>
      </c>
    </row>
    <row r="28" ht="68.25" customHeight="1">
      <c r="A28" s="1" t="inlineStr">
        <is>
          <t>9</t>
        </is>
      </c>
      <c r="B28" s="1" t="inlineStr">
        <is>
          <t>2252-615-001</t>
        </is>
      </c>
      <c r="D28" t="inlineStr">
        <is>
          <t>Normal</t>
        </is>
      </c>
      <c r="E28" t="n">
        <v>1</v>
      </c>
      <c r="F28" t="n">
        <v>1</v>
      </c>
      <c r="H28" t="inlineStr">
        <is>
          <t>Digester - Assembly - 9500m³</t>
        </is>
      </c>
      <c r="I28" t="inlineStr">
        <is>
          <t>G</t>
        </is>
      </c>
      <c r="J28" s="1" t="inlineStr">
        <is>
          <t>23,9 m</t>
        </is>
      </c>
      <c r="K28" s="1" t="inlineStr"/>
      <c r="L28" s="1" t="inlineStr"/>
      <c r="M28" s="2">
        <f>HYPERLINK("\\192.168.170.18\drawings\5-Projects\2252 - Biopommeria\615 Digester\2252-615-001-G - Digester - Assembly - 9500m³.pdf", "PDF")</f>
        <v/>
      </c>
    </row>
    <row r="29" ht="68.25" customHeight="1">
      <c r="A29" s="1" t="inlineStr">
        <is>
          <t>10</t>
        </is>
      </c>
      <c r="B29" s="1" t="inlineStr">
        <is>
          <t>2252-BM012-01</t>
        </is>
      </c>
      <c r="D29" t="inlineStr">
        <is>
          <t>Normal</t>
        </is>
      </c>
      <c r="E29" t="n">
        <v>1</v>
      </c>
      <c r="F29" t="n">
        <v>1</v>
      </c>
      <c r="H29" t="inlineStr">
        <is>
          <t>From Past To DT</t>
        </is>
      </c>
      <c r="I29" t="inlineStr">
        <is>
          <t>B</t>
        </is>
      </c>
      <c r="J29" s="1" t="inlineStr"/>
      <c r="K29" s="1" t="inlineStr"/>
      <c r="L29" s="1" t="inlineStr"/>
      <c r="M29" s="2">
        <f>HYPERLINK("\\192.168.170.18\drawings\5-Projects\2252 - Biopommeria\400 Layout\Area 04 - Digester Area\Piping\2252-BM012-01-B - From Past To DT.pdf", "PDF")</f>
        <v/>
      </c>
    </row>
    <row r="30" hidden="1" outlineLevel="1" ht="68.25" customHeight="1">
      <c r="A30" s="1" t="inlineStr">
        <is>
          <t>10.8</t>
        </is>
      </c>
      <c r="B30" s="1" t="inlineStr">
        <is>
          <t>0000-324-103</t>
        </is>
      </c>
      <c r="D30" t="inlineStr">
        <is>
          <t>Normal</t>
        </is>
      </c>
      <c r="E30" t="n">
        <v>1</v>
      </c>
      <c r="F30" t="n">
        <v>1</v>
      </c>
      <c r="H30" t="inlineStr">
        <is>
          <t>Tee Equal Connection Short - DN100</t>
        </is>
      </c>
      <c r="I30" t="inlineStr">
        <is>
          <t>A</t>
        </is>
      </c>
      <c r="J30" s="1" t="inlineStr"/>
      <c r="K30" s="1" t="inlineStr"/>
      <c r="L30" s="1" t="inlineStr"/>
      <c r="M30" s="2">
        <f>HYPERLINK("\\192.168.170.18\drawings\2-Basic Components\0000-324 - Tee Connection\0000-324-103-A - Tee Equal Connection Short - DN100.pdf", "PDF")</f>
        <v/>
      </c>
    </row>
    <row r="31" hidden="1" outlineLevel="2" ht="68.25" customHeight="1">
      <c r="A31" s="1" t="inlineStr">
        <is>
          <t>10.8.4</t>
        </is>
      </c>
      <c r="B31" s="1" t="inlineStr">
        <is>
          <t>0000-703-001</t>
        </is>
      </c>
      <c r="D31" t="inlineStr">
        <is>
          <t>Normal</t>
        </is>
      </c>
      <c r="E31" t="n">
        <v>1</v>
      </c>
      <c r="F31" t="n">
        <v>3</v>
      </c>
      <c r="H31" t="inlineStr">
        <is>
          <t>Pipe - Ø114,3x2,6x50 - EN10217-7</t>
        </is>
      </c>
      <c r="I31" t="inlineStr"/>
      <c r="J31" s="1" t="inlineStr">
        <is>
          <t>114,3</t>
        </is>
      </c>
      <c r="K31" s="1" t="inlineStr">
        <is>
          <t>2,6</t>
        </is>
      </c>
      <c r="L31" s="1" t="inlineStr">
        <is>
          <t>50</t>
        </is>
      </c>
      <c r="M31" t="inlineStr">
        <is>
          <t>Not available</t>
        </is>
      </c>
    </row>
    <row r="32" hidden="1" outlineLevel="2" ht="68.25" customHeight="1">
      <c r="A32" s="1" t="inlineStr">
        <is>
          <t>10.8.1</t>
        </is>
      </c>
      <c r="B32" s="1" t="inlineStr">
        <is>
          <t>0000-703-010</t>
        </is>
      </c>
      <c r="D32" t="inlineStr">
        <is>
          <t>Normal</t>
        </is>
      </c>
      <c r="E32" t="n">
        <v>1</v>
      </c>
      <c r="F32" t="n">
        <v>3</v>
      </c>
      <c r="H32" t="inlineStr">
        <is>
          <t>Collar - DN100 PN10 - EN 1092-1 Typ 37</t>
        </is>
      </c>
      <c r="I32" t="inlineStr"/>
      <c r="J32" s="1" t="inlineStr"/>
      <c r="K32" s="1" t="inlineStr"/>
      <c r="L32" s="1" t="inlineStr"/>
      <c r="M32" t="inlineStr">
        <is>
          <t>Not available</t>
        </is>
      </c>
    </row>
    <row r="33" hidden="1" outlineLevel="2" ht="68.25" customHeight="1">
      <c r="A33" s="1" t="inlineStr">
        <is>
          <t>10.8.2</t>
        </is>
      </c>
      <c r="B33" s="1" t="inlineStr">
        <is>
          <t>0000-703-020</t>
        </is>
      </c>
      <c r="D33" t="inlineStr">
        <is>
          <t>Normal</t>
        </is>
      </c>
      <c r="E33" t="n">
        <v>1</v>
      </c>
      <c r="F33" t="n">
        <v>3</v>
      </c>
      <c r="H33" t="inlineStr">
        <is>
          <t>Pressed Flange - DN100 PN10/16 - EN 1092-1 Typ 02</t>
        </is>
      </c>
      <c r="I33" t="inlineStr"/>
      <c r="J33" s="1" t="inlineStr"/>
      <c r="K33" s="1" t="inlineStr"/>
      <c r="L33" s="1" t="inlineStr"/>
      <c r="M33" t="inlineStr">
        <is>
          <t>Not available</t>
        </is>
      </c>
    </row>
    <row r="34" hidden="1" outlineLevel="2" ht="68.25" customHeight="1">
      <c r="A34" s="1" t="inlineStr">
        <is>
          <t>10.8.3</t>
        </is>
      </c>
      <c r="B34" s="1" t="inlineStr">
        <is>
          <t>0000-703-040</t>
        </is>
      </c>
      <c r="D34" t="inlineStr">
        <is>
          <t>Purchased</t>
        </is>
      </c>
      <c r="E34" t="n">
        <v>1</v>
      </c>
      <c r="F34" t="n">
        <v>1</v>
      </c>
      <c r="H34" t="inlineStr">
        <is>
          <t>Tee Equal - DN100 Ø114,3x2,6 - EN10523-4</t>
        </is>
      </c>
      <c r="I34" t="inlineStr"/>
      <c r="J34" s="1" t="inlineStr"/>
      <c r="K34" s="1" t="inlineStr"/>
      <c r="L34" s="1" t="inlineStr"/>
      <c r="M34" t="inlineStr">
        <is>
          <t>Not available</t>
        </is>
      </c>
    </row>
    <row r="35" hidden="1" outlineLevel="1" collapsed="1" ht="68.25" customHeight="1">
      <c r="A35" s="1" t="inlineStr">
        <is>
          <t>10.5</t>
        </is>
      </c>
      <c r="B35" s="1" t="inlineStr">
        <is>
          <t>0000-342-028</t>
        </is>
      </c>
      <c r="D35" t="inlineStr">
        <is>
          <t>Normal</t>
        </is>
      </c>
      <c r="E35" t="n">
        <v>1</v>
      </c>
      <c r="F35" t="n">
        <v>2</v>
      </c>
      <c r="H35" t="inlineStr">
        <is>
          <t>DN100 Pipeholder - Long</t>
        </is>
      </c>
      <c r="I35" t="inlineStr">
        <is>
          <t>-</t>
        </is>
      </c>
      <c r="J35" s="1" t="inlineStr"/>
      <c r="K35" s="1" t="inlineStr"/>
      <c r="L35" s="1" t="inlineStr"/>
      <c r="M35" s="2">
        <f>HYPERLINK("\\192.168.170.18\drawings\2-Basic Components\0000-342 - Pipe Holders\0000-342-028-- - Pipe Holder DN100-Ø114,3.pdf", "PDF")</f>
        <v/>
      </c>
    </row>
    <row r="36" hidden="1" outlineLevel="2" ht="68.25" customHeight="1">
      <c r="A36" s="1" t="inlineStr">
        <is>
          <t>10.5.1</t>
        </is>
      </c>
      <c r="B36" s="1" t="inlineStr">
        <is>
          <t>0000-703-004</t>
        </is>
      </c>
      <c r="D36" t="inlineStr">
        <is>
          <t>Inseparable</t>
        </is>
      </c>
      <c r="E36" t="n">
        <v>1</v>
      </c>
      <c r="F36" t="n">
        <v>1</v>
      </c>
      <c r="H36" t="inlineStr">
        <is>
          <t>Sheet metal t=4mm</t>
        </is>
      </c>
      <c r="I36" t="inlineStr"/>
      <c r="J36" s="1" t="inlineStr"/>
      <c r="K36" s="1" t="inlineStr"/>
      <c r="L36" s="1" t="inlineStr"/>
      <c r="M36" t="inlineStr">
        <is>
          <t>Not available</t>
        </is>
      </c>
    </row>
    <row r="37" hidden="1" outlineLevel="2" ht="68.25" customHeight="1">
      <c r="A37" s="1" t="inlineStr">
        <is>
          <t>10.5.2</t>
        </is>
      </c>
      <c r="B37" s="1" t="inlineStr">
        <is>
          <t>0000-703-090</t>
        </is>
      </c>
      <c r="D37" t="inlineStr">
        <is>
          <t>Normal</t>
        </is>
      </c>
      <c r="E37" t="n">
        <v>1</v>
      </c>
      <c r="F37" t="n">
        <v>2</v>
      </c>
      <c r="H37" t="inlineStr">
        <is>
          <t>DIN 3567 - DN100 - Pipe Clamp Form A</t>
        </is>
      </c>
      <c r="I37" t="inlineStr"/>
      <c r="J37" s="1" t="inlineStr"/>
      <c r="K37" s="1" t="inlineStr"/>
      <c r="L37" s="1" t="inlineStr"/>
      <c r="M37" t="inlineStr">
        <is>
          <t>Not available</t>
        </is>
      </c>
    </row>
    <row r="38" hidden="1" outlineLevel="2" ht="68.25" customHeight="1">
      <c r="A38" s="1" t="inlineStr">
        <is>
          <t>10.5.5</t>
        </is>
      </c>
      <c r="B38" s="1" t="inlineStr">
        <is>
          <t>0000-750-001</t>
        </is>
      </c>
      <c r="D38" t="inlineStr">
        <is>
          <t>Normal</t>
        </is>
      </c>
      <c r="E38" t="n">
        <v>1</v>
      </c>
      <c r="F38" t="n">
        <v>2</v>
      </c>
      <c r="H38" t="inlineStr">
        <is>
          <t>Bolt - M16x50 - ISO4017</t>
        </is>
      </c>
      <c r="I38" t="inlineStr"/>
      <c r="J38" s="1" t="inlineStr"/>
      <c r="K38" s="1" t="inlineStr"/>
      <c r="L38" s="1" t="inlineStr"/>
      <c r="M38" t="inlineStr">
        <is>
          <t>Not available</t>
        </is>
      </c>
    </row>
    <row r="39" hidden="1" outlineLevel="2" ht="68.25" customHeight="1">
      <c r="A39" s="1" t="inlineStr">
        <is>
          <t>10.5.4</t>
        </is>
      </c>
      <c r="B39" s="1" t="inlineStr">
        <is>
          <t>0000-750-002</t>
        </is>
      </c>
      <c r="D39" t="inlineStr">
        <is>
          <t>Normal</t>
        </is>
      </c>
      <c r="E39" t="n">
        <v>1</v>
      </c>
      <c r="F39" t="n">
        <v>2</v>
      </c>
      <c r="H39" t="inlineStr">
        <is>
          <t>Nut - M16 - ISO 4032</t>
        </is>
      </c>
      <c r="I39" t="inlineStr"/>
      <c r="J39" s="1" t="inlineStr"/>
      <c r="K39" s="1" t="inlineStr"/>
      <c r="L39" s="1" t="inlineStr"/>
      <c r="M39" t="inlineStr">
        <is>
          <t>Not available</t>
        </is>
      </c>
    </row>
    <row r="40" hidden="1" outlineLevel="2" ht="68.25" customHeight="1">
      <c r="A40" s="1" t="inlineStr">
        <is>
          <t>10.5.3</t>
        </is>
      </c>
      <c r="B40" s="1" t="inlineStr">
        <is>
          <t>0000-750-003</t>
        </is>
      </c>
      <c r="D40" t="inlineStr">
        <is>
          <t>Purchased</t>
        </is>
      </c>
      <c r="E40" t="n">
        <v>1</v>
      </c>
      <c r="F40" t="n">
        <v>4</v>
      </c>
      <c r="H40" t="inlineStr">
        <is>
          <t>Washer - M16 - ISO7089</t>
        </is>
      </c>
      <c r="I40" t="inlineStr"/>
      <c r="J40" s="1" t="inlineStr"/>
      <c r="K40" s="1" t="inlineStr"/>
      <c r="L40" s="1" t="inlineStr"/>
      <c r="M40" t="inlineStr">
        <is>
          <t>Not available</t>
        </is>
      </c>
    </row>
    <row r="41" hidden="1" outlineLevel="1" collapsed="1" ht="68.25" customHeight="1">
      <c r="A41" s="1" t="inlineStr">
        <is>
          <t>10.6</t>
        </is>
      </c>
      <c r="B41" s="1" t="inlineStr">
        <is>
          <t>0000-701-051</t>
        </is>
      </c>
      <c r="D41" t="inlineStr">
        <is>
          <t>Normal</t>
        </is>
      </c>
      <c r="E41" t="n">
        <v>1</v>
      </c>
      <c r="F41" t="n">
        <v>1</v>
      </c>
      <c r="H41" t="inlineStr">
        <is>
          <t>Ball valve Manual with indicator - DN100 - Pekos 02 TTT/PI</t>
        </is>
      </c>
      <c r="I41" t="inlineStr"/>
      <c r="J41" s="1" t="inlineStr"/>
      <c r="K41" s="1" t="inlineStr"/>
      <c r="L41" s="1" t="inlineStr"/>
      <c r="M41" t="inlineStr">
        <is>
          <t>Not available</t>
        </is>
      </c>
    </row>
    <row r="42" hidden="1" outlineLevel="1" ht="68.25" customHeight="1">
      <c r="A42" s="1" t="inlineStr">
        <is>
          <t>10.7</t>
        </is>
      </c>
      <c r="B42" s="1" t="inlineStr">
        <is>
          <t>0000-701-052</t>
        </is>
      </c>
      <c r="D42" t="inlineStr">
        <is>
          <t>Normal</t>
        </is>
      </c>
      <c r="E42" t="n">
        <v>1</v>
      </c>
      <c r="F42" t="n">
        <v>1</v>
      </c>
      <c r="H42" t="inlineStr">
        <is>
          <t>Ball Valve - DN100 Automatic - PEKOS 02 TTT / RC200-DA / PI</t>
        </is>
      </c>
      <c r="I42" t="inlineStr"/>
      <c r="J42" s="1" t="inlineStr"/>
      <c r="K42" s="1" t="inlineStr"/>
      <c r="L42" s="1" t="inlineStr"/>
      <c r="M42" t="inlineStr">
        <is>
          <t>Not available</t>
        </is>
      </c>
    </row>
    <row r="43" hidden="1" outlineLevel="1" ht="68.25" customHeight="1">
      <c r="A43" s="1" t="inlineStr">
        <is>
          <t>10.1</t>
        </is>
      </c>
      <c r="B43" s="1" t="inlineStr">
        <is>
          <t>0000-703-001</t>
        </is>
      </c>
      <c r="D43" t="inlineStr">
        <is>
          <t>Normal</t>
        </is>
      </c>
      <c r="E43" t="n">
        <v>1</v>
      </c>
      <c r="F43" t="n">
        <v>1</v>
      </c>
      <c r="H43" t="inlineStr">
        <is>
          <t>Pipe - Ø114,3x2,6xL4524 mm - EN10217-7</t>
        </is>
      </c>
      <c r="I43" t="inlineStr"/>
      <c r="J43" s="1" t="inlineStr">
        <is>
          <t>114,3</t>
        </is>
      </c>
      <c r="K43" s="1" t="inlineStr">
        <is>
          <t>2,6</t>
        </is>
      </c>
      <c r="L43" s="1" t="inlineStr">
        <is>
          <t>4524 mm</t>
        </is>
      </c>
      <c r="M43" t="inlineStr">
        <is>
          <t>Not available</t>
        </is>
      </c>
    </row>
    <row r="44" hidden="1" outlineLevel="1" ht="68.25" customHeight="1">
      <c r="A44" s="1" t="inlineStr">
        <is>
          <t>10.2</t>
        </is>
      </c>
      <c r="B44" s="1" t="inlineStr">
        <is>
          <t>0000-703-010</t>
        </is>
      </c>
      <c r="D44" t="inlineStr">
        <is>
          <t>Normal</t>
        </is>
      </c>
      <c r="E44" t="n">
        <v>1</v>
      </c>
      <c r="F44" t="n">
        <v>2</v>
      </c>
      <c r="H44" t="inlineStr">
        <is>
          <t>Collar - DN100 PN10 - EN 1092-1 Typ 37</t>
        </is>
      </c>
      <c r="I44" t="inlineStr"/>
      <c r="J44" s="1" t="inlineStr"/>
      <c r="K44" s="1" t="inlineStr"/>
      <c r="L44" s="1" t="inlineStr"/>
      <c r="M44" t="inlineStr">
        <is>
          <t>Not available</t>
        </is>
      </c>
    </row>
    <row r="45" hidden="1" outlineLevel="1" ht="68.25" customHeight="1">
      <c r="A45" s="1" t="inlineStr">
        <is>
          <t>10.3</t>
        </is>
      </c>
      <c r="B45" s="1" t="inlineStr">
        <is>
          <t>0000-703-020</t>
        </is>
      </c>
      <c r="D45" t="inlineStr">
        <is>
          <t>Normal</t>
        </is>
      </c>
      <c r="E45" t="n">
        <v>1</v>
      </c>
      <c r="F45" t="n">
        <v>2</v>
      </c>
      <c r="H45" t="inlineStr">
        <is>
          <t>Pressed Flange - DN100 PN10/16 - EN 1092-1 Typ 02</t>
        </is>
      </c>
      <c r="I45" t="inlineStr"/>
      <c r="J45" s="1" t="inlineStr"/>
      <c r="K45" s="1" t="inlineStr"/>
      <c r="L45" s="1" t="inlineStr"/>
      <c r="M45" t="inlineStr">
        <is>
          <t>Not available</t>
        </is>
      </c>
    </row>
    <row r="46" hidden="1" outlineLevel="1" ht="68.25" customHeight="1">
      <c r="A46" s="1" t="inlineStr">
        <is>
          <t>10.9</t>
        </is>
      </c>
      <c r="B46" s="1" t="inlineStr">
        <is>
          <t>0000-703-022</t>
        </is>
      </c>
      <c r="D46" t="inlineStr">
        <is>
          <t>Purchased</t>
        </is>
      </c>
      <c r="E46" t="n">
        <v>1</v>
      </c>
      <c r="F46" t="n">
        <v>1</v>
      </c>
      <c r="H46" t="inlineStr">
        <is>
          <t>Flange - DN100_PN10 - DIN 2527</t>
        </is>
      </c>
      <c r="I46" t="inlineStr"/>
      <c r="J46" s="1" t="inlineStr"/>
      <c r="K46" s="1" t="inlineStr"/>
      <c r="L46" s="1" t="inlineStr"/>
      <c r="M46" t="inlineStr">
        <is>
          <t>Not available</t>
        </is>
      </c>
    </row>
    <row r="47" hidden="1" outlineLevel="1" ht="68.25" customHeight="1">
      <c r="A47" s="1" t="inlineStr">
        <is>
          <t>10.4</t>
        </is>
      </c>
      <c r="B47" s="1" t="inlineStr">
        <is>
          <t>0000-703-030</t>
        </is>
      </c>
      <c r="D47" t="inlineStr">
        <is>
          <t>Normal</t>
        </is>
      </c>
      <c r="E47" t="n">
        <v>1</v>
      </c>
      <c r="F47" t="n">
        <v>2</v>
      </c>
      <c r="H47" t="inlineStr">
        <is>
          <t>Elbow 45° DN100 Ø114,3x2,6 - Type 3 - r=152 - DIN2605</t>
        </is>
      </c>
      <c r="I47" t="inlineStr"/>
      <c r="J47" s="1" t="inlineStr"/>
      <c r="K47" s="1" t="inlineStr"/>
      <c r="L47" s="1" t="inlineStr"/>
      <c r="M47" t="inlineStr">
        <is>
          <t>Not available</t>
        </is>
      </c>
    </row>
    <row r="48" hidden="1" outlineLevel="1" ht="68.25" customHeight="1">
      <c r="A48" s="1" t="inlineStr">
        <is>
          <t>10.10</t>
        </is>
      </c>
      <c r="B48" s="1" t="inlineStr">
        <is>
          <t>0000-703-060</t>
        </is>
      </c>
      <c r="D48" t="inlineStr">
        <is>
          <t>Normal</t>
        </is>
      </c>
      <c r="E48" t="n">
        <v>1</v>
      </c>
      <c r="F48" t="n">
        <v>1</v>
      </c>
      <c r="H48" t="inlineStr">
        <is>
          <t>Welding Nipple - G2_DN50xL100 - EN10241 - 1.4571</t>
        </is>
      </c>
      <c r="I48" t="inlineStr"/>
      <c r="J48" s="1" t="inlineStr"/>
      <c r="K48" s="1" t="inlineStr"/>
      <c r="L48" s="1" t="inlineStr"/>
      <c r="M48" t="inlineStr">
        <is>
          <t>Not available</t>
        </is>
      </c>
    </row>
    <row r="49" hidden="1" outlineLevel="1" ht="68.25" customHeight="1">
      <c r="A49" s="1" t="inlineStr">
        <is>
          <t>10.11</t>
        </is>
      </c>
      <c r="B49" s="1" t="inlineStr">
        <is>
          <t>0000-703-062</t>
        </is>
      </c>
      <c r="D49" t="inlineStr">
        <is>
          <t>Normal</t>
        </is>
      </c>
      <c r="E49" t="n">
        <v>1</v>
      </c>
      <c r="F49" t="n">
        <v>1</v>
      </c>
      <c r="H49" t="inlineStr">
        <is>
          <t>Hexagon Cap - 2``</t>
        </is>
      </c>
      <c r="I49" t="inlineStr"/>
      <c r="J49" s="1" t="inlineStr">
        <is>
          <t>1.0</t>
        </is>
      </c>
      <c r="K49" s="1" t="inlineStr">
        <is>
          <t>1.0</t>
        </is>
      </c>
      <c r="L49" s="1" t="inlineStr">
        <is>
          <t>1</t>
        </is>
      </c>
      <c r="M49" t="inlineStr">
        <is>
          <t>Not available</t>
        </is>
      </c>
    </row>
    <row r="50" collapsed="1" ht="68.25" customHeight="1">
      <c r="A50" s="1" t="inlineStr">
        <is>
          <t>11</t>
        </is>
      </c>
      <c r="B50" s="1" t="inlineStr">
        <is>
          <t>2252-BM015-03</t>
        </is>
      </c>
      <c r="D50" t="inlineStr">
        <is>
          <t>Normal</t>
        </is>
      </c>
      <c r="E50" t="n">
        <v>1</v>
      </c>
      <c r="F50" t="n">
        <v>1</v>
      </c>
      <c r="H50" t="inlineStr">
        <is>
          <t>From IT To DT</t>
        </is>
      </c>
      <c r="I50" t="inlineStr">
        <is>
          <t>A</t>
        </is>
      </c>
      <c r="J50" s="1" t="inlineStr"/>
      <c r="K50" s="1" t="inlineStr"/>
      <c r="L50" s="1" t="inlineStr"/>
      <c r="M50" s="2">
        <f>HYPERLINK("\\192.168.170.18\drawings\5-Projects\2252 - Biopommeria\400 Layout\Area 04 - Digester Area\Piping\2252-BM015-03-A - From IT To DT.pdf", "PDF")</f>
        <v/>
      </c>
    </row>
    <row r="51" hidden="1" outlineLevel="1" ht="68.25" customHeight="1">
      <c r="A51" s="1" t="inlineStr">
        <is>
          <t>11.8</t>
        </is>
      </c>
      <c r="B51" s="1" t="inlineStr">
        <is>
          <t>0000-324-103</t>
        </is>
      </c>
      <c r="D51" t="inlineStr">
        <is>
          <t>Normal</t>
        </is>
      </c>
      <c r="E51" t="n">
        <v>1</v>
      </c>
      <c r="F51" t="n">
        <v>1</v>
      </c>
      <c r="H51" t="inlineStr">
        <is>
          <t>Tee Equal Connection Short - DN100</t>
        </is>
      </c>
      <c r="I51" t="inlineStr"/>
      <c r="J51" s="1" t="inlineStr"/>
      <c r="K51" s="1" t="inlineStr"/>
      <c r="L51" s="1" t="inlineStr"/>
      <c r="M51" t="inlineStr">
        <is>
          <t>Not available</t>
        </is>
      </c>
    </row>
    <row r="52" hidden="1" outlineLevel="2" ht="68.25" customHeight="1">
      <c r="A52" s="1" t="inlineStr">
        <is>
          <t>11.8.4</t>
        </is>
      </c>
      <c r="B52" s="1" t="inlineStr">
        <is>
          <t>0000-703-001</t>
        </is>
      </c>
      <c r="D52" t="inlineStr">
        <is>
          <t>Normal</t>
        </is>
      </c>
      <c r="E52" t="n">
        <v>1</v>
      </c>
      <c r="F52" t="n">
        <v>3</v>
      </c>
      <c r="H52" t="inlineStr">
        <is>
          <t>Pipe - Ø114,3x2,6x50 - EN10217-7</t>
        </is>
      </c>
      <c r="I52" t="inlineStr"/>
      <c r="J52" s="1" t="inlineStr">
        <is>
          <t>114,3</t>
        </is>
      </c>
      <c r="K52" s="1" t="inlineStr">
        <is>
          <t>2,6</t>
        </is>
      </c>
      <c r="L52" s="1" t="inlineStr">
        <is>
          <t>50</t>
        </is>
      </c>
      <c r="M52" t="inlineStr">
        <is>
          <t>Not available</t>
        </is>
      </c>
    </row>
    <row r="53" hidden="1" outlineLevel="2" ht="68.25" customHeight="1">
      <c r="A53" s="1" t="inlineStr">
        <is>
          <t>11.8.1</t>
        </is>
      </c>
      <c r="B53" s="1" t="inlineStr">
        <is>
          <t>0000-703-010</t>
        </is>
      </c>
      <c r="D53" t="inlineStr">
        <is>
          <t>Normal</t>
        </is>
      </c>
      <c r="E53" t="n">
        <v>1</v>
      </c>
      <c r="F53" t="n">
        <v>3</v>
      </c>
      <c r="H53" t="inlineStr">
        <is>
          <t>Collar - DN100 PN10 - EN 1092-1 Typ 37</t>
        </is>
      </c>
      <c r="I53" t="inlineStr"/>
      <c r="J53" s="1" t="inlineStr"/>
      <c r="K53" s="1" t="inlineStr"/>
      <c r="L53" s="1" t="inlineStr"/>
      <c r="M53" t="inlineStr">
        <is>
          <t>Not available</t>
        </is>
      </c>
    </row>
    <row r="54" hidden="1" outlineLevel="2" ht="68.25" customHeight="1">
      <c r="A54" s="1" t="inlineStr">
        <is>
          <t>11.8.2</t>
        </is>
      </c>
      <c r="B54" s="1" t="inlineStr">
        <is>
          <t>0000-703-020</t>
        </is>
      </c>
      <c r="D54" t="inlineStr">
        <is>
          <t>Normal</t>
        </is>
      </c>
      <c r="E54" t="n">
        <v>1</v>
      </c>
      <c r="F54" t="n">
        <v>3</v>
      </c>
      <c r="H54" t="inlineStr">
        <is>
          <t>Pressed Flange - DN100 PN10/16 - EN 1092-1 Typ 02</t>
        </is>
      </c>
      <c r="I54" t="inlineStr"/>
      <c r="J54" s="1" t="inlineStr"/>
      <c r="K54" s="1" t="inlineStr"/>
      <c r="L54" s="1" t="inlineStr"/>
      <c r="M54" t="inlineStr">
        <is>
          <t>Not available</t>
        </is>
      </c>
    </row>
    <row r="55" hidden="1" outlineLevel="2" ht="68.25" customHeight="1">
      <c r="A55" s="1" t="inlineStr">
        <is>
          <t>11.8.3</t>
        </is>
      </c>
      <c r="B55" s="1" t="inlineStr">
        <is>
          <t>0000-703-040</t>
        </is>
      </c>
      <c r="D55" t="inlineStr">
        <is>
          <t>Purchased</t>
        </is>
      </c>
      <c r="E55" t="n">
        <v>1</v>
      </c>
      <c r="F55" t="n">
        <v>1</v>
      </c>
      <c r="H55" t="inlineStr">
        <is>
          <t>Tee Equal - DN100 Ø114,3x2,6 - EN10523-4</t>
        </is>
      </c>
      <c r="I55" t="inlineStr"/>
      <c r="J55" s="1" t="inlineStr"/>
      <c r="K55" s="1" t="inlineStr"/>
      <c r="L55" s="1" t="inlineStr"/>
      <c r="M55" t="inlineStr">
        <is>
          <t>Not available</t>
        </is>
      </c>
    </row>
    <row r="56" hidden="1" outlineLevel="1" collapsed="1" ht="68.25" customHeight="1">
      <c r="A56" s="1" t="inlineStr">
        <is>
          <t>11.5</t>
        </is>
      </c>
      <c r="B56" s="1" t="inlineStr">
        <is>
          <t>0000-342-028</t>
        </is>
      </c>
      <c r="D56" t="inlineStr">
        <is>
          <t>Normal</t>
        </is>
      </c>
      <c r="E56" t="n">
        <v>1</v>
      </c>
      <c r="F56" t="n">
        <v>2</v>
      </c>
      <c r="H56" t="inlineStr">
        <is>
          <t>DN100 Pipeholder - Long</t>
        </is>
      </c>
      <c r="I56" t="inlineStr"/>
      <c r="J56" s="1" t="inlineStr"/>
      <c r="K56" s="1" t="inlineStr"/>
      <c r="L56" s="1" t="inlineStr"/>
      <c r="M56" t="inlineStr">
        <is>
          <t>Not available</t>
        </is>
      </c>
    </row>
    <row r="57" hidden="1" outlineLevel="2" ht="68.25" customHeight="1">
      <c r="A57" s="1" t="inlineStr">
        <is>
          <t>11.5.1</t>
        </is>
      </c>
      <c r="B57" s="1" t="inlineStr">
        <is>
          <t>0000-703-004</t>
        </is>
      </c>
      <c r="D57" t="inlineStr">
        <is>
          <t>Inseparable</t>
        </is>
      </c>
      <c r="E57" t="n">
        <v>1</v>
      </c>
      <c r="F57" t="n">
        <v>1</v>
      </c>
      <c r="H57" t="inlineStr">
        <is>
          <t>Sheet metal t=4mm</t>
        </is>
      </c>
      <c r="I57" t="inlineStr"/>
      <c r="J57" s="1" t="inlineStr"/>
      <c r="K57" s="1" t="inlineStr"/>
      <c r="L57" s="1" t="inlineStr"/>
      <c r="M57" t="inlineStr">
        <is>
          <t>Not available</t>
        </is>
      </c>
    </row>
    <row r="58" hidden="1" outlineLevel="2" ht="68.25" customHeight="1">
      <c r="A58" s="1" t="inlineStr">
        <is>
          <t>11.5.2</t>
        </is>
      </c>
      <c r="B58" s="1" t="inlineStr">
        <is>
          <t>0000-703-090</t>
        </is>
      </c>
      <c r="D58" t="inlineStr">
        <is>
          <t>Normal</t>
        </is>
      </c>
      <c r="E58" t="n">
        <v>1</v>
      </c>
      <c r="F58" t="n">
        <v>2</v>
      </c>
      <c r="H58" t="inlineStr">
        <is>
          <t>DIN 3567 - DN100 - Pipe Clamp Form A</t>
        </is>
      </c>
      <c r="I58" t="inlineStr"/>
      <c r="J58" s="1" t="inlineStr"/>
      <c r="K58" s="1" t="inlineStr"/>
      <c r="L58" s="1" t="inlineStr"/>
      <c r="M58" t="inlineStr">
        <is>
          <t>Not available</t>
        </is>
      </c>
    </row>
    <row r="59" hidden="1" outlineLevel="2" ht="68.25" customHeight="1">
      <c r="A59" s="1" t="inlineStr">
        <is>
          <t>11.5.5</t>
        </is>
      </c>
      <c r="B59" s="1" t="inlineStr">
        <is>
          <t>0000-750-001</t>
        </is>
      </c>
      <c r="D59" t="inlineStr">
        <is>
          <t>Normal</t>
        </is>
      </c>
      <c r="E59" t="n">
        <v>1</v>
      </c>
      <c r="F59" t="n">
        <v>2</v>
      </c>
      <c r="H59" t="inlineStr">
        <is>
          <t>Bolt - M16x50 - ISO4017</t>
        </is>
      </c>
      <c r="I59" t="inlineStr"/>
      <c r="J59" s="1" t="inlineStr"/>
      <c r="K59" s="1" t="inlineStr"/>
      <c r="L59" s="1" t="inlineStr"/>
      <c r="M59" t="inlineStr">
        <is>
          <t>Not available</t>
        </is>
      </c>
    </row>
    <row r="60" hidden="1" outlineLevel="2" ht="68.25" customHeight="1">
      <c r="A60" s="1" t="inlineStr">
        <is>
          <t>11.5.4</t>
        </is>
      </c>
      <c r="B60" s="1" t="inlineStr">
        <is>
          <t>0000-750-002</t>
        </is>
      </c>
      <c r="D60" t="inlineStr">
        <is>
          <t>Normal</t>
        </is>
      </c>
      <c r="E60" t="n">
        <v>1</v>
      </c>
      <c r="F60" t="n">
        <v>2</v>
      </c>
      <c r="H60" t="inlineStr">
        <is>
          <t>Nut - M16 - ISO 4032</t>
        </is>
      </c>
      <c r="I60" t="inlineStr"/>
      <c r="J60" s="1" t="inlineStr"/>
      <c r="K60" s="1" t="inlineStr"/>
      <c r="L60" s="1" t="inlineStr"/>
      <c r="M60" t="inlineStr">
        <is>
          <t>Not available</t>
        </is>
      </c>
    </row>
    <row r="61" hidden="1" outlineLevel="2" ht="68.25" customHeight="1">
      <c r="A61" s="1" t="inlineStr">
        <is>
          <t>11.5.3</t>
        </is>
      </c>
      <c r="B61" s="1" t="inlineStr">
        <is>
          <t>0000-750-003</t>
        </is>
      </c>
      <c r="D61" t="inlineStr">
        <is>
          <t>Purchased</t>
        </is>
      </c>
      <c r="E61" t="n">
        <v>1</v>
      </c>
      <c r="F61" t="n">
        <v>4</v>
      </c>
      <c r="H61" t="inlineStr">
        <is>
          <t>Washer - M16 - ISO7089</t>
        </is>
      </c>
      <c r="I61" t="inlineStr"/>
      <c r="J61" s="1" t="inlineStr"/>
      <c r="K61" s="1" t="inlineStr"/>
      <c r="L61" s="1" t="inlineStr"/>
      <c r="M61" t="inlineStr">
        <is>
          <t>Not available</t>
        </is>
      </c>
    </row>
    <row r="62" hidden="1" outlineLevel="1" collapsed="1" ht="68.25" customHeight="1">
      <c r="A62" s="1" t="inlineStr">
        <is>
          <t>11.6</t>
        </is>
      </c>
      <c r="B62" s="1" t="inlineStr">
        <is>
          <t>0000-701-051</t>
        </is>
      </c>
      <c r="D62" t="inlineStr">
        <is>
          <t>Normal</t>
        </is>
      </c>
      <c r="E62" t="n">
        <v>1</v>
      </c>
      <c r="F62" t="n">
        <v>1</v>
      </c>
      <c r="H62" t="inlineStr">
        <is>
          <t>Ball valve Manual with indicator - DN100 - Pekos 02 TTT/PI</t>
        </is>
      </c>
      <c r="I62" t="inlineStr"/>
      <c r="J62" s="1" t="inlineStr"/>
      <c r="K62" s="1" t="inlineStr"/>
      <c r="L62" s="1" t="inlineStr"/>
      <c r="M62" t="inlineStr">
        <is>
          <t>Not available</t>
        </is>
      </c>
    </row>
    <row r="63" hidden="1" outlineLevel="1" ht="68.25" customHeight="1">
      <c r="A63" s="1" t="inlineStr">
        <is>
          <t>11.7</t>
        </is>
      </c>
      <c r="B63" s="1" t="inlineStr">
        <is>
          <t>0000-701-052</t>
        </is>
      </c>
      <c r="D63" t="inlineStr">
        <is>
          <t>Normal</t>
        </is>
      </c>
      <c r="E63" t="n">
        <v>1</v>
      </c>
      <c r="F63" t="n">
        <v>1</v>
      </c>
      <c r="H63" t="inlineStr">
        <is>
          <t>Ball Valve - DN100 Automatic - PEKOS 02 TTT / RC200-DA / PI</t>
        </is>
      </c>
      <c r="I63" t="inlineStr"/>
      <c r="J63" s="1" t="inlineStr"/>
      <c r="K63" s="1" t="inlineStr"/>
      <c r="L63" s="1" t="inlineStr"/>
      <c r="M63" t="inlineStr">
        <is>
          <t>Not available</t>
        </is>
      </c>
    </row>
    <row r="64" hidden="1" outlineLevel="1" ht="68.25" customHeight="1">
      <c r="A64" s="1" t="inlineStr">
        <is>
          <t>11.1</t>
        </is>
      </c>
      <c r="B64" s="1" t="inlineStr">
        <is>
          <t>0000-703-003</t>
        </is>
      </c>
      <c r="D64" t="inlineStr">
        <is>
          <t>Normal</t>
        </is>
      </c>
      <c r="E64" t="n">
        <v>1</v>
      </c>
      <c r="F64" t="n">
        <v>1</v>
      </c>
      <c r="H64" t="inlineStr">
        <is>
          <t>Pipe - Ø114,3x2,6xL4524 mm - EN10217-7</t>
        </is>
      </c>
      <c r="I64" t="inlineStr"/>
      <c r="J64" s="1" t="inlineStr">
        <is>
          <t>114,3</t>
        </is>
      </c>
      <c r="K64" s="1" t="inlineStr">
        <is>
          <t>2,6</t>
        </is>
      </c>
      <c r="L64" s="1" t="inlineStr">
        <is>
          <t>4524 mm</t>
        </is>
      </c>
      <c r="M64" t="inlineStr">
        <is>
          <t>Not available</t>
        </is>
      </c>
    </row>
    <row r="65" hidden="1" outlineLevel="1" ht="68.25" customHeight="1">
      <c r="A65" s="1" t="inlineStr">
        <is>
          <t>11.2</t>
        </is>
      </c>
      <c r="B65" s="1" t="inlineStr">
        <is>
          <t>0000-703-010</t>
        </is>
      </c>
      <c r="D65" t="inlineStr">
        <is>
          <t>Normal</t>
        </is>
      </c>
      <c r="E65" t="n">
        <v>1</v>
      </c>
      <c r="F65" t="n">
        <v>2</v>
      </c>
      <c r="H65" t="inlineStr">
        <is>
          <t>Collar - DN100 PN10 - EN 1092-1 Typ 37</t>
        </is>
      </c>
      <c r="I65" t="inlineStr"/>
      <c r="J65" s="1" t="inlineStr"/>
      <c r="K65" s="1" t="inlineStr"/>
      <c r="L65" s="1" t="inlineStr"/>
      <c r="M65" t="inlineStr">
        <is>
          <t>Not available</t>
        </is>
      </c>
    </row>
    <row r="66" hidden="1" outlineLevel="1" ht="68.25" customHeight="1">
      <c r="A66" s="1" t="inlineStr">
        <is>
          <t>11.3</t>
        </is>
      </c>
      <c r="B66" s="1" t="inlineStr">
        <is>
          <t>0000-703-020</t>
        </is>
      </c>
      <c r="D66" t="inlineStr">
        <is>
          <t>Normal</t>
        </is>
      </c>
      <c r="E66" t="n">
        <v>1</v>
      </c>
      <c r="F66" t="n">
        <v>2</v>
      </c>
      <c r="H66" t="inlineStr">
        <is>
          <t>Pressed Flange - DN100 PN10/16 - EN 1092-1 Typ 02</t>
        </is>
      </c>
      <c r="I66" t="inlineStr"/>
      <c r="J66" s="1" t="inlineStr"/>
      <c r="K66" s="1" t="inlineStr"/>
      <c r="L66" s="1" t="inlineStr"/>
      <c r="M66" t="inlineStr">
        <is>
          <t>Not available</t>
        </is>
      </c>
    </row>
    <row r="67" hidden="1" outlineLevel="1" ht="68.25" customHeight="1">
      <c r="A67" s="1" t="inlineStr">
        <is>
          <t>11.9</t>
        </is>
      </c>
      <c r="B67" s="1" t="inlineStr">
        <is>
          <t>0000-703-022</t>
        </is>
      </c>
      <c r="D67" t="inlineStr">
        <is>
          <t>Purchased</t>
        </is>
      </c>
      <c r="E67" t="n">
        <v>1</v>
      </c>
      <c r="F67" t="n">
        <v>1</v>
      </c>
      <c r="H67" t="inlineStr">
        <is>
          <t>Flange - DN100_PN10 - DIN 2527</t>
        </is>
      </c>
      <c r="I67" t="inlineStr"/>
      <c r="J67" s="1" t="inlineStr"/>
      <c r="K67" s="1" t="inlineStr"/>
      <c r="L67" s="1" t="inlineStr"/>
      <c r="M67" t="inlineStr">
        <is>
          <t>Not available</t>
        </is>
      </c>
    </row>
    <row r="68" hidden="1" outlineLevel="1" ht="68.25" customHeight="1">
      <c r="A68" s="1" t="inlineStr">
        <is>
          <t>11.4</t>
        </is>
      </c>
      <c r="B68" s="1" t="inlineStr">
        <is>
          <t>0000-703-030</t>
        </is>
      </c>
      <c r="D68" t="inlineStr">
        <is>
          <t>Normal</t>
        </is>
      </c>
      <c r="E68" t="n">
        <v>1</v>
      </c>
      <c r="F68" t="n">
        <v>2</v>
      </c>
      <c r="H68" t="inlineStr">
        <is>
          <t>Elbow 45° DN100 Ø114,3x2,6 - Type 3 - r=152 - DIN2605</t>
        </is>
      </c>
      <c r="I68" t="inlineStr"/>
      <c r="J68" s="1" t="inlineStr"/>
      <c r="K68" s="1" t="inlineStr"/>
      <c r="L68" s="1" t="inlineStr"/>
      <c r="M68" t="inlineStr">
        <is>
          <t>Not available</t>
        </is>
      </c>
    </row>
    <row r="69" hidden="1" outlineLevel="1" ht="68.25" customHeight="1">
      <c r="A69" s="1" t="inlineStr">
        <is>
          <t>11.10</t>
        </is>
      </c>
      <c r="B69" s="1" t="inlineStr">
        <is>
          <t>0000-703-060</t>
        </is>
      </c>
      <c r="D69" t="inlineStr">
        <is>
          <t>Normal</t>
        </is>
      </c>
      <c r="E69" t="n">
        <v>1</v>
      </c>
      <c r="F69" t="n">
        <v>1</v>
      </c>
      <c r="H69" t="inlineStr">
        <is>
          <t>Welding Nipple - G2_DN50xL100 - EN10241 - 1.4571</t>
        </is>
      </c>
      <c r="I69" t="inlineStr"/>
      <c r="J69" s="1" t="inlineStr"/>
      <c r="K69" s="1" t="inlineStr"/>
      <c r="L69" s="1" t="inlineStr"/>
      <c r="M69" t="inlineStr">
        <is>
          <t>Not available</t>
        </is>
      </c>
    </row>
    <row r="70" hidden="1" outlineLevel="1" ht="68.25" customHeight="1">
      <c r="A70" s="1" t="inlineStr">
        <is>
          <t>11.11</t>
        </is>
      </c>
      <c r="B70" s="1" t="inlineStr">
        <is>
          <t>0000-703-062</t>
        </is>
      </c>
      <c r="D70" t="inlineStr">
        <is>
          <t>Normal</t>
        </is>
      </c>
      <c r="E70" t="n">
        <v>1</v>
      </c>
      <c r="F70" t="n">
        <v>1</v>
      </c>
      <c r="H70" t="inlineStr">
        <is>
          <t>Hexagon Cap - 2``</t>
        </is>
      </c>
      <c r="I70" t="inlineStr"/>
      <c r="J70" s="1" t="inlineStr">
        <is>
          <t>1.0</t>
        </is>
      </c>
      <c r="K70" s="1" t="inlineStr">
        <is>
          <t>1.0</t>
        </is>
      </c>
      <c r="L70" s="1" t="inlineStr">
        <is>
          <t>1</t>
        </is>
      </c>
      <c r="M70" t="inlineStr">
        <is>
          <t>Not available</t>
        </is>
      </c>
    </row>
    <row r="71" collapsed="1" ht="68.25" customHeight="1">
      <c r="A71" s="1" t="inlineStr">
        <is>
          <t>12</t>
        </is>
      </c>
      <c r="B71" s="1" t="inlineStr">
        <is>
          <t>2252-BM034-03</t>
        </is>
      </c>
      <c r="D71" t="inlineStr">
        <is>
          <t>Normal</t>
        </is>
      </c>
      <c r="E71" t="n">
        <v>1</v>
      </c>
      <c r="F71" t="n">
        <v>1</v>
      </c>
      <c r="H71" t="inlineStr">
        <is>
          <t>From DT To PD</t>
        </is>
      </c>
      <c r="I71" t="inlineStr">
        <is>
          <t>B</t>
        </is>
      </c>
      <c r="J71" s="1" t="inlineStr"/>
      <c r="K71" s="1" t="inlineStr"/>
      <c r="L71" s="1" t="inlineStr"/>
      <c r="M71" s="2">
        <f>HYPERLINK("\\192.168.170.18\drawings\5-Projects\2252 - Biopommeria\400 Layout\Area 04 - Digester Area\Piping\2252-BM034-03-B - From DT To PD.pdf", "PDF")</f>
        <v/>
      </c>
    </row>
    <row r="72" hidden="1" outlineLevel="1" ht="68.25" customHeight="1">
      <c r="A72" s="1" t="inlineStr">
        <is>
          <t>12.9</t>
        </is>
      </c>
      <c r="B72" s="1" t="inlineStr">
        <is>
          <t>0000-324-103</t>
        </is>
      </c>
      <c r="D72" t="inlineStr">
        <is>
          <t>Normal</t>
        </is>
      </c>
      <c r="E72" t="n">
        <v>1</v>
      </c>
      <c r="F72" t="n">
        <v>1</v>
      </c>
      <c r="H72" t="inlineStr">
        <is>
          <t>Tee Equal Connection Short - DN100</t>
        </is>
      </c>
      <c r="I72" t="inlineStr"/>
      <c r="J72" s="1" t="inlineStr"/>
      <c r="K72" s="1" t="inlineStr"/>
      <c r="L72" s="1" t="inlineStr"/>
      <c r="M72" t="inlineStr">
        <is>
          <t>Not available</t>
        </is>
      </c>
    </row>
    <row r="73" hidden="1" outlineLevel="2" ht="68.25" customHeight="1">
      <c r="A73" s="1" t="inlineStr">
        <is>
          <t>12.9.4</t>
        </is>
      </c>
      <c r="B73" s="1" t="inlineStr">
        <is>
          <t>0000-703-001</t>
        </is>
      </c>
      <c r="D73" t="inlineStr">
        <is>
          <t>Normal</t>
        </is>
      </c>
      <c r="E73" t="n">
        <v>1</v>
      </c>
      <c r="F73" t="n">
        <v>3</v>
      </c>
      <c r="H73" t="inlineStr">
        <is>
          <t>Pipe - Ø114,3x2,6x50 - EN10217-7</t>
        </is>
      </c>
      <c r="I73" t="inlineStr"/>
      <c r="J73" s="1" t="inlineStr">
        <is>
          <t>114,3</t>
        </is>
      </c>
      <c r="K73" s="1" t="inlineStr">
        <is>
          <t>2,6</t>
        </is>
      </c>
      <c r="L73" s="1" t="inlineStr">
        <is>
          <t>50</t>
        </is>
      </c>
      <c r="M73" t="inlineStr">
        <is>
          <t>Not available</t>
        </is>
      </c>
    </row>
    <row r="74" hidden="1" outlineLevel="2" ht="68.25" customHeight="1">
      <c r="A74" s="1" t="inlineStr">
        <is>
          <t>12.9.1</t>
        </is>
      </c>
      <c r="B74" s="1" t="inlineStr">
        <is>
          <t>0000-703-010</t>
        </is>
      </c>
      <c r="D74" t="inlineStr">
        <is>
          <t>Normal</t>
        </is>
      </c>
      <c r="E74" t="n">
        <v>1</v>
      </c>
      <c r="F74" t="n">
        <v>3</v>
      </c>
      <c r="H74" t="inlineStr">
        <is>
          <t>Collar - DN100 PN10 - EN 1092-1 Typ 37</t>
        </is>
      </c>
      <c r="I74" t="inlineStr"/>
      <c r="J74" s="1" t="inlineStr"/>
      <c r="K74" s="1" t="inlineStr"/>
      <c r="L74" s="1" t="inlineStr"/>
      <c r="M74" t="inlineStr">
        <is>
          <t>Not available</t>
        </is>
      </c>
    </row>
    <row r="75" hidden="1" outlineLevel="2" ht="68.25" customHeight="1">
      <c r="A75" s="1" t="inlineStr">
        <is>
          <t>12.9.2</t>
        </is>
      </c>
      <c r="B75" s="1" t="inlineStr">
        <is>
          <t>0000-703-020</t>
        </is>
      </c>
      <c r="D75" t="inlineStr">
        <is>
          <t>Normal</t>
        </is>
      </c>
      <c r="E75" t="n">
        <v>1</v>
      </c>
      <c r="F75" t="n">
        <v>3</v>
      </c>
      <c r="H75" t="inlineStr">
        <is>
          <t>Pressed Flange - DN100 PN10/16 - EN 1092-1 Typ 02</t>
        </is>
      </c>
      <c r="I75" t="inlineStr"/>
      <c r="J75" s="1" t="inlineStr"/>
      <c r="K75" s="1" t="inlineStr"/>
      <c r="L75" s="1" t="inlineStr"/>
      <c r="M75" t="inlineStr">
        <is>
          <t>Not available</t>
        </is>
      </c>
    </row>
    <row r="76" hidden="1" outlineLevel="2" ht="68.25" customHeight="1">
      <c r="A76" s="1" t="inlineStr">
        <is>
          <t>12.9.3</t>
        </is>
      </c>
      <c r="B76" s="1" t="inlineStr">
        <is>
          <t>0000-703-040</t>
        </is>
      </c>
      <c r="D76" t="inlineStr">
        <is>
          <t>Purchased</t>
        </is>
      </c>
      <c r="E76" t="n">
        <v>1</v>
      </c>
      <c r="F76" t="n">
        <v>1</v>
      </c>
      <c r="H76" t="inlineStr">
        <is>
          <t>Tee Equal - DN100 Ø114,3x2,6 - EN10523-4</t>
        </is>
      </c>
      <c r="I76" t="inlineStr"/>
      <c r="J76" s="1" t="inlineStr"/>
      <c r="K76" s="1" t="inlineStr"/>
      <c r="L76" s="1" t="inlineStr"/>
      <c r="M76" t="inlineStr">
        <is>
          <t>Not available</t>
        </is>
      </c>
    </row>
    <row r="77" hidden="1" outlineLevel="1" collapsed="1" ht="68.25" customHeight="1">
      <c r="A77" s="1" t="inlineStr">
        <is>
          <t>12.12</t>
        </is>
      </c>
      <c r="B77" s="1" t="inlineStr">
        <is>
          <t>0000-342-021</t>
        </is>
      </c>
      <c r="D77" t="inlineStr">
        <is>
          <t>Normal</t>
        </is>
      </c>
      <c r="E77" t="n">
        <v>1</v>
      </c>
      <c r="F77" t="n">
        <v>1</v>
      </c>
      <c r="H77" t="inlineStr">
        <is>
          <t>Pipe holder foot L=200</t>
        </is>
      </c>
      <c r="I77" t="inlineStr"/>
      <c r="J77" s="1" t="inlineStr"/>
      <c r="K77" s="1" t="inlineStr"/>
      <c r="L77" s="1" t="inlineStr"/>
      <c r="M77" t="inlineStr">
        <is>
          <t>Not available</t>
        </is>
      </c>
    </row>
    <row r="78" hidden="1" outlineLevel="2" ht="68.25" customHeight="1">
      <c r="A78" s="1" t="inlineStr">
        <is>
          <t>12.12.1</t>
        </is>
      </c>
      <c r="B78" s="1" t="inlineStr">
        <is>
          <t>0000-703-003</t>
        </is>
      </c>
      <c r="D78" t="inlineStr">
        <is>
          <t>Normal</t>
        </is>
      </c>
      <c r="E78" t="n">
        <v>1</v>
      </c>
      <c r="F78" t="n">
        <v>1</v>
      </c>
      <c r="H78" t="inlineStr">
        <is>
          <t>Square tube - 60x60x3xL200</t>
        </is>
      </c>
      <c r="I78" t="inlineStr"/>
      <c r="J78" s="1" t="inlineStr"/>
      <c r="K78" s="1" t="inlineStr">
        <is>
          <t>3</t>
        </is>
      </c>
      <c r="L78" s="1" t="inlineStr">
        <is>
          <t>200</t>
        </is>
      </c>
      <c r="M78" t="inlineStr">
        <is>
          <t>Not available</t>
        </is>
      </c>
    </row>
    <row r="79" hidden="1" outlineLevel="2" ht="68.25" customHeight="1">
      <c r="A79" s="1" t="inlineStr">
        <is>
          <t>12.12.2</t>
        </is>
      </c>
      <c r="B79" s="1" t="inlineStr">
        <is>
          <t>0000-703-004</t>
        </is>
      </c>
      <c r="D79" t="inlineStr">
        <is>
          <t>Normal</t>
        </is>
      </c>
      <c r="E79" t="n">
        <v>1</v>
      </c>
      <c r="F79" t="n">
        <v>1</v>
      </c>
      <c r="H79" t="inlineStr">
        <is>
          <t>Sheet plate 150x150x6</t>
        </is>
      </c>
      <c r="I79" t="inlineStr"/>
      <c r="J79" s="1" t="inlineStr"/>
      <c r="K79" s="1" t="inlineStr"/>
      <c r="L79" s="1" t="inlineStr"/>
      <c r="M79" t="inlineStr">
        <is>
          <t>Not available</t>
        </is>
      </c>
    </row>
    <row r="80" hidden="1" outlineLevel="2" ht="68.25" customHeight="1">
      <c r="A80" s="1" t="inlineStr">
        <is>
          <t>12.12.4</t>
        </is>
      </c>
      <c r="B80" s="1" t="inlineStr">
        <is>
          <t>0000-750-001</t>
        </is>
      </c>
      <c r="D80" t="inlineStr">
        <is>
          <t>Normal</t>
        </is>
      </c>
      <c r="E80" t="n">
        <v>1</v>
      </c>
      <c r="F80" t="n">
        <v>1</v>
      </c>
      <c r="H80" t="inlineStr">
        <is>
          <t>Bolt - M16x80 - ISO4017</t>
        </is>
      </c>
      <c r="I80" t="inlineStr"/>
      <c r="J80" s="1" t="inlineStr"/>
      <c r="K80" s="1" t="inlineStr"/>
      <c r="L80" s="1" t="inlineStr"/>
      <c r="M80" t="inlineStr">
        <is>
          <t>Not available</t>
        </is>
      </c>
    </row>
    <row r="81" hidden="1" outlineLevel="2" ht="68.25" customHeight="1">
      <c r="A81" s="1" t="inlineStr">
        <is>
          <t>12.12.3</t>
        </is>
      </c>
      <c r="B81" s="1" t="inlineStr">
        <is>
          <t>0000-750-002</t>
        </is>
      </c>
      <c r="D81" t="inlineStr">
        <is>
          <t>Normal</t>
        </is>
      </c>
      <c r="E81" t="n">
        <v>1</v>
      </c>
      <c r="F81" t="n">
        <v>1</v>
      </c>
      <c r="H81" t="inlineStr">
        <is>
          <t>Nut - M16 - ISO 4032</t>
        </is>
      </c>
      <c r="I81" t="inlineStr"/>
      <c r="J81" s="1" t="inlineStr"/>
      <c r="K81" s="1" t="inlineStr"/>
      <c r="L81" s="1" t="inlineStr"/>
      <c r="M81" t="inlineStr">
        <is>
          <t>Not available</t>
        </is>
      </c>
    </row>
    <row r="82" hidden="1" outlineLevel="1" collapsed="1" ht="68.25" customHeight="1">
      <c r="A82" s="1" t="inlineStr">
        <is>
          <t>12.13</t>
        </is>
      </c>
      <c r="B82" s="1" t="inlineStr">
        <is>
          <t>0000-342-027</t>
        </is>
      </c>
      <c r="D82" t="inlineStr">
        <is>
          <t>Inseparable</t>
        </is>
      </c>
      <c r="E82" t="n">
        <v>1</v>
      </c>
      <c r="F82" t="n">
        <v>1</v>
      </c>
      <c r="H82" t="inlineStr">
        <is>
          <t>DN100 Pipeholder</t>
        </is>
      </c>
      <c r="I82" t="inlineStr"/>
      <c r="J82" s="1" t="inlineStr"/>
      <c r="K82" s="1" t="inlineStr"/>
      <c r="L82" s="1" t="inlineStr"/>
      <c r="M82" t="inlineStr">
        <is>
          <t>Not available</t>
        </is>
      </c>
    </row>
    <row r="83" hidden="1" outlineLevel="2" ht="68.25" customHeight="1">
      <c r="A83" s="1" t="inlineStr">
        <is>
          <t>12.13.1</t>
        </is>
      </c>
      <c r="B83" s="1" t="inlineStr">
        <is>
          <t>0000-703-004</t>
        </is>
      </c>
      <c r="D83" t="inlineStr">
        <is>
          <t>Inseparable</t>
        </is>
      </c>
      <c r="E83" t="n">
        <v>1</v>
      </c>
      <c r="F83" t="n">
        <v>1</v>
      </c>
      <c r="H83" t="inlineStr">
        <is>
          <t>Sheet metal t=4mm</t>
        </is>
      </c>
      <c r="I83" t="inlineStr"/>
      <c r="J83" s="1" t="inlineStr"/>
      <c r="K83" s="1" t="inlineStr"/>
      <c r="L83" s="1" t="inlineStr"/>
      <c r="M83" t="inlineStr">
        <is>
          <t>Not available</t>
        </is>
      </c>
    </row>
    <row r="84" hidden="1" outlineLevel="2" ht="68.25" customHeight="1">
      <c r="A84" s="1" t="inlineStr">
        <is>
          <t>12.13.2</t>
        </is>
      </c>
      <c r="B84" s="1" t="inlineStr">
        <is>
          <t>0000-703-090</t>
        </is>
      </c>
      <c r="D84" t="inlineStr">
        <is>
          <t>Normal</t>
        </is>
      </c>
      <c r="E84" t="n">
        <v>1</v>
      </c>
      <c r="F84" t="n">
        <v>2</v>
      </c>
      <c r="H84" t="inlineStr">
        <is>
          <t>DIN 3567 - DN100 - Pipe Clamp Form A</t>
        </is>
      </c>
      <c r="I84" t="inlineStr"/>
      <c r="J84" s="1" t="inlineStr"/>
      <c r="K84" s="1" t="inlineStr"/>
      <c r="L84" s="1" t="inlineStr"/>
      <c r="M84" t="inlineStr">
        <is>
          <t>Not available</t>
        </is>
      </c>
    </row>
    <row r="85" hidden="1" outlineLevel="2" ht="68.25" customHeight="1">
      <c r="A85" s="1" t="inlineStr">
        <is>
          <t>12.13.5</t>
        </is>
      </c>
      <c r="B85" s="1" t="inlineStr">
        <is>
          <t>0000-750-001</t>
        </is>
      </c>
      <c r="D85" t="inlineStr">
        <is>
          <t>Normal</t>
        </is>
      </c>
      <c r="E85" t="n">
        <v>1</v>
      </c>
      <c r="F85" t="n">
        <v>2</v>
      </c>
      <c r="H85" t="inlineStr">
        <is>
          <t>Bolt - M16x50 - ISO4017</t>
        </is>
      </c>
      <c r="I85" t="inlineStr"/>
      <c r="J85" s="1" t="inlineStr"/>
      <c r="K85" s="1" t="inlineStr"/>
      <c r="L85" s="1" t="inlineStr"/>
      <c r="M85" t="inlineStr">
        <is>
          <t>Not available</t>
        </is>
      </c>
    </row>
    <row r="86" hidden="1" outlineLevel="2" ht="68.25" customHeight="1">
      <c r="A86" s="1" t="inlineStr">
        <is>
          <t>12.13.4</t>
        </is>
      </c>
      <c r="B86" s="1" t="inlineStr">
        <is>
          <t>0000-750-002</t>
        </is>
      </c>
      <c r="D86" t="inlineStr">
        <is>
          <t>Normal</t>
        </is>
      </c>
      <c r="E86" t="n">
        <v>1</v>
      </c>
      <c r="F86" t="n">
        <v>2</v>
      </c>
      <c r="H86" t="inlineStr">
        <is>
          <t>Nut - M16 - ISO 4032</t>
        </is>
      </c>
      <c r="I86" t="inlineStr"/>
      <c r="J86" s="1" t="inlineStr"/>
      <c r="K86" s="1" t="inlineStr"/>
      <c r="L86" s="1" t="inlineStr"/>
      <c r="M86" t="inlineStr">
        <is>
          <t>Not available</t>
        </is>
      </c>
    </row>
    <row r="87" hidden="1" outlineLevel="2" ht="68.25" customHeight="1">
      <c r="A87" s="1" t="inlineStr">
        <is>
          <t>12.13.3</t>
        </is>
      </c>
      <c r="B87" s="1" t="inlineStr">
        <is>
          <t>0000-750-003</t>
        </is>
      </c>
      <c r="D87" t="inlineStr">
        <is>
          <t>Purchased</t>
        </is>
      </c>
      <c r="E87" t="n">
        <v>1</v>
      </c>
      <c r="F87" t="n">
        <v>4</v>
      </c>
      <c r="H87" t="inlineStr">
        <is>
          <t>Washer - M16 - ISO7089</t>
        </is>
      </c>
      <c r="I87" t="inlineStr"/>
      <c r="J87" s="1" t="inlineStr"/>
      <c r="K87" s="1" t="inlineStr"/>
      <c r="L87" s="1" t="inlineStr"/>
      <c r="M87" t="inlineStr">
        <is>
          <t>Not available</t>
        </is>
      </c>
    </row>
    <row r="88" hidden="1" outlineLevel="1" collapsed="1" ht="68.25" customHeight="1">
      <c r="A88" s="1" t="inlineStr">
        <is>
          <t>12.5</t>
        </is>
      </c>
      <c r="B88" s="1" t="inlineStr">
        <is>
          <t>0000-701-001</t>
        </is>
      </c>
      <c r="D88" t="inlineStr">
        <is>
          <t>Normal</t>
        </is>
      </c>
      <c r="E88" t="n">
        <v>1</v>
      </c>
      <c r="F88" t="n">
        <v>1</v>
      </c>
      <c r="H88" t="inlineStr">
        <is>
          <t>Ball valve - DN50 - manual - Valtor V-106</t>
        </is>
      </c>
      <c r="I88" t="inlineStr"/>
      <c r="J88" s="1" t="inlineStr"/>
      <c r="K88" s="1" t="inlineStr"/>
      <c r="L88" s="1" t="inlineStr"/>
      <c r="M88" t="inlineStr">
        <is>
          <t>Not available</t>
        </is>
      </c>
    </row>
    <row r="89" hidden="1" outlineLevel="1" ht="68.25" customHeight="1">
      <c r="A89" s="1" t="inlineStr">
        <is>
          <t>12.8</t>
        </is>
      </c>
      <c r="B89" s="1" t="inlineStr">
        <is>
          <t>0000-701-051</t>
        </is>
      </c>
      <c r="D89" t="inlineStr">
        <is>
          <t>Normal</t>
        </is>
      </c>
      <c r="E89" t="n">
        <v>1</v>
      </c>
      <c r="F89" t="n">
        <v>1</v>
      </c>
      <c r="H89" t="inlineStr">
        <is>
          <t>Ball valve Manual with indicator - DN100 - Pekos 02 TTT/PI</t>
        </is>
      </c>
      <c r="I89" t="inlineStr"/>
      <c r="J89" s="1" t="inlineStr"/>
      <c r="K89" s="1" t="inlineStr"/>
      <c r="L89" s="1" t="inlineStr"/>
      <c r="M89" t="inlineStr">
        <is>
          <t>Not available</t>
        </is>
      </c>
    </row>
    <row r="90" hidden="1" outlineLevel="1" ht="68.25" customHeight="1">
      <c r="A90" s="1" t="inlineStr">
        <is>
          <t>12.6</t>
        </is>
      </c>
      <c r="B90" s="1" t="inlineStr">
        <is>
          <t>0000-701-052</t>
        </is>
      </c>
      <c r="D90" t="inlineStr">
        <is>
          <t>Normal</t>
        </is>
      </c>
      <c r="E90" t="n">
        <v>1</v>
      </c>
      <c r="F90" t="n">
        <v>1</v>
      </c>
      <c r="H90" t="inlineStr">
        <is>
          <t>Ball Valve - DN100 Automatic - PEKOS 02 TTT / RC200-DA / PI</t>
        </is>
      </c>
      <c r="I90" t="inlineStr"/>
      <c r="J90" s="1" t="inlineStr"/>
      <c r="K90" s="1" t="inlineStr"/>
      <c r="L90" s="1" t="inlineStr"/>
      <c r="M90" t="inlineStr">
        <is>
          <t>Not available</t>
        </is>
      </c>
    </row>
    <row r="91" hidden="1" outlineLevel="1" ht="68.25" customHeight="1">
      <c r="A91" s="1" t="inlineStr">
        <is>
          <t>12.10</t>
        </is>
      </c>
      <c r="B91" s="1" t="inlineStr">
        <is>
          <t>0000-702-002</t>
        </is>
      </c>
      <c r="D91" t="inlineStr">
        <is>
          <t>Normal</t>
        </is>
      </c>
      <c r="E91" t="n">
        <v>1</v>
      </c>
      <c r="F91" t="n">
        <v>1</v>
      </c>
      <c r="H91" t="inlineStr">
        <is>
          <t>Flowtransmitter - DN100 - F M MAG 3100 - Siemens</t>
        </is>
      </c>
      <c r="I91" t="inlineStr"/>
      <c r="J91" s="1" t="inlineStr"/>
      <c r="K91" s="1" t="inlineStr"/>
      <c r="L91" s="1" t="inlineStr"/>
      <c r="M91" t="inlineStr">
        <is>
          <t>Not available</t>
        </is>
      </c>
    </row>
    <row r="92" hidden="1" outlineLevel="1" ht="68.25" customHeight="1">
      <c r="A92" s="1" t="inlineStr">
        <is>
          <t>12.3</t>
        </is>
      </c>
      <c r="B92" s="1" t="inlineStr">
        <is>
          <t>0000-703-001</t>
        </is>
      </c>
      <c r="D92" t="inlineStr">
        <is>
          <t>Normal</t>
        </is>
      </c>
      <c r="E92" t="n">
        <v>1</v>
      </c>
      <c r="F92" t="n">
        <v>1</v>
      </c>
      <c r="H92" t="inlineStr">
        <is>
          <t>Pipe - DN-Ø114,3x2,6 L=900 - EN10217-7</t>
        </is>
      </c>
      <c r="I92" t="inlineStr"/>
      <c r="J92" s="1" t="inlineStr">
        <is>
          <t>114,3</t>
        </is>
      </c>
      <c r="K92" s="1" t="inlineStr">
        <is>
          <t>2,6</t>
        </is>
      </c>
      <c r="L92" s="1" t="inlineStr">
        <is>
          <t>900</t>
        </is>
      </c>
      <c r="M92" t="inlineStr">
        <is>
          <t>Not available</t>
        </is>
      </c>
    </row>
    <row r="93" hidden="1" outlineLevel="1" ht="68.25" customHeight="1">
      <c r="A93" s="1" t="inlineStr">
        <is>
          <t>12.1</t>
        </is>
      </c>
      <c r="B93" s="1" t="inlineStr">
        <is>
          <t>0000-703-010</t>
        </is>
      </c>
      <c r="D93" t="inlineStr">
        <is>
          <t>Normal</t>
        </is>
      </c>
      <c r="E93" t="n">
        <v>1</v>
      </c>
      <c r="F93" t="n">
        <v>4</v>
      </c>
      <c r="H93" t="inlineStr">
        <is>
          <t>Collar - DN100 PN10 - EN 1092-1 Typ 37</t>
        </is>
      </c>
      <c r="I93" t="inlineStr"/>
      <c r="J93" s="1" t="inlineStr"/>
      <c r="K93" s="1" t="inlineStr"/>
      <c r="L93" s="1" t="inlineStr"/>
      <c r="M93" t="inlineStr">
        <is>
          <t>Not available</t>
        </is>
      </c>
    </row>
    <row r="94" hidden="1" outlineLevel="1" ht="68.25" customHeight="1">
      <c r="A94" s="1" t="inlineStr">
        <is>
          <t>12.2</t>
        </is>
      </c>
      <c r="B94" s="1" t="inlineStr">
        <is>
          <t>0000-703-020</t>
        </is>
      </c>
      <c r="D94" t="inlineStr">
        <is>
          <t>Normal</t>
        </is>
      </c>
      <c r="E94" t="n">
        <v>1</v>
      </c>
      <c r="F94" t="n">
        <v>4</v>
      </c>
      <c r="H94" t="inlineStr">
        <is>
          <t>Pressed Flange - DN100 PN10/16 - EN 1092-1 Typ 02</t>
        </is>
      </c>
      <c r="I94" t="inlineStr"/>
      <c r="J94" s="1" t="inlineStr"/>
      <c r="K94" s="1" t="inlineStr"/>
      <c r="L94" s="1" t="inlineStr"/>
      <c r="M94" t="inlineStr">
        <is>
          <t>Not available</t>
        </is>
      </c>
    </row>
    <row r="95" hidden="1" outlineLevel="1" ht="68.25" customHeight="1">
      <c r="A95" s="1" t="inlineStr">
        <is>
          <t>12.7</t>
        </is>
      </c>
      <c r="B95" s="1" t="inlineStr">
        <is>
          <t>0000-703-022</t>
        </is>
      </c>
      <c r="D95" t="inlineStr">
        <is>
          <t>Purchased</t>
        </is>
      </c>
      <c r="E95" t="n">
        <v>1</v>
      </c>
      <c r="F95" t="n">
        <v>1</v>
      </c>
      <c r="H95" t="inlineStr">
        <is>
          <t>Flange - DN100_PN10 - DIN 2527</t>
        </is>
      </c>
      <c r="I95" t="inlineStr"/>
      <c r="J95" s="1" t="inlineStr"/>
      <c r="K95" s="1" t="inlineStr"/>
      <c r="L95" s="1" t="inlineStr"/>
      <c r="M95" t="inlineStr">
        <is>
          <t>Not available</t>
        </is>
      </c>
    </row>
    <row r="96" hidden="1" outlineLevel="1" ht="68.25" customHeight="1">
      <c r="A96" s="1" t="inlineStr">
        <is>
          <t>12.4</t>
        </is>
      </c>
      <c r="B96" s="1" t="inlineStr">
        <is>
          <t>0000-703-030</t>
        </is>
      </c>
      <c r="D96" t="inlineStr">
        <is>
          <t>Normal</t>
        </is>
      </c>
      <c r="E96" t="n">
        <v>1</v>
      </c>
      <c r="F96" t="n">
        <v>1</v>
      </c>
      <c r="H96" t="inlineStr">
        <is>
          <t>Elbow 90° DN100 Ø114,3x2,6 - Type 3 - r=152 - DIN2605</t>
        </is>
      </c>
      <c r="I96" t="inlineStr"/>
      <c r="J96" s="1" t="inlineStr"/>
      <c r="K96" s="1" t="inlineStr"/>
      <c r="L96" s="1" t="inlineStr"/>
      <c r="M96" t="inlineStr">
        <is>
          <t>Not available</t>
        </is>
      </c>
    </row>
    <row r="97" hidden="1" outlineLevel="1" ht="68.25" customHeight="1">
      <c r="A97" s="1" t="inlineStr">
        <is>
          <t>12.11</t>
        </is>
      </c>
      <c r="B97" s="1" t="inlineStr">
        <is>
          <t>0000-703-060</t>
        </is>
      </c>
      <c r="D97" t="inlineStr">
        <is>
          <t>Normal</t>
        </is>
      </c>
      <c r="E97" t="n">
        <v>1</v>
      </c>
      <c r="F97" t="n">
        <v>2</v>
      </c>
      <c r="H97" t="inlineStr">
        <is>
          <t>Welding Nipple - G2_DN50xL100 - EN10241 - 1.4571</t>
        </is>
      </c>
      <c r="I97" t="inlineStr"/>
      <c r="J97" s="1" t="inlineStr"/>
      <c r="K97" s="1" t="inlineStr"/>
      <c r="L97" s="1" t="inlineStr"/>
      <c r="M97" t="inlineStr">
        <is>
          <t>Not available</t>
        </is>
      </c>
    </row>
    <row r="98" hidden="1" outlineLevel="1" ht="68.25" customHeight="1">
      <c r="A98" s="1" t="inlineStr">
        <is>
          <t>12.14</t>
        </is>
      </c>
      <c r="B98" s="1" t="inlineStr">
        <is>
          <t>0000-703-062</t>
        </is>
      </c>
      <c r="D98" t="inlineStr">
        <is>
          <t>Normal</t>
        </is>
      </c>
      <c r="E98" t="n">
        <v>1</v>
      </c>
      <c r="F98" t="n">
        <v>1</v>
      </c>
      <c r="H98" t="inlineStr">
        <is>
          <t>Hexagon Cap - 2``</t>
        </is>
      </c>
      <c r="I98" t="inlineStr"/>
      <c r="J98" s="1" t="inlineStr">
        <is>
          <t>1.0</t>
        </is>
      </c>
      <c r="K98" s="1" t="inlineStr">
        <is>
          <t>1.0</t>
        </is>
      </c>
      <c r="L98" s="1" t="inlineStr">
        <is>
          <t>1</t>
        </is>
      </c>
      <c r="M98" t="inlineStr">
        <is>
          <t>Not available</t>
        </is>
      </c>
    </row>
    <row r="99" collapsed="1" ht="68.25" customHeight="1">
      <c r="A99" s="1" t="inlineStr">
        <is>
          <t>13</t>
        </is>
      </c>
      <c r="B99" s="1" t="inlineStr">
        <is>
          <t>2252-BM048-01</t>
        </is>
      </c>
      <c r="D99" t="inlineStr">
        <is>
          <t>Normal</t>
        </is>
      </c>
      <c r="E99" t="n">
        <v>1</v>
      </c>
      <c r="F99" t="n">
        <v>1</v>
      </c>
      <c r="H99" t="inlineStr">
        <is>
          <t>From DT To Past</t>
        </is>
      </c>
      <c r="I99" t="inlineStr">
        <is>
          <t>A</t>
        </is>
      </c>
      <c r="J99" s="1" t="inlineStr"/>
      <c r="K99" s="1" t="inlineStr"/>
      <c r="L99" s="1" t="inlineStr"/>
      <c r="M99" s="2">
        <f>HYPERLINK("\\192.168.170.18\drawings\5-Projects\2252 - Biopommeria\400 Layout\Area 04 - Digester Area\Piping\2252-BM048-01-A - From DT To Past.pdf", "PDF")</f>
        <v/>
      </c>
    </row>
    <row r="100" hidden="1" outlineLevel="1" ht="68.25" customHeight="1">
      <c r="A100" s="1" t="inlineStr">
        <is>
          <t>13.10</t>
        </is>
      </c>
      <c r="B100" s="1" t="inlineStr">
        <is>
          <t>0000-324-103</t>
        </is>
      </c>
      <c r="D100" t="inlineStr">
        <is>
          <t>Normal</t>
        </is>
      </c>
      <c r="E100" t="n">
        <v>1</v>
      </c>
      <c r="F100" t="n">
        <v>1</v>
      </c>
      <c r="H100" t="inlineStr">
        <is>
          <t>Tee Equal Connection Short - DN100</t>
        </is>
      </c>
      <c r="I100" t="inlineStr"/>
      <c r="J100" s="1" t="inlineStr"/>
      <c r="K100" s="1" t="inlineStr"/>
      <c r="L100" s="1" t="inlineStr"/>
      <c r="M100" t="inlineStr">
        <is>
          <t>Not available</t>
        </is>
      </c>
    </row>
    <row r="101" hidden="1" outlineLevel="2" ht="68.25" customHeight="1">
      <c r="A101" s="1" t="inlineStr">
        <is>
          <t>13.10.4</t>
        </is>
      </c>
      <c r="B101" s="1" t="inlineStr">
        <is>
          <t>0000-703-001</t>
        </is>
      </c>
      <c r="D101" t="inlineStr">
        <is>
          <t>Normal</t>
        </is>
      </c>
      <c r="E101" t="n">
        <v>1</v>
      </c>
      <c r="F101" t="n">
        <v>3</v>
      </c>
      <c r="H101" t="inlineStr">
        <is>
          <t>Pipe - Ø114,3x2,6x50 - EN10217-7</t>
        </is>
      </c>
      <c r="I101" t="inlineStr"/>
      <c r="J101" s="1" t="inlineStr">
        <is>
          <t>114,3</t>
        </is>
      </c>
      <c r="K101" s="1" t="inlineStr">
        <is>
          <t>2,6</t>
        </is>
      </c>
      <c r="L101" s="1" t="inlineStr">
        <is>
          <t>50</t>
        </is>
      </c>
      <c r="M101" t="inlineStr">
        <is>
          <t>Not available</t>
        </is>
      </c>
    </row>
    <row r="102" hidden="1" outlineLevel="2" ht="68.25" customHeight="1">
      <c r="A102" s="1" t="inlineStr">
        <is>
          <t>13.10.1</t>
        </is>
      </c>
      <c r="B102" s="1" t="inlineStr">
        <is>
          <t>0000-703-010</t>
        </is>
      </c>
      <c r="D102" t="inlineStr">
        <is>
          <t>Normal</t>
        </is>
      </c>
      <c r="E102" t="n">
        <v>1</v>
      </c>
      <c r="F102" t="n">
        <v>3</v>
      </c>
      <c r="H102" t="inlineStr">
        <is>
          <t>Collar - DN100 PN10 - EN 1092-1 Typ 37</t>
        </is>
      </c>
      <c r="I102" t="inlineStr"/>
      <c r="J102" s="1" t="inlineStr"/>
      <c r="K102" s="1" t="inlineStr"/>
      <c r="L102" s="1" t="inlineStr"/>
      <c r="M102" t="inlineStr">
        <is>
          <t>Not available</t>
        </is>
      </c>
    </row>
    <row r="103" hidden="1" outlineLevel="2" ht="68.25" customHeight="1">
      <c r="A103" s="1" t="inlineStr">
        <is>
          <t>13.10.2</t>
        </is>
      </c>
      <c r="B103" s="1" t="inlineStr">
        <is>
          <t>0000-703-020</t>
        </is>
      </c>
      <c r="D103" t="inlineStr">
        <is>
          <t>Normal</t>
        </is>
      </c>
      <c r="E103" t="n">
        <v>1</v>
      </c>
      <c r="F103" t="n">
        <v>3</v>
      </c>
      <c r="H103" t="inlineStr">
        <is>
          <t>Pressed Flange - DN100 PN10/16 - EN 1092-1 Typ 02</t>
        </is>
      </c>
      <c r="I103" t="inlineStr"/>
      <c r="J103" s="1" t="inlineStr"/>
      <c r="K103" s="1" t="inlineStr"/>
      <c r="L103" s="1" t="inlineStr"/>
      <c r="M103" t="inlineStr">
        <is>
          <t>Not available</t>
        </is>
      </c>
    </row>
    <row r="104" hidden="1" outlineLevel="2" ht="68.25" customHeight="1">
      <c r="A104" s="1" t="inlineStr">
        <is>
          <t>13.10.3</t>
        </is>
      </c>
      <c r="B104" s="1" t="inlineStr">
        <is>
          <t>0000-703-040</t>
        </is>
      </c>
      <c r="D104" t="inlineStr">
        <is>
          <t>Purchased</t>
        </is>
      </c>
      <c r="E104" t="n">
        <v>1</v>
      </c>
      <c r="F104" t="n">
        <v>1</v>
      </c>
      <c r="H104" t="inlineStr">
        <is>
          <t>Tee Equal - DN100 Ø114,3x2,6 - EN10523-4</t>
        </is>
      </c>
      <c r="I104" t="inlineStr"/>
      <c r="J104" s="1" t="inlineStr"/>
      <c r="K104" s="1" t="inlineStr"/>
      <c r="L104" s="1" t="inlineStr"/>
      <c r="M104" t="inlineStr">
        <is>
          <t>Not available</t>
        </is>
      </c>
    </row>
    <row r="105" hidden="1" outlineLevel="1" collapsed="1" ht="68.25" customHeight="1">
      <c r="A105" s="1" t="inlineStr">
        <is>
          <t>13.9</t>
        </is>
      </c>
      <c r="B105" s="1" t="inlineStr">
        <is>
          <t>0000-701-051</t>
        </is>
      </c>
      <c r="D105" t="inlineStr">
        <is>
          <t>Normal</t>
        </is>
      </c>
      <c r="E105" t="n">
        <v>1</v>
      </c>
      <c r="F105" t="n">
        <v>1</v>
      </c>
      <c r="H105" t="inlineStr">
        <is>
          <t>Ball valve Manual with indicator - DN100 - Pekos 02 TTT/PI</t>
        </is>
      </c>
      <c r="I105" t="inlineStr"/>
      <c r="J105" s="1" t="inlineStr"/>
      <c r="K105" s="1" t="inlineStr"/>
      <c r="L105" s="1" t="inlineStr"/>
      <c r="M105" t="inlineStr">
        <is>
          <t>Not available</t>
        </is>
      </c>
    </row>
    <row r="106" hidden="1" outlineLevel="1" ht="68.25" customHeight="1">
      <c r="A106" s="1" t="inlineStr">
        <is>
          <t>13.7</t>
        </is>
      </c>
      <c r="B106" s="1" t="inlineStr">
        <is>
          <t>0000-701-052</t>
        </is>
      </c>
      <c r="D106" t="inlineStr">
        <is>
          <t>Normal</t>
        </is>
      </c>
      <c r="E106" t="n">
        <v>1</v>
      </c>
      <c r="F106" t="n">
        <v>1</v>
      </c>
      <c r="H106" t="inlineStr">
        <is>
          <t>Ball Valve - DN100 Automatic - PEKOS 02 TTT / RC200-DA / PI</t>
        </is>
      </c>
      <c r="I106" t="inlineStr"/>
      <c r="J106" s="1" t="inlineStr"/>
      <c r="K106" s="1" t="inlineStr"/>
      <c r="L106" s="1" t="inlineStr"/>
      <c r="M106" t="inlineStr">
        <is>
          <t>Not available</t>
        </is>
      </c>
    </row>
    <row r="107" hidden="1" outlineLevel="1" ht="68.25" customHeight="1">
      <c r="A107" s="1" t="inlineStr">
        <is>
          <t>13.1</t>
        </is>
      </c>
      <c r="B107" s="1" t="inlineStr">
        <is>
          <t>0000-703-001</t>
        </is>
      </c>
      <c r="D107" t="inlineStr">
        <is>
          <t>Normal</t>
        </is>
      </c>
      <c r="E107" t="n">
        <v>1</v>
      </c>
      <c r="F107" t="n">
        <v>1</v>
      </c>
      <c r="H107" t="inlineStr">
        <is>
          <t>Pipe - DN-Ø114,3x2,6 L=150 - EN10217-7</t>
        </is>
      </c>
      <c r="I107" t="inlineStr"/>
      <c r="J107" s="1" t="inlineStr">
        <is>
          <t>114,3</t>
        </is>
      </c>
      <c r="K107" s="1" t="inlineStr">
        <is>
          <t>2,6</t>
        </is>
      </c>
      <c r="L107" s="1" t="inlineStr">
        <is>
          <t>150</t>
        </is>
      </c>
      <c r="M107" t="inlineStr">
        <is>
          <t>Not available</t>
        </is>
      </c>
    </row>
    <row r="108" hidden="1" outlineLevel="1" ht="68.25" customHeight="1">
      <c r="A108" s="1" t="inlineStr">
        <is>
          <t>13.2</t>
        </is>
      </c>
      <c r="B108" s="1" t="inlineStr">
        <is>
          <t>0000-703-010</t>
        </is>
      </c>
      <c r="D108" t="inlineStr">
        <is>
          <t>Normal</t>
        </is>
      </c>
      <c r="E108" t="n">
        <v>1</v>
      </c>
      <c r="F108" t="n">
        <v>2</v>
      </c>
      <c r="H108" t="inlineStr">
        <is>
          <t>Collar - DN100 PN10 - EN 1092-1 Typ 37</t>
        </is>
      </c>
      <c r="I108" t="inlineStr"/>
      <c r="J108" s="1" t="inlineStr"/>
      <c r="K108" s="1" t="inlineStr"/>
      <c r="L108" s="1" t="inlineStr"/>
      <c r="M108" t="inlineStr">
        <is>
          <t>Not available</t>
        </is>
      </c>
    </row>
    <row r="109" hidden="1" outlineLevel="1" ht="68.25" customHeight="1">
      <c r="A109" s="1" t="inlineStr">
        <is>
          <t>13.3</t>
        </is>
      </c>
      <c r="B109" s="1" t="inlineStr">
        <is>
          <t>0000-703-020</t>
        </is>
      </c>
      <c r="D109" t="inlineStr">
        <is>
          <t>Normal</t>
        </is>
      </c>
      <c r="E109" t="n">
        <v>1</v>
      </c>
      <c r="F109" t="n">
        <v>2</v>
      </c>
      <c r="H109" t="inlineStr">
        <is>
          <t>Pressed Flange - DN100 PN10/16 - EN 1092-1 Typ 02</t>
        </is>
      </c>
      <c r="I109" t="inlineStr"/>
      <c r="J109" s="1" t="inlineStr"/>
      <c r="K109" s="1" t="inlineStr"/>
      <c r="L109" s="1" t="inlineStr"/>
      <c r="M109" t="inlineStr">
        <is>
          <t>Not available</t>
        </is>
      </c>
    </row>
    <row r="110" hidden="1" outlineLevel="1" ht="68.25" customHeight="1">
      <c r="A110" s="1" t="inlineStr">
        <is>
          <t>13.8</t>
        </is>
      </c>
      <c r="B110" s="1" t="inlineStr">
        <is>
          <t>0000-703-022</t>
        </is>
      </c>
      <c r="D110" t="inlineStr">
        <is>
          <t>Purchased</t>
        </is>
      </c>
      <c r="E110" t="n">
        <v>1</v>
      </c>
      <c r="F110" t="n">
        <v>1</v>
      </c>
      <c r="H110" t="inlineStr">
        <is>
          <t>Flange - DN100_PN10 - DIN 2527</t>
        </is>
      </c>
      <c r="I110" t="inlineStr"/>
      <c r="J110" s="1" t="inlineStr"/>
      <c r="K110" s="1" t="inlineStr"/>
      <c r="L110" s="1" t="inlineStr"/>
      <c r="M110" t="inlineStr">
        <is>
          <t>Not available</t>
        </is>
      </c>
    </row>
    <row r="111" hidden="1" outlineLevel="1" ht="68.25" customHeight="1">
      <c r="A111" s="1" t="inlineStr">
        <is>
          <t>13.4</t>
        </is>
      </c>
      <c r="B111" s="1" t="inlineStr">
        <is>
          <t>0000-703-030</t>
        </is>
      </c>
      <c r="D111" t="inlineStr">
        <is>
          <t>Normal</t>
        </is>
      </c>
      <c r="E111" t="n">
        <v>1</v>
      </c>
      <c r="F111" t="n">
        <v>1</v>
      </c>
      <c r="H111" t="inlineStr">
        <is>
          <t>Elbow 90° DN100 Ø114,3x2,6 - Type 3 - r=152 - DIN2605</t>
        </is>
      </c>
      <c r="I111" t="inlineStr"/>
      <c r="J111" s="1" t="inlineStr"/>
      <c r="K111" s="1" t="inlineStr"/>
      <c r="L111" s="1" t="inlineStr"/>
      <c r="M111" t="inlineStr">
        <is>
          <t>Not available</t>
        </is>
      </c>
    </row>
    <row r="112" hidden="1" outlineLevel="1" ht="68.25" customHeight="1">
      <c r="A112" s="1" t="inlineStr">
        <is>
          <t>13.5</t>
        </is>
      </c>
      <c r="B112" s="1" t="inlineStr">
        <is>
          <t>0000-703-060</t>
        </is>
      </c>
      <c r="D112" t="inlineStr">
        <is>
          <t>Normal</t>
        </is>
      </c>
      <c r="E112" t="n">
        <v>1</v>
      </c>
      <c r="F112" t="n">
        <v>1</v>
      </c>
      <c r="H112" t="inlineStr">
        <is>
          <t>Welding Nipple - G2_DN50xL100 - EN10241 - 1.4571</t>
        </is>
      </c>
      <c r="I112" t="inlineStr"/>
      <c r="J112" s="1" t="inlineStr"/>
      <c r="K112" s="1" t="inlineStr"/>
      <c r="L112" s="1" t="inlineStr"/>
      <c r="M112" t="inlineStr">
        <is>
          <t>Not available</t>
        </is>
      </c>
    </row>
    <row r="113" hidden="1" outlineLevel="1" ht="68.25" customHeight="1">
      <c r="A113" s="1" t="inlineStr">
        <is>
          <t>13.6</t>
        </is>
      </c>
      <c r="B113" s="1" t="inlineStr">
        <is>
          <t>0000-703-062</t>
        </is>
      </c>
      <c r="D113" t="inlineStr">
        <is>
          <t>Normal</t>
        </is>
      </c>
      <c r="E113" t="n">
        <v>1</v>
      </c>
      <c r="F113" t="n">
        <v>1</v>
      </c>
      <c r="H113" t="inlineStr">
        <is>
          <t>Hexagon Cap - 2``</t>
        </is>
      </c>
      <c r="I113" t="inlineStr"/>
      <c r="J113" s="1" t="inlineStr">
        <is>
          <t>1.0</t>
        </is>
      </c>
      <c r="K113" s="1" t="inlineStr">
        <is>
          <t>1.0</t>
        </is>
      </c>
      <c r="L113" s="1" t="inlineStr">
        <is>
          <t>1</t>
        </is>
      </c>
      <c r="M113" t="inlineStr">
        <is>
          <t>Not available</t>
        </is>
      </c>
    </row>
    <row r="114" collapsed="1" ht="68.25" customHeight="1">
      <c r="A114" s="1" t="inlineStr">
        <is>
          <t>14</t>
        </is>
      </c>
      <c r="B114" s="1" t="inlineStr">
        <is>
          <t>2252-BM049-01</t>
        </is>
      </c>
      <c r="D114" t="inlineStr">
        <is>
          <t>Normal</t>
        </is>
      </c>
      <c r="E114" t="n">
        <v>1</v>
      </c>
      <c r="F114" t="n">
        <v>1</v>
      </c>
      <c r="H114" t="inlineStr">
        <is>
          <t>From Past To DT</t>
        </is>
      </c>
      <c r="I114" t="inlineStr">
        <is>
          <t>B</t>
        </is>
      </c>
      <c r="J114" s="1" t="inlineStr"/>
      <c r="K114" s="1" t="inlineStr"/>
      <c r="L114" s="1" t="inlineStr"/>
      <c r="M114" s="2">
        <f>HYPERLINK("\\192.168.170.18\drawings\5-Projects\2252 - Biopommeria\400 Layout\Area 04 - Digester Area\Piping\2252-BM049-01-B - From Past To DT.pdf", "PDF")</f>
        <v/>
      </c>
    </row>
    <row r="115" hidden="1" outlineLevel="1" ht="68.25" customHeight="1">
      <c r="A115" s="1" t="inlineStr">
        <is>
          <t>14.6</t>
        </is>
      </c>
      <c r="B115" s="1" t="inlineStr">
        <is>
          <t>0000-324-150</t>
        </is>
      </c>
      <c r="D115" t="inlineStr">
        <is>
          <t>Normal</t>
        </is>
      </c>
      <c r="E115" t="n">
        <v>1</v>
      </c>
      <c r="F115" t="n">
        <v>1</v>
      </c>
      <c r="H115" t="inlineStr">
        <is>
          <t>Tee Equal Connection - DN150 - 1.4301</t>
        </is>
      </c>
      <c r="I115" t="inlineStr"/>
      <c r="J115" s="1" t="inlineStr"/>
      <c r="K115" s="1" t="inlineStr"/>
      <c r="L115" s="1" t="inlineStr"/>
      <c r="M115" t="inlineStr">
        <is>
          <t>Not available</t>
        </is>
      </c>
    </row>
    <row r="116" hidden="1" outlineLevel="2" ht="68.25" customHeight="1">
      <c r="A116" s="1" t="inlineStr">
        <is>
          <t>14.6.3</t>
        </is>
      </c>
      <c r="B116" s="1" t="inlineStr">
        <is>
          <t>0000-703-001</t>
        </is>
      </c>
      <c r="D116" t="inlineStr">
        <is>
          <t>Normal</t>
        </is>
      </c>
      <c r="E116" t="n">
        <v>1</v>
      </c>
      <c r="F116" t="n">
        <v>3</v>
      </c>
      <c r="H116" t="inlineStr">
        <is>
          <t>Pipe - Ø168,3x2,6x100 - EN10217-7</t>
        </is>
      </c>
      <c r="I116" t="inlineStr"/>
      <c r="J116" s="1" t="inlineStr">
        <is>
          <t>168,3</t>
        </is>
      </c>
      <c r="K116" s="1" t="inlineStr">
        <is>
          <t>2,6</t>
        </is>
      </c>
      <c r="L116" s="1" t="inlineStr">
        <is>
          <t>100</t>
        </is>
      </c>
      <c r="M116" t="inlineStr">
        <is>
          <t>Not available</t>
        </is>
      </c>
    </row>
    <row r="117" hidden="1" outlineLevel="2" ht="68.25" customHeight="1">
      <c r="A117" s="1" t="inlineStr">
        <is>
          <t>14.6.1</t>
        </is>
      </c>
      <c r="B117" s="1" t="inlineStr">
        <is>
          <t>0000-703-010</t>
        </is>
      </c>
      <c r="D117" t="inlineStr">
        <is>
          <t>Normal</t>
        </is>
      </c>
      <c r="E117" t="n">
        <v>1</v>
      </c>
      <c r="F117" t="n">
        <v>3</v>
      </c>
      <c r="H117" t="inlineStr">
        <is>
          <t>Collar - DN150 PN10 - EN 1092-1 Typ 37</t>
        </is>
      </c>
      <c r="I117" t="inlineStr"/>
      <c r="J117" s="1" t="inlineStr"/>
      <c r="K117" s="1" t="inlineStr"/>
      <c r="L117" s="1" t="inlineStr"/>
      <c r="M117" t="inlineStr">
        <is>
          <t>Not available</t>
        </is>
      </c>
    </row>
    <row r="118" hidden="1" outlineLevel="2" ht="68.25" customHeight="1">
      <c r="A118" s="1" t="inlineStr">
        <is>
          <t>14.6.2</t>
        </is>
      </c>
      <c r="B118" s="1" t="inlineStr">
        <is>
          <t>0000-703-020</t>
        </is>
      </c>
      <c r="D118" t="inlineStr">
        <is>
          <t>Normal</t>
        </is>
      </c>
      <c r="E118" t="n">
        <v>1</v>
      </c>
      <c r="F118" t="n">
        <v>3</v>
      </c>
      <c r="H118" t="inlineStr">
        <is>
          <t>Pressed Flange - DN150 PN10 - EN 1092-1 Typ 02</t>
        </is>
      </c>
      <c r="I118" t="inlineStr"/>
      <c r="J118" s="1" t="inlineStr"/>
      <c r="K118" s="1" t="inlineStr"/>
      <c r="L118" s="1" t="inlineStr"/>
      <c r="M118" t="inlineStr">
        <is>
          <t>Not available</t>
        </is>
      </c>
    </row>
    <row r="119" hidden="1" outlineLevel="2" ht="68.25" customHeight="1">
      <c r="A119" s="1" t="inlineStr">
        <is>
          <t>14.6.4</t>
        </is>
      </c>
      <c r="B119" s="1" t="inlineStr">
        <is>
          <t>0000-703-040</t>
        </is>
      </c>
      <c r="D119" t="inlineStr">
        <is>
          <t>Purchased</t>
        </is>
      </c>
      <c r="E119" t="n">
        <v>1</v>
      </c>
      <c r="F119" t="n">
        <v>1</v>
      </c>
      <c r="H119" t="inlineStr">
        <is>
          <t>Tee Equal - DN150 Ø168,3x2,6 - EN10523-4</t>
        </is>
      </c>
      <c r="I119" t="inlineStr"/>
      <c r="J119" s="1" t="inlineStr"/>
      <c r="K119" s="1" t="inlineStr"/>
      <c r="L119" s="1" t="inlineStr"/>
      <c r="M119" t="inlineStr">
        <is>
          <t>Not available</t>
        </is>
      </c>
    </row>
    <row r="120" hidden="1" outlineLevel="1" collapsed="1" ht="68.25" customHeight="1">
      <c r="A120" s="1" t="inlineStr">
        <is>
          <t>14.4</t>
        </is>
      </c>
      <c r="B120" s="1" t="inlineStr">
        <is>
          <t>0000-342-029</t>
        </is>
      </c>
      <c r="D120" t="inlineStr">
        <is>
          <t>Inseparable</t>
        </is>
      </c>
      <c r="E120" t="n">
        <v>1</v>
      </c>
      <c r="F120" t="n">
        <v>2</v>
      </c>
      <c r="H120" t="inlineStr">
        <is>
          <t>DN150 Pipeholder</t>
        </is>
      </c>
      <c r="I120" t="inlineStr"/>
      <c r="J120" s="1" t="inlineStr"/>
      <c r="K120" s="1" t="inlineStr"/>
      <c r="L120" s="1" t="inlineStr"/>
      <c r="M120" t="inlineStr">
        <is>
          <t>Not available</t>
        </is>
      </c>
    </row>
    <row r="121" hidden="1" outlineLevel="2" ht="68.25" customHeight="1">
      <c r="A121" s="1" t="inlineStr">
        <is>
          <t>14.4.1</t>
        </is>
      </c>
      <c r="B121" s="1" t="inlineStr">
        <is>
          <t>0000-703-004</t>
        </is>
      </c>
      <c r="D121" t="inlineStr">
        <is>
          <t>Inseparable</t>
        </is>
      </c>
      <c r="E121" t="n">
        <v>1</v>
      </c>
      <c r="F121" t="n">
        <v>1</v>
      </c>
      <c r="H121" t="inlineStr">
        <is>
          <t>Sheet metal t=4mm</t>
        </is>
      </c>
      <c r="I121" t="inlineStr"/>
      <c r="J121" s="1" t="inlineStr"/>
      <c r="K121" s="1" t="inlineStr"/>
      <c r="L121" s="1" t="inlineStr"/>
      <c r="M121" t="inlineStr">
        <is>
          <t>Not available</t>
        </is>
      </c>
    </row>
    <row r="122" hidden="1" outlineLevel="2" ht="68.25" customHeight="1">
      <c r="A122" s="1" t="inlineStr">
        <is>
          <t>14.4.2</t>
        </is>
      </c>
      <c r="B122" s="1" t="inlineStr">
        <is>
          <t>0000-703-090</t>
        </is>
      </c>
      <c r="D122" t="inlineStr">
        <is>
          <t>Normal</t>
        </is>
      </c>
      <c r="E122" t="n">
        <v>1</v>
      </c>
      <c r="F122" t="n">
        <v>2</v>
      </c>
      <c r="H122" t="inlineStr">
        <is>
          <t>DIN 3567 - DN150 - Pipe Clamp Form A</t>
        </is>
      </c>
      <c r="I122" t="inlineStr"/>
      <c r="J122" s="1" t="inlineStr"/>
      <c r="K122" s="1" t="inlineStr"/>
      <c r="L122" s="1" t="inlineStr"/>
      <c r="M122" t="inlineStr">
        <is>
          <t>Not available</t>
        </is>
      </c>
    </row>
    <row r="123" hidden="1" outlineLevel="2" ht="68.25" customHeight="1">
      <c r="A123" s="1" t="inlineStr">
        <is>
          <t>14.4.5</t>
        </is>
      </c>
      <c r="B123" s="1" t="inlineStr">
        <is>
          <t>0000-750-001</t>
        </is>
      </c>
      <c r="D123" t="inlineStr">
        <is>
          <t>Normal</t>
        </is>
      </c>
      <c r="E123" t="n">
        <v>1</v>
      </c>
      <c r="F123" t="n">
        <v>2</v>
      </c>
      <c r="H123" t="inlineStr">
        <is>
          <t>Bolt - M16x50 - ISO4017</t>
        </is>
      </c>
      <c r="I123" t="inlineStr"/>
      <c r="J123" s="1" t="inlineStr"/>
      <c r="K123" s="1" t="inlineStr"/>
      <c r="L123" s="1" t="inlineStr"/>
      <c r="M123" t="inlineStr">
        <is>
          <t>Not available</t>
        </is>
      </c>
    </row>
    <row r="124" hidden="1" outlineLevel="2" ht="68.25" customHeight="1">
      <c r="A124" s="1" t="inlineStr">
        <is>
          <t>14.4.4</t>
        </is>
      </c>
      <c r="B124" s="1" t="inlineStr">
        <is>
          <t>0000-750-002</t>
        </is>
      </c>
      <c r="D124" t="inlineStr">
        <is>
          <t>Normal</t>
        </is>
      </c>
      <c r="E124" t="n">
        <v>1</v>
      </c>
      <c r="F124" t="n">
        <v>2</v>
      </c>
      <c r="H124" t="inlineStr">
        <is>
          <t>Nut - M16 - ISO 4032</t>
        </is>
      </c>
      <c r="I124" t="inlineStr"/>
      <c r="J124" s="1" t="inlineStr"/>
      <c r="K124" s="1" t="inlineStr"/>
      <c r="L124" s="1" t="inlineStr"/>
      <c r="M124" t="inlineStr">
        <is>
          <t>Not available</t>
        </is>
      </c>
    </row>
    <row r="125" hidden="1" outlineLevel="2" ht="68.25" customHeight="1">
      <c r="A125" s="1" t="inlineStr">
        <is>
          <t>14.4.3</t>
        </is>
      </c>
      <c r="B125" s="1" t="inlineStr">
        <is>
          <t>0000-750-003</t>
        </is>
      </c>
      <c r="D125" t="inlineStr">
        <is>
          <t>Purchased</t>
        </is>
      </c>
      <c r="E125" t="n">
        <v>1</v>
      </c>
      <c r="F125" t="n">
        <v>4</v>
      </c>
      <c r="H125" t="inlineStr">
        <is>
          <t>Washer - M16 - ISO7089</t>
        </is>
      </c>
      <c r="I125" t="inlineStr"/>
      <c r="J125" s="1" t="inlineStr"/>
      <c r="K125" s="1" t="inlineStr"/>
      <c r="L125" s="1" t="inlineStr"/>
      <c r="M125" t="inlineStr">
        <is>
          <t>Not available</t>
        </is>
      </c>
    </row>
    <row r="126" hidden="1" outlineLevel="1" collapsed="1" ht="68.25" customHeight="1">
      <c r="A126" s="1" t="inlineStr">
        <is>
          <t>14.7</t>
        </is>
      </c>
      <c r="B126" s="1" t="inlineStr">
        <is>
          <t>0000-701-051</t>
        </is>
      </c>
      <c r="D126" t="inlineStr">
        <is>
          <t>Normal</t>
        </is>
      </c>
      <c r="E126" t="n">
        <v>1</v>
      </c>
      <c r="F126" t="n">
        <v>1</v>
      </c>
      <c r="H126" t="inlineStr">
        <is>
          <t>Ball valve Manual with indicator - DN150 - Valtor - Pekos 02 TTT/PI</t>
        </is>
      </c>
      <c r="I126" t="inlineStr"/>
      <c r="J126" s="1" t="inlineStr"/>
      <c r="K126" s="1" t="inlineStr"/>
      <c r="L126" s="1" t="inlineStr"/>
      <c r="M126" t="inlineStr">
        <is>
          <t>Not available</t>
        </is>
      </c>
    </row>
    <row r="127" hidden="1" outlineLevel="1" ht="68.25" customHeight="1">
      <c r="A127" s="1" t="inlineStr">
        <is>
          <t>14.8</t>
        </is>
      </c>
      <c r="B127" s="1" t="inlineStr">
        <is>
          <t>0000-701-052</t>
        </is>
      </c>
      <c r="D127" t="inlineStr">
        <is>
          <t>Normal</t>
        </is>
      </c>
      <c r="E127" t="n">
        <v>1</v>
      </c>
      <c r="F127" t="n">
        <v>1</v>
      </c>
      <c r="H127" t="inlineStr">
        <is>
          <t>Ball valve - DN150 Automatic - Pekos 02 TTT/PI</t>
        </is>
      </c>
      <c r="I127" t="inlineStr"/>
      <c r="J127" s="1" t="inlineStr"/>
      <c r="K127" s="1" t="inlineStr"/>
      <c r="L127" s="1" t="inlineStr"/>
      <c r="M127" t="inlineStr">
        <is>
          <t>Not available</t>
        </is>
      </c>
    </row>
    <row r="128" hidden="1" outlineLevel="1" ht="68.25" customHeight="1">
      <c r="A128" s="1" t="inlineStr">
        <is>
          <t>14.1</t>
        </is>
      </c>
      <c r="B128" s="1" t="inlineStr">
        <is>
          <t>0000-703-001</t>
        </is>
      </c>
      <c r="D128" t="inlineStr">
        <is>
          <t>Normal</t>
        </is>
      </c>
      <c r="E128" t="n">
        <v>1</v>
      </c>
      <c r="F128" t="n">
        <v>1</v>
      </c>
      <c r="H128" t="inlineStr">
        <is>
          <t>Pipe - DN-Ø168,3x2,6 L=3948 mm - EN10217-7</t>
        </is>
      </c>
      <c r="I128" t="inlineStr"/>
      <c r="J128" s="1" t="inlineStr">
        <is>
          <t>168,3</t>
        </is>
      </c>
      <c r="K128" s="1" t="inlineStr">
        <is>
          <t>2,6</t>
        </is>
      </c>
      <c r="L128" s="1" t="inlineStr">
        <is>
          <t>3948 mm</t>
        </is>
      </c>
      <c r="M128" t="inlineStr">
        <is>
          <t>Not available</t>
        </is>
      </c>
    </row>
    <row r="129" hidden="1" outlineLevel="1" ht="68.25" customHeight="1">
      <c r="A129" s="1" t="inlineStr">
        <is>
          <t>14.2</t>
        </is>
      </c>
      <c r="B129" s="1" t="inlineStr">
        <is>
          <t>0000-703-010</t>
        </is>
      </c>
      <c r="D129" t="inlineStr">
        <is>
          <t>Normal</t>
        </is>
      </c>
      <c r="E129" t="n">
        <v>1</v>
      </c>
      <c r="F129" t="n">
        <v>2</v>
      </c>
      <c r="H129" t="inlineStr">
        <is>
          <t>Collar - DN150 PN10 - EN 1092-1 Typ 37</t>
        </is>
      </c>
      <c r="I129" t="inlineStr"/>
      <c r="J129" s="1" t="inlineStr"/>
      <c r="K129" s="1" t="inlineStr"/>
      <c r="L129" s="1" t="inlineStr"/>
      <c r="M129" t="inlineStr">
        <is>
          <t>Not available</t>
        </is>
      </c>
    </row>
    <row r="130" hidden="1" outlineLevel="1" ht="68.25" customHeight="1">
      <c r="A130" s="1" t="inlineStr">
        <is>
          <t>14.3</t>
        </is>
      </c>
      <c r="B130" s="1" t="inlineStr">
        <is>
          <t>0000-703-020</t>
        </is>
      </c>
      <c r="D130" t="inlineStr">
        <is>
          <t>Normal</t>
        </is>
      </c>
      <c r="E130" t="n">
        <v>1</v>
      </c>
      <c r="F130" t="n">
        <v>2</v>
      </c>
      <c r="H130" t="inlineStr">
        <is>
          <t>Pressed Flange - DN150 PN10 - EN 1092-1 Typ 02</t>
        </is>
      </c>
      <c r="I130" t="inlineStr"/>
      <c r="J130" s="1" t="inlineStr"/>
      <c r="K130" s="1" t="inlineStr"/>
      <c r="L130" s="1" t="inlineStr"/>
      <c r="M130" t="inlineStr">
        <is>
          <t>Not available</t>
        </is>
      </c>
    </row>
    <row r="131" hidden="1" outlineLevel="1" ht="68.25" customHeight="1">
      <c r="A131" s="1" t="inlineStr">
        <is>
          <t>14.5</t>
        </is>
      </c>
      <c r="B131" s="1" t="inlineStr">
        <is>
          <t>0000-703-022</t>
        </is>
      </c>
      <c r="D131" t="inlineStr">
        <is>
          <t>Purchased</t>
        </is>
      </c>
      <c r="E131" t="n">
        <v>1</v>
      </c>
      <c r="F131" t="n">
        <v>1</v>
      </c>
      <c r="H131" t="inlineStr">
        <is>
          <t>Flange - DN150_PN10 - DIN 2527</t>
        </is>
      </c>
      <c r="I131" t="inlineStr"/>
      <c r="J131" s="1" t="inlineStr"/>
      <c r="K131" s="1" t="inlineStr"/>
      <c r="L131" s="1" t="inlineStr"/>
      <c r="M131" t="inlineStr">
        <is>
          <t>Not available</t>
        </is>
      </c>
    </row>
    <row r="132" hidden="1" outlineLevel="1" ht="68.25" customHeight="1">
      <c r="A132" s="1" t="inlineStr">
        <is>
          <t>14.11</t>
        </is>
      </c>
      <c r="B132" s="1" t="inlineStr">
        <is>
          <t>0000-703-030</t>
        </is>
      </c>
      <c r="D132" t="inlineStr">
        <is>
          <t>Normal</t>
        </is>
      </c>
      <c r="E132" t="n">
        <v>1</v>
      </c>
      <c r="F132" t="n">
        <v>4</v>
      </c>
      <c r="H132" t="inlineStr">
        <is>
          <t>Elbow 45° DN150-Ø168,3x2,6 - Type 2 R=229 - DIN2605</t>
        </is>
      </c>
      <c r="I132" t="inlineStr"/>
      <c r="J132" s="1" t="inlineStr"/>
      <c r="K132" s="1" t="inlineStr"/>
      <c r="L132" s="1" t="inlineStr"/>
      <c r="M132" t="inlineStr">
        <is>
          <t>Not available</t>
        </is>
      </c>
    </row>
    <row r="133" hidden="1" outlineLevel="1" ht="68.25" customHeight="1">
      <c r="A133" s="1" t="inlineStr">
        <is>
          <t>14.9</t>
        </is>
      </c>
      <c r="B133" s="1" t="inlineStr">
        <is>
          <t>0000-703-060</t>
        </is>
      </c>
      <c r="D133" t="inlineStr">
        <is>
          <t>Normal</t>
        </is>
      </c>
      <c r="E133" t="n">
        <v>1</v>
      </c>
      <c r="F133" t="n">
        <v>1</v>
      </c>
      <c r="H133" t="inlineStr">
        <is>
          <t>Welding Nipple - G2_DN50xL100 - EN10241 - 1.4571</t>
        </is>
      </c>
      <c r="I133" t="inlineStr"/>
      <c r="J133" s="1" t="inlineStr"/>
      <c r="K133" s="1" t="inlineStr"/>
      <c r="L133" s="1" t="inlineStr"/>
      <c r="M133" t="inlineStr">
        <is>
          <t>Not available</t>
        </is>
      </c>
    </row>
    <row r="134" hidden="1" outlineLevel="1" ht="68.25" customHeight="1">
      <c r="A134" s="1" t="inlineStr">
        <is>
          <t>14.10</t>
        </is>
      </c>
      <c r="B134" s="1" t="inlineStr">
        <is>
          <t>0000-703-062</t>
        </is>
      </c>
      <c r="D134" t="inlineStr">
        <is>
          <t>Normal</t>
        </is>
      </c>
      <c r="E134" t="n">
        <v>1</v>
      </c>
      <c r="F134" t="n">
        <v>1</v>
      </c>
      <c r="H134" t="inlineStr">
        <is>
          <t>Hexagon Cap - 2``</t>
        </is>
      </c>
      <c r="I134" t="inlineStr"/>
      <c r="J134" s="1" t="inlineStr">
        <is>
          <t>1.0</t>
        </is>
      </c>
      <c r="K134" s="1" t="inlineStr">
        <is>
          <t>1.0</t>
        </is>
      </c>
      <c r="L134" s="1" t="inlineStr">
        <is>
          <t>1</t>
        </is>
      </c>
      <c r="M134" t="inlineStr">
        <is>
          <t>Not available</t>
        </is>
      </c>
    </row>
    <row r="135" collapsed="1"/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Jesper</dc:creator>
  <dcterms:created xsi:type="dcterms:W3CDTF">2020-02-28T10:38:21Z</dcterms:created>
  <dcterms:modified xsi:type="dcterms:W3CDTF">2020-02-28T10:41:51Z</dcterms:modified>
  <cp:lastModifiedBy>Jesper</cp:lastModifiedBy>
</cp:coreProperties>
</file>