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910" yWindow="2730" windowWidth="30900" windowHeight="18150" tabRatio="600" firstSheet="0" activeTab="0" autoFilterDateGrouping="1"/>
  </bookViews>
  <sheets>
    <sheet name="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1" fillId="0" borderId="1"/>
    <xf numFmtId="0" fontId="2" fillId="0" borderId="1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tabSelected="1" workbookViewId="0">
      <selection activeCell="A1" sqref="A1"/>
    </sheetView>
  </sheetViews>
  <sheetFormatPr baseColWidth="8" defaultRowHeight="15"/>
  <cols>
    <col width="13.28515625" customWidth="1" min="5" max="5"/>
  </cols>
  <sheetData>
    <row r="1">
      <c r="A1" s="1" t="inlineStr">
        <is>
          <t>Item</t>
        </is>
      </c>
      <c r="B1" s="1" t="inlineStr">
        <is>
          <t>Part Number</t>
        </is>
      </c>
      <c r="C1" s="1" t="inlineStr">
        <is>
          <t>REV</t>
        </is>
      </c>
      <c r="D1" s="1" t="inlineStr">
        <is>
          <t>Stock Number</t>
        </is>
      </c>
      <c r="E1" s="1" t="inlineStr">
        <is>
          <t>Thumbnail</t>
        </is>
      </c>
      <c r="F1" s="1" t="inlineStr">
        <is>
          <t>BOM Structure</t>
        </is>
      </c>
      <c r="G1" s="1" t="inlineStr">
        <is>
          <t>Description</t>
        </is>
      </c>
      <c r="H1" s="1" t="inlineStr">
        <is>
          <t>Material</t>
        </is>
      </c>
      <c r="I1" s="1" t="inlineStr">
        <is>
          <t>Title</t>
        </is>
      </c>
      <c r="J1" s="1" t="inlineStr">
        <is>
          <t>QTY</t>
        </is>
      </c>
      <c r="K1" t="inlineStr">
        <is>
          <t>Total QTY</t>
        </is>
      </c>
      <c r="L1" s="1" t="inlineStr">
        <is>
          <t>D</t>
        </is>
      </c>
      <c r="M1" s="1" t="inlineStr">
        <is>
          <t>t</t>
        </is>
      </c>
      <c r="N1" s="1" t="inlineStr">
        <is>
          <t>L</t>
        </is>
      </c>
      <c r="O1" s="1" t="inlineStr">
        <is>
          <t>Keywords</t>
        </is>
      </c>
      <c r="P1" t="inlineStr">
        <is>
          <t>Drawing</t>
        </is>
      </c>
    </row>
    <row r="2">
      <c r="A2" s="1" t="n">
        <v>0</v>
      </c>
      <c r="B2" s="1" t="inlineStr">
        <is>
          <t>4003-02.1-A01</t>
        </is>
      </c>
      <c r="C2" s="1" t="inlineStr">
        <is>
          <t>-</t>
        </is>
      </c>
      <c r="D2" s="1" t="n"/>
      <c r="E2" s="1" t="n"/>
      <c r="F2" s="1" t="n"/>
      <c r="G2" s="1" t="inlineStr">
        <is>
          <t>Top Assembly</t>
        </is>
      </c>
      <c r="H2" s="1" t="n"/>
      <c r="I2" s="1" t="n"/>
      <c r="J2" s="1" t="n">
        <v>1</v>
      </c>
      <c r="K2" t="n">
        <v>1</v>
      </c>
      <c r="L2" s="1" t="n"/>
      <c r="M2" s="1" t="n"/>
      <c r="N2" s="1" t="n"/>
      <c r="O2" s="1" t="n"/>
      <c r="P2" s="2">
        <f>HYPERLINK("4003-02.1-A01-- - Mixing Tanks 1 &amp; 3.pdf","PDF")</f>
        <v/>
      </c>
    </row>
    <row r="3" ht="68.25" customHeight="1">
      <c r="A3" s="1" t="inlineStr">
        <is>
          <t>1</t>
        </is>
      </c>
      <c r="B3" s="1" t="inlineStr">
        <is>
          <t>4003-02.1-E01</t>
        </is>
      </c>
      <c r="C3" s="1" t="inlineStr">
        <is>
          <t>A</t>
        </is>
      </c>
      <c r="F3" s="1" t="inlineStr">
        <is>
          <t>Normal</t>
        </is>
      </c>
      <c r="G3" s="1" t="inlineStr">
        <is>
          <t>Equipment Layout</t>
        </is>
      </c>
      <c r="I3" s="1" t="inlineStr">
        <is>
          <t>Area 02 - Mixing Tank Area</t>
        </is>
      </c>
      <c r="J3" s="1" t="n">
        <v>1</v>
      </c>
      <c r="K3" t="n">
        <v>1</v>
      </c>
      <c r="O3" s="1" t="inlineStr">
        <is>
          <t>Project</t>
        </is>
      </c>
      <c r="P3" s="2">
        <f>HYPERLINK("4003-02.1-E01-A - Equipment Layout.pdf","PDF")</f>
        <v/>
      </c>
    </row>
    <row r="4" ht="68.25" customHeight="1">
      <c r="A4" s="1" t="inlineStr">
        <is>
          <t>1.1</t>
        </is>
      </c>
      <c r="B4" s="1" t="inlineStr">
        <is>
          <t>4003-613-A01</t>
        </is>
      </c>
      <c r="C4" s="1" t="inlineStr">
        <is>
          <t>-</t>
        </is>
      </c>
      <c r="F4" s="1" t="inlineStr">
        <is>
          <t>Inseparable</t>
        </is>
      </c>
      <c r="G4" s="1" t="inlineStr">
        <is>
          <t>Mixing Tank 1</t>
        </is>
      </c>
      <c r="I4" s="1" t="inlineStr">
        <is>
          <t xml:space="preserve">Mixing Area 02 </t>
        </is>
      </c>
      <c r="J4" s="1" t="n">
        <v>1</v>
      </c>
      <c r="K4" t="n">
        <v>1</v>
      </c>
      <c r="O4" s="1" t="inlineStr">
        <is>
          <t>Equipment</t>
        </is>
      </c>
      <c r="P4" s="2">
        <f>HYPERLINK("4003-613-A01-- - Mixing Tank 1.pdf","PDF")</f>
        <v/>
      </c>
    </row>
    <row r="5" ht="68.25" customHeight="1">
      <c r="A5" s="1" t="inlineStr">
        <is>
          <t>1.1.1.1</t>
        </is>
      </c>
      <c r="B5" s="1" t="inlineStr">
        <is>
          <t>0000-301-401</t>
        </is>
      </c>
      <c r="C5" s="1" t="inlineStr">
        <is>
          <t>A</t>
        </is>
      </c>
      <c r="F5" s="1" t="inlineStr">
        <is>
          <t>Normal</t>
        </is>
      </c>
      <c r="G5" s="1" t="inlineStr">
        <is>
          <t>Ralling Support</t>
        </is>
      </c>
      <c r="H5" s="1" t="inlineStr">
        <is>
          <t>Steel, Galvanized</t>
        </is>
      </c>
      <c r="I5" s="1" t="inlineStr">
        <is>
          <t>Area 02</t>
        </is>
      </c>
      <c r="J5" s="1" t="n">
        <v>34</v>
      </c>
      <c r="K5" t="n">
        <v>34</v>
      </c>
      <c r="O5" s="1" t="inlineStr">
        <is>
          <t>Internal Manufacturing</t>
        </is>
      </c>
      <c r="P5" s="2">
        <f>HYPERLINK("0000-301-401-A - Ralling Support.pdf","PDF")</f>
        <v/>
      </c>
    </row>
    <row r="6" ht="68.25" customHeight="1">
      <c r="A6" s="1" t="inlineStr">
        <is>
          <t>1.1.1.2</t>
        </is>
      </c>
      <c r="B6" s="1" t="inlineStr">
        <is>
          <t>4003-02-PS02</t>
        </is>
      </c>
      <c r="C6" s="1" t="inlineStr"/>
      <c r="F6" s="1" t="inlineStr">
        <is>
          <t>Normal</t>
        </is>
      </c>
      <c r="G6" s="1" t="inlineStr">
        <is>
          <t>Pipe Galvanized - DN40-Ø48,3x3,25 L=6000 - EN10255</t>
        </is>
      </c>
      <c r="H6" s="1" t="inlineStr">
        <is>
          <t>CS 1.0026 - S195T</t>
        </is>
      </c>
      <c r="I6" s="1" t="inlineStr">
        <is>
          <t>Area 02</t>
        </is>
      </c>
      <c r="J6" s="1" t="n">
        <v>9</v>
      </c>
      <c r="K6" t="n">
        <v>9</v>
      </c>
      <c r="L6" s="1" t="inlineStr">
        <is>
          <t>48,3</t>
        </is>
      </c>
      <c r="M6" s="1" t="inlineStr">
        <is>
          <t>3,25</t>
        </is>
      </c>
      <c r="N6" s="1" t="inlineStr">
        <is>
          <t>6000</t>
        </is>
      </c>
      <c r="O6" s="1" t="inlineStr">
        <is>
          <t>Internal Manufacturing</t>
        </is>
      </c>
      <c r="P6" t="inlineStr">
        <is>
          <t>Not available</t>
        </is>
      </c>
    </row>
    <row r="7" ht="68.25" customHeight="1">
      <c r="A7" s="1" t="inlineStr">
        <is>
          <t>1.1.1.3</t>
        </is>
      </c>
      <c r="B7" s="1" t="inlineStr">
        <is>
          <t>4003-02-PS03</t>
        </is>
      </c>
      <c r="C7" s="1" t="inlineStr"/>
      <c r="F7" s="1" t="inlineStr">
        <is>
          <t>Normal</t>
        </is>
      </c>
      <c r="G7" s="1" t="inlineStr">
        <is>
          <t>Pipe Galvanized - DN20-Ø26,9x2,65 L=6000 - EN10255</t>
        </is>
      </c>
      <c r="H7" s="1" t="inlineStr">
        <is>
          <t>CS 1.0026 - S195T</t>
        </is>
      </c>
      <c r="I7" s="1" t="inlineStr">
        <is>
          <t>Area 02</t>
        </is>
      </c>
      <c r="J7" s="1" t="n">
        <v>18</v>
      </c>
      <c r="K7" t="n">
        <v>18</v>
      </c>
      <c r="L7" s="1" t="inlineStr">
        <is>
          <t>26,9</t>
        </is>
      </c>
      <c r="M7" s="1" t="inlineStr">
        <is>
          <t>2,65</t>
        </is>
      </c>
      <c r="N7" s="1" t="inlineStr">
        <is>
          <t>6000</t>
        </is>
      </c>
      <c r="O7" s="1" t="inlineStr">
        <is>
          <t>Internal Manufacturing</t>
        </is>
      </c>
      <c r="P7" t="inlineStr">
        <is>
          <t>Not available</t>
        </is>
      </c>
    </row>
    <row r="8" ht="68.25" customHeight="1">
      <c r="A8" s="1" t="inlineStr">
        <is>
          <t>1.1.1.4</t>
        </is>
      </c>
      <c r="B8" s="1" t="inlineStr">
        <is>
          <t>4003-02-PS04</t>
        </is>
      </c>
      <c r="C8" s="1" t="inlineStr"/>
      <c r="F8" s="1" t="inlineStr">
        <is>
          <t>Normal</t>
        </is>
      </c>
      <c r="G8" s="1" t="inlineStr">
        <is>
          <t>Flat Bar Galvanized - 100x5 L=4000 - EN10058</t>
        </is>
      </c>
      <c r="H8" s="1" t="inlineStr">
        <is>
          <t>CS 1.0038 - S235JR</t>
        </is>
      </c>
      <c r="I8" s="1" t="inlineStr">
        <is>
          <t>Area 02</t>
        </is>
      </c>
      <c r="J8" s="1" t="n">
        <v>13</v>
      </c>
      <c r="K8" t="n">
        <v>13</v>
      </c>
      <c r="M8" s="1" t="inlineStr">
        <is>
          <t>5</t>
        </is>
      </c>
      <c r="N8" s="1" t="inlineStr">
        <is>
          <t>4000</t>
        </is>
      </c>
      <c r="O8" s="1" t="inlineStr">
        <is>
          <t>Internal Manufacturing</t>
        </is>
      </c>
      <c r="P8" t="inlineStr">
        <is>
          <t>Not available</t>
        </is>
      </c>
    </row>
    <row r="9" ht="68.25" customHeight="1">
      <c r="A9" s="1" t="inlineStr">
        <is>
          <t>1.1.1.5</t>
        </is>
      </c>
      <c r="B9" s="1" t="inlineStr">
        <is>
          <t>0000-750-021</t>
        </is>
      </c>
      <c r="C9" s="1" t="inlineStr"/>
      <c r="F9" s="1" t="inlineStr">
        <is>
          <t>Purchased</t>
        </is>
      </c>
      <c r="G9" s="1" t="inlineStr">
        <is>
          <t>Straight joiner - Ø41xL124</t>
        </is>
      </c>
      <c r="H9" s="1" t="inlineStr">
        <is>
          <t>Steel, Galvanized</t>
        </is>
      </c>
      <c r="J9" s="1" t="n">
        <v>8</v>
      </c>
      <c r="K9" t="n">
        <v>8</v>
      </c>
      <c r="L9" s="1" t="inlineStr">
        <is>
          <t>1,0</t>
        </is>
      </c>
      <c r="M9" s="1" t="inlineStr">
        <is>
          <t>1,0</t>
        </is>
      </c>
      <c r="N9" s="1" t="inlineStr">
        <is>
          <t>1</t>
        </is>
      </c>
      <c r="O9" s="1" t="inlineStr">
        <is>
          <t>Mechanical Components</t>
        </is>
      </c>
      <c r="P9" t="inlineStr">
        <is>
          <t>Not available</t>
        </is>
      </c>
    </row>
    <row r="10" ht="68.25" customHeight="1">
      <c r="A10" s="1" t="inlineStr">
        <is>
          <t>1.1.1.6</t>
        </is>
      </c>
      <c r="B10" s="1" t="inlineStr">
        <is>
          <t>0000-750-021</t>
        </is>
      </c>
      <c r="C10" s="1" t="inlineStr"/>
      <c r="F10" s="1" t="inlineStr">
        <is>
          <t>Purchased</t>
        </is>
      </c>
      <c r="G10" s="1" t="inlineStr">
        <is>
          <t>Straight joiner - Ø21xL70</t>
        </is>
      </c>
      <c r="H10" s="1" t="inlineStr">
        <is>
          <t>Steel, Galvanized</t>
        </is>
      </c>
      <c r="J10" s="1" t="n">
        <v>16</v>
      </c>
      <c r="K10" t="n">
        <v>16</v>
      </c>
      <c r="O10" s="1" t="inlineStr">
        <is>
          <t>Mechanical Components</t>
        </is>
      </c>
      <c r="P10" t="inlineStr">
        <is>
          <t>Not available</t>
        </is>
      </c>
    </row>
    <row r="11" ht="68.25" customHeight="1">
      <c r="A11" s="1" t="inlineStr">
        <is>
          <t>1.1.10.1</t>
        </is>
      </c>
      <c r="B11" s="1" t="inlineStr">
        <is>
          <t>0000-703-001</t>
        </is>
      </c>
      <c r="C11" s="1" t="inlineStr"/>
      <c r="D11" s="1" t="inlineStr">
        <is>
          <t>RO-168-026</t>
        </is>
      </c>
      <c r="F11" s="1" t="inlineStr">
        <is>
          <t>Normal</t>
        </is>
      </c>
      <c r="G11" s="1" t="inlineStr">
        <is>
          <t>Pipe - DN150-Ø168,3x2,6 L=450 - EN10217-7</t>
        </is>
      </c>
      <c r="H11" s="1" t="inlineStr">
        <is>
          <t>SS 1.4301 - AISI 304</t>
        </is>
      </c>
      <c r="J11" s="1" t="n">
        <v>1</v>
      </c>
      <c r="K11" t="n">
        <v>1</v>
      </c>
      <c r="L11" s="1" t="inlineStr">
        <is>
          <t>168,3</t>
        </is>
      </c>
      <c r="M11" s="1" t="inlineStr">
        <is>
          <t>2,6</t>
        </is>
      </c>
      <c r="N11" s="1" t="inlineStr">
        <is>
          <t>450</t>
        </is>
      </c>
      <c r="O11" s="1" t="inlineStr">
        <is>
          <t>Project Piping</t>
        </is>
      </c>
      <c r="P11" t="inlineStr">
        <is>
          <t>Not available</t>
        </is>
      </c>
    </row>
    <row r="12" ht="68.25" customHeight="1">
      <c r="A12" s="1" t="inlineStr">
        <is>
          <t>1.1.10.2</t>
        </is>
      </c>
      <c r="B12" s="1" t="inlineStr">
        <is>
          <t>0000-703-020</t>
        </is>
      </c>
      <c r="C12" t="inlineStr"/>
      <c r="F12" s="1" t="inlineStr">
        <is>
          <t>Purchased</t>
        </is>
      </c>
      <c r="G12" s="1" t="inlineStr">
        <is>
          <t>Pressed Flange - DN150-PN10/16 - EN 1092-1 Typ 02</t>
        </is>
      </c>
      <c r="H12" s="1" t="inlineStr">
        <is>
          <t>SS 1.4301 - AISI 304</t>
        </is>
      </c>
      <c r="J12" s="1" t="n">
        <v>2</v>
      </c>
      <c r="K12" t="n">
        <v>2</v>
      </c>
      <c r="O12" s="1" t="inlineStr">
        <is>
          <t>Standard Fittings</t>
        </is>
      </c>
      <c r="P12" t="inlineStr">
        <is>
          <t>Not available</t>
        </is>
      </c>
    </row>
    <row r="13" ht="68.25" customHeight="1">
      <c r="A13" s="1" t="inlineStr">
        <is>
          <t>1.1.10.3</t>
        </is>
      </c>
      <c r="B13" s="1" t="inlineStr">
        <is>
          <t>0000-703-010</t>
        </is>
      </c>
      <c r="C13" t="inlineStr"/>
      <c r="D13" s="1" t="inlineStr">
        <is>
          <t>BÖ-168-026</t>
        </is>
      </c>
      <c r="F13" s="1" t="inlineStr">
        <is>
          <t>Purchased</t>
        </is>
      </c>
      <c r="G13" s="1" t="inlineStr">
        <is>
          <t>Collar - DN150/PN10-EN1092-1 Typ37</t>
        </is>
      </c>
      <c r="H13" s="1" t="inlineStr">
        <is>
          <t>SS 1.4301 - AISI 304</t>
        </is>
      </c>
      <c r="J13" s="1" t="n">
        <v>2</v>
      </c>
      <c r="K13" t="n">
        <v>2</v>
      </c>
      <c r="O13" s="1" t="inlineStr">
        <is>
          <t>Standard Fittings</t>
        </is>
      </c>
      <c r="P13" t="inlineStr">
        <is>
          <t>Not available</t>
        </is>
      </c>
    </row>
    <row r="14" ht="68.25" customHeight="1">
      <c r="A14" s="1" t="inlineStr">
        <is>
          <t>1.1.11.1</t>
        </is>
      </c>
      <c r="B14" s="1" t="inlineStr">
        <is>
          <t>0000-703-001</t>
        </is>
      </c>
      <c r="C14" s="1" t="inlineStr"/>
      <c r="D14" s="1" t="inlineStr">
        <is>
          <t>RO-139-026</t>
        </is>
      </c>
      <c r="F14" s="1" t="inlineStr">
        <is>
          <t>Normal</t>
        </is>
      </c>
      <c r="G14" s="1" t="inlineStr">
        <is>
          <t>Pipe - DN125-Ø139,7x2,6 L=446 - EN10217-7</t>
        </is>
      </c>
      <c r="H14" s="1" t="inlineStr">
        <is>
          <t>SS 1.4301 - AISI 304</t>
        </is>
      </c>
      <c r="J14" s="1" t="n">
        <v>1</v>
      </c>
      <c r="K14" t="n">
        <v>1</v>
      </c>
      <c r="L14" s="1" t="inlineStr">
        <is>
          <t>139,7</t>
        </is>
      </c>
      <c r="M14" s="1" t="inlineStr">
        <is>
          <t>2,6</t>
        </is>
      </c>
      <c r="N14" s="1" t="inlineStr">
        <is>
          <t>446</t>
        </is>
      </c>
      <c r="O14" s="1" t="inlineStr">
        <is>
          <t>Project Piping</t>
        </is>
      </c>
      <c r="P14" t="inlineStr">
        <is>
          <t>Not available</t>
        </is>
      </c>
    </row>
    <row r="15" ht="68.25" customHeight="1">
      <c r="A15" s="1" t="inlineStr">
        <is>
          <t>1.1.11.2</t>
        </is>
      </c>
      <c r="B15" s="1" t="inlineStr">
        <is>
          <t>0000-703-020</t>
        </is>
      </c>
      <c r="C15" t="inlineStr"/>
      <c r="F15" s="1" t="inlineStr">
        <is>
          <t>Purchased</t>
        </is>
      </c>
      <c r="G15" s="1" t="inlineStr">
        <is>
          <t>Pressed Flange - DN125-PN10/16 - EN 1092-1 Typ 02</t>
        </is>
      </c>
      <c r="H15" s="1" t="inlineStr">
        <is>
          <t>SS 1.4301 - AISI 304</t>
        </is>
      </c>
      <c r="J15" s="1" t="n">
        <v>2</v>
      </c>
      <c r="K15" t="n">
        <v>2</v>
      </c>
      <c r="O15" s="1" t="inlineStr">
        <is>
          <t>Standard Fittings</t>
        </is>
      </c>
      <c r="P15" t="inlineStr">
        <is>
          <t>Not available</t>
        </is>
      </c>
    </row>
    <row r="16" ht="68.25" customHeight="1">
      <c r="A16" s="1" t="inlineStr">
        <is>
          <t>1.1.11.3</t>
        </is>
      </c>
      <c r="B16" s="1" t="inlineStr">
        <is>
          <t>0000-703-010</t>
        </is>
      </c>
      <c r="C16" t="inlineStr"/>
      <c r="D16" s="1" t="inlineStr">
        <is>
          <t>BÖ-139-026</t>
        </is>
      </c>
      <c r="F16" s="1" t="inlineStr">
        <is>
          <t>Purchased</t>
        </is>
      </c>
      <c r="G16" s="1" t="inlineStr">
        <is>
          <t>Collar - DN125/PN10-EN1092-1 Typ37</t>
        </is>
      </c>
      <c r="H16" s="1" t="inlineStr">
        <is>
          <t>SS 1.4301 - AISI 304</t>
        </is>
      </c>
      <c r="J16" s="1" t="n">
        <v>2</v>
      </c>
      <c r="K16" t="n">
        <v>2</v>
      </c>
      <c r="O16" s="1" t="inlineStr">
        <is>
          <t>Standard Fittings</t>
        </is>
      </c>
      <c r="P16" t="inlineStr">
        <is>
          <t>Not available</t>
        </is>
      </c>
    </row>
    <row r="17" ht="68.25" customHeight="1">
      <c r="A17" s="1" t="inlineStr">
        <is>
          <t>1.1.12.1</t>
        </is>
      </c>
      <c r="B17" s="1" t="inlineStr">
        <is>
          <t>0000-703-001</t>
        </is>
      </c>
      <c r="C17" s="1" t="inlineStr"/>
      <c r="D17" s="1" t="inlineStr">
        <is>
          <t>RO-139-026</t>
        </is>
      </c>
      <c r="F17" s="1" t="inlineStr">
        <is>
          <t>Normal</t>
        </is>
      </c>
      <c r="G17" s="1" t="inlineStr">
        <is>
          <t>Pipe - DN125-Ø139,7x2,6 L=551 - EN10217-7</t>
        </is>
      </c>
      <c r="H17" s="1" t="inlineStr">
        <is>
          <t>SS 1.4301 - AISI 304</t>
        </is>
      </c>
      <c r="J17" s="1" t="n">
        <v>1</v>
      </c>
      <c r="K17" t="n">
        <v>1</v>
      </c>
      <c r="L17" s="1" t="inlineStr">
        <is>
          <t>139,7</t>
        </is>
      </c>
      <c r="M17" s="1" t="inlineStr">
        <is>
          <t>2,6</t>
        </is>
      </c>
      <c r="N17" s="1" t="inlineStr">
        <is>
          <t>551</t>
        </is>
      </c>
      <c r="O17" s="1" t="inlineStr">
        <is>
          <t>Project Piping</t>
        </is>
      </c>
      <c r="P17" t="inlineStr">
        <is>
          <t>Not available</t>
        </is>
      </c>
    </row>
    <row r="18" ht="68.25" customHeight="1">
      <c r="A18" s="1" t="inlineStr">
        <is>
          <t>1.1.12.2</t>
        </is>
      </c>
      <c r="B18" s="1" t="inlineStr">
        <is>
          <t>0000-703-020</t>
        </is>
      </c>
      <c r="C18" t="inlineStr"/>
      <c r="F18" s="1" t="inlineStr">
        <is>
          <t>Purchased</t>
        </is>
      </c>
      <c r="G18" s="1" t="inlineStr">
        <is>
          <t>Pressed Flange - DN125-PN10/16 - EN 1092-1 Typ 02</t>
        </is>
      </c>
      <c r="H18" s="1" t="inlineStr">
        <is>
          <t>SS 1.4301 - AISI 304</t>
        </is>
      </c>
      <c r="J18" s="1" t="n">
        <v>1</v>
      </c>
      <c r="K18" t="n">
        <v>1</v>
      </c>
      <c r="O18" s="1" t="inlineStr">
        <is>
          <t>Standard Fittings</t>
        </is>
      </c>
      <c r="P18" t="inlineStr">
        <is>
          <t>Not available</t>
        </is>
      </c>
    </row>
    <row r="19" ht="68.25" customHeight="1">
      <c r="A19" s="1" t="inlineStr">
        <is>
          <t>1.1.12.3</t>
        </is>
      </c>
      <c r="B19" s="1" t="inlineStr">
        <is>
          <t>0000-703-010</t>
        </is>
      </c>
      <c r="C19" t="inlineStr"/>
      <c r="D19" s="1" t="inlineStr">
        <is>
          <t>BÖ-139-026</t>
        </is>
      </c>
      <c r="F19" s="1" t="inlineStr">
        <is>
          <t>Purchased</t>
        </is>
      </c>
      <c r="G19" s="1" t="inlineStr">
        <is>
          <t>Collar - DN125/PN10-EN1092-1 Typ37</t>
        </is>
      </c>
      <c r="H19" s="1" t="inlineStr">
        <is>
          <t>SS 1.4301 - AISI 304</t>
        </is>
      </c>
      <c r="J19" s="1" t="n">
        <v>1</v>
      </c>
      <c r="K19" t="n">
        <v>1</v>
      </c>
      <c r="O19" s="1" t="inlineStr">
        <is>
          <t>Standard Fittings</t>
        </is>
      </c>
      <c r="P19" t="inlineStr">
        <is>
          <t>Not available</t>
        </is>
      </c>
    </row>
    <row r="20" ht="68.25" customHeight="1">
      <c r="A20" s="1" t="inlineStr">
        <is>
          <t>1.1.12.4</t>
        </is>
      </c>
      <c r="B20" s="1" t="inlineStr">
        <is>
          <t>0000-703-030</t>
        </is>
      </c>
      <c r="C20" t="inlineStr"/>
      <c r="D20" s="1" t="inlineStr">
        <is>
          <t>45-139-026</t>
        </is>
      </c>
      <c r="F20" s="1" t="inlineStr">
        <is>
          <t>Purchased</t>
        </is>
      </c>
      <c r="G20" s="1" t="inlineStr">
        <is>
          <t>Elbow 45° - DN125 Ø139,7x2,6 - Type3-R190,5 - DIN2605</t>
        </is>
      </c>
      <c r="H20" s="1" t="inlineStr">
        <is>
          <t>SS 1.4301 - AISI 304</t>
        </is>
      </c>
      <c r="J20" s="1" t="n">
        <v>1</v>
      </c>
      <c r="K20" t="n">
        <v>1</v>
      </c>
      <c r="O20" s="1" t="inlineStr">
        <is>
          <t>Standard Fittings</t>
        </is>
      </c>
      <c r="P20" t="inlineStr">
        <is>
          <t>Not available</t>
        </is>
      </c>
    </row>
    <row r="21" ht="68.25" customHeight="1">
      <c r="A21" s="1" t="inlineStr">
        <is>
          <t>1.1.13.1</t>
        </is>
      </c>
      <c r="B21" s="1" t="inlineStr">
        <is>
          <t>0000-703-001</t>
        </is>
      </c>
      <c r="C21" s="1" t="inlineStr"/>
      <c r="F21" s="1" t="inlineStr">
        <is>
          <t>Normal</t>
        </is>
      </c>
      <c r="G21" s="1" t="inlineStr">
        <is>
          <t>Pipe - DN150-Ø168,3x2,6 L=4779 - EN10217-7</t>
        </is>
      </c>
      <c r="H21" s="1" t="inlineStr">
        <is>
          <t>SS 1.4301 - AISI 304</t>
        </is>
      </c>
      <c r="J21" s="1" t="n">
        <v>1</v>
      </c>
      <c r="K21" t="n">
        <v>1</v>
      </c>
      <c r="L21" s="1" t="inlineStr">
        <is>
          <t>168,3</t>
        </is>
      </c>
      <c r="M21" s="1" t="inlineStr">
        <is>
          <t>2,6</t>
        </is>
      </c>
      <c r="N21" s="1" t="inlineStr">
        <is>
          <t>4779</t>
        </is>
      </c>
      <c r="P21" t="inlineStr">
        <is>
          <t>Not available</t>
        </is>
      </c>
    </row>
    <row r="22" ht="68.25" customHeight="1">
      <c r="A22" s="1" t="inlineStr">
        <is>
          <t>1.1.13.2</t>
        </is>
      </c>
      <c r="B22" s="1" t="inlineStr">
        <is>
          <t>0000-703-010</t>
        </is>
      </c>
      <c r="C22" t="inlineStr"/>
      <c r="D22" s="1" t="inlineStr">
        <is>
          <t>BÖ-168-026</t>
        </is>
      </c>
      <c r="F22" s="1" t="inlineStr">
        <is>
          <t>Purchased</t>
        </is>
      </c>
      <c r="G22" s="1" t="inlineStr">
        <is>
          <t>Collar - DN150/PN10-EN1092-1 Typ37</t>
        </is>
      </c>
      <c r="H22" s="1" t="inlineStr">
        <is>
          <t>SS 1.4301 - AISI 304</t>
        </is>
      </c>
      <c r="J22" s="1" t="n">
        <v>1</v>
      </c>
      <c r="K22" t="n">
        <v>1</v>
      </c>
      <c r="O22" s="1" t="inlineStr">
        <is>
          <t>Standard Fittings</t>
        </is>
      </c>
      <c r="P22" t="inlineStr">
        <is>
          <t>Not available</t>
        </is>
      </c>
    </row>
    <row r="23" ht="68.25" customHeight="1">
      <c r="A23" s="1" t="inlineStr">
        <is>
          <t>1.1.13.3</t>
        </is>
      </c>
      <c r="B23" s="1" t="inlineStr">
        <is>
          <t>0000-703-020</t>
        </is>
      </c>
      <c r="C23" t="inlineStr"/>
      <c r="F23" s="1" t="inlineStr">
        <is>
          <t>Purchased</t>
        </is>
      </c>
      <c r="G23" s="1" t="inlineStr">
        <is>
          <t>Pressed Flange - DN150-PN10/16 - EN 1092-1 Typ 02</t>
        </is>
      </c>
      <c r="H23" s="1" t="inlineStr">
        <is>
          <t>SS 1.4301 - AISI 304</t>
        </is>
      </c>
      <c r="J23" s="1" t="n">
        <v>1</v>
      </c>
      <c r="K23" t="n">
        <v>1</v>
      </c>
      <c r="O23" s="1" t="inlineStr">
        <is>
          <t>Standard Fittings</t>
        </is>
      </c>
      <c r="P23" t="inlineStr">
        <is>
          <t>Not available</t>
        </is>
      </c>
    </row>
    <row r="24" ht="68.25" customHeight="1">
      <c r="A24" s="1" t="inlineStr">
        <is>
          <t>1.1.13.4</t>
        </is>
      </c>
      <c r="B24" s="1" t="inlineStr">
        <is>
          <t>0000-703-030</t>
        </is>
      </c>
      <c r="C24" t="inlineStr"/>
      <c r="D24" s="1" t="inlineStr">
        <is>
          <t>BO-168-026</t>
        </is>
      </c>
      <c r="F24" s="1" t="inlineStr">
        <is>
          <t>Purchased</t>
        </is>
      </c>
      <c r="G24" s="1" t="inlineStr">
        <is>
          <t>Elbow 90° - DN150 Ø168,3x2,6 - Type3-R229 - DIN2605</t>
        </is>
      </c>
      <c r="H24" s="1" t="inlineStr">
        <is>
          <t>SS 1.4301 - AISI 304</t>
        </is>
      </c>
      <c r="J24" s="1" t="n">
        <v>3</v>
      </c>
      <c r="K24" t="n">
        <v>3</v>
      </c>
      <c r="O24" s="1" t="inlineStr">
        <is>
          <t>Standard Fittings</t>
        </is>
      </c>
      <c r="P24" t="inlineStr">
        <is>
          <t>Not available</t>
        </is>
      </c>
    </row>
    <row r="25" ht="68.25" customHeight="1">
      <c r="A25" s="1" t="inlineStr">
        <is>
          <t>1.1.13.5</t>
        </is>
      </c>
      <c r="B25" s="1" t="inlineStr">
        <is>
          <t>0000-342-021</t>
        </is>
      </c>
      <c r="C25" s="1" t="inlineStr">
        <is>
          <t>-</t>
        </is>
      </c>
      <c r="F25" s="1" t="inlineStr">
        <is>
          <t>Normal</t>
        </is>
      </c>
      <c r="G25" s="1" t="inlineStr">
        <is>
          <t>Pipe holder foot L=200</t>
        </is>
      </c>
      <c r="H25" s="1" t="inlineStr">
        <is>
          <t>SS 1.4301 - AISI 304</t>
        </is>
      </c>
      <c r="J25" s="1" t="n">
        <v>5</v>
      </c>
      <c r="K25" t="n">
        <v>5</v>
      </c>
      <c r="L25" s="1" t="inlineStr">
        <is>
          <t>1,0</t>
        </is>
      </c>
      <c r="M25" s="1" t="inlineStr">
        <is>
          <t>1,0</t>
        </is>
      </c>
      <c r="N25" s="1" t="inlineStr">
        <is>
          <t>1</t>
        </is>
      </c>
      <c r="O25" s="1" t="inlineStr">
        <is>
          <t>Basic Component</t>
        </is>
      </c>
      <c r="P25" s="2">
        <f>HYPERLINK("0000-342-021-- - Pipe holder foot L=200.pdf","PDF")</f>
        <v/>
      </c>
    </row>
    <row r="26" ht="68.25" customHeight="1">
      <c r="A26" s="1" t="inlineStr">
        <is>
          <t>1.1.13.6</t>
        </is>
      </c>
      <c r="B26" s="1" t="inlineStr">
        <is>
          <t>0000-342-029</t>
        </is>
      </c>
      <c r="C26" s="1" t="inlineStr">
        <is>
          <t>-</t>
        </is>
      </c>
      <c r="F26" s="1" t="inlineStr">
        <is>
          <t>Normal</t>
        </is>
      </c>
      <c r="G26" s="1" t="inlineStr">
        <is>
          <t>Pipe Holder DN150-Ø168,3</t>
        </is>
      </c>
      <c r="H26" s="1" t="inlineStr">
        <is>
          <t>SS 1.4301 - AISI 304</t>
        </is>
      </c>
      <c r="J26" s="1" t="n">
        <v>5</v>
      </c>
      <c r="K26" t="n">
        <v>5</v>
      </c>
      <c r="L26" s="1" t="inlineStr">
        <is>
          <t>1,0</t>
        </is>
      </c>
      <c r="M26" s="1" t="inlineStr">
        <is>
          <t>1,0</t>
        </is>
      </c>
      <c r="N26" s="1" t="inlineStr">
        <is>
          <t>1</t>
        </is>
      </c>
      <c r="O26" s="1" t="inlineStr">
        <is>
          <t>Basic Component</t>
        </is>
      </c>
      <c r="P26" s="2">
        <f>HYPERLINK("0000-342-029-- - Pipe Holder DN150-Ø168,3.pdf","PDF")</f>
        <v/>
      </c>
    </row>
    <row r="27" ht="68.25" customHeight="1">
      <c r="A27" s="1" t="inlineStr">
        <is>
          <t>1.2</t>
        </is>
      </c>
      <c r="B27" s="1" t="inlineStr">
        <is>
          <t>4003-613-A02</t>
        </is>
      </c>
      <c r="C27" s="1" t="inlineStr">
        <is>
          <t>-</t>
        </is>
      </c>
      <c r="F27" s="1" t="inlineStr">
        <is>
          <t>Inseparable</t>
        </is>
      </c>
      <c r="G27" s="1" t="inlineStr">
        <is>
          <t>Mixing Tank 2</t>
        </is>
      </c>
      <c r="I27" s="1" t="inlineStr">
        <is>
          <t xml:space="preserve">Mixing Area 02 </t>
        </is>
      </c>
      <c r="J27" s="1" t="n">
        <v>1</v>
      </c>
      <c r="K27" t="n">
        <v>1</v>
      </c>
      <c r="O27" s="1" t="inlineStr">
        <is>
          <t>Equipment</t>
        </is>
      </c>
      <c r="P27" s="2">
        <f>HYPERLINK("4003-613-A02-- - Mixing Tank 2.pdf","PDF")</f>
        <v/>
      </c>
    </row>
    <row r="28" ht="68.25" customHeight="1">
      <c r="A28" s="1" t="inlineStr">
        <is>
          <t>1.2.22.1</t>
        </is>
      </c>
      <c r="B28" s="1" t="inlineStr">
        <is>
          <t>0000-301-401</t>
        </is>
      </c>
      <c r="C28" s="1" t="inlineStr">
        <is>
          <t>A</t>
        </is>
      </c>
      <c r="F28" s="1" t="inlineStr">
        <is>
          <t>Normal</t>
        </is>
      </c>
      <c r="G28" s="1" t="inlineStr">
        <is>
          <t>Ralling Support</t>
        </is>
      </c>
      <c r="H28" s="1" t="inlineStr">
        <is>
          <t>Steel, Galvanized</t>
        </is>
      </c>
      <c r="I28" s="1" t="inlineStr">
        <is>
          <t>Area 02</t>
        </is>
      </c>
      <c r="J28" s="1" t="n">
        <v>34</v>
      </c>
      <c r="K28" t="n">
        <v>34</v>
      </c>
      <c r="O28" s="1" t="inlineStr">
        <is>
          <t>Internal Manufacturing</t>
        </is>
      </c>
      <c r="P28" s="2">
        <f>HYPERLINK("0000-301-401-A - Ralling Support.pdf","PDF")</f>
        <v/>
      </c>
    </row>
    <row r="29" ht="68.25" customHeight="1">
      <c r="A29" s="1" t="inlineStr">
        <is>
          <t>1.2.22.2</t>
        </is>
      </c>
      <c r="B29" s="1" t="inlineStr">
        <is>
          <t>4003-02-PS02</t>
        </is>
      </c>
      <c r="C29" s="1" t="inlineStr"/>
      <c r="F29" s="1" t="inlineStr">
        <is>
          <t>Normal</t>
        </is>
      </c>
      <c r="G29" s="1" t="inlineStr">
        <is>
          <t>Pipe Galvanized - DN40-Ø48,3x3,25 L=6000 - EN10255</t>
        </is>
      </c>
      <c r="H29" s="1" t="inlineStr">
        <is>
          <t>CS 1.0026 - S195T</t>
        </is>
      </c>
      <c r="I29" s="1" t="inlineStr">
        <is>
          <t>Area 02</t>
        </is>
      </c>
      <c r="J29" s="1" t="n">
        <v>9</v>
      </c>
      <c r="K29" t="n">
        <v>9</v>
      </c>
      <c r="L29" s="1" t="inlineStr">
        <is>
          <t>48,3</t>
        </is>
      </c>
      <c r="M29" s="1" t="inlineStr">
        <is>
          <t>3,25</t>
        </is>
      </c>
      <c r="N29" s="1" t="inlineStr">
        <is>
          <t>6000</t>
        </is>
      </c>
      <c r="O29" s="1" t="inlineStr">
        <is>
          <t>Internal Manufacturing</t>
        </is>
      </c>
      <c r="P29" t="inlineStr">
        <is>
          <t>Not available</t>
        </is>
      </c>
    </row>
    <row r="30" ht="68.25" customHeight="1">
      <c r="A30" s="1" t="inlineStr">
        <is>
          <t>1.2.22.3</t>
        </is>
      </c>
      <c r="B30" s="1" t="inlineStr">
        <is>
          <t>4003-02-PS03</t>
        </is>
      </c>
      <c r="C30" s="1" t="inlineStr"/>
      <c r="F30" s="1" t="inlineStr">
        <is>
          <t>Normal</t>
        </is>
      </c>
      <c r="G30" s="1" t="inlineStr">
        <is>
          <t>Pipe Galvanized - DN20-Ø26,9x2,65 L=6000 - EN10255</t>
        </is>
      </c>
      <c r="H30" s="1" t="inlineStr">
        <is>
          <t>CS 1.0026 - S195T</t>
        </is>
      </c>
      <c r="I30" s="1" t="inlineStr">
        <is>
          <t>Area 02</t>
        </is>
      </c>
      <c r="J30" s="1" t="n">
        <v>18</v>
      </c>
      <c r="K30" t="n">
        <v>18</v>
      </c>
      <c r="L30" s="1" t="inlineStr">
        <is>
          <t>26,9</t>
        </is>
      </c>
      <c r="M30" s="1" t="inlineStr">
        <is>
          <t>2,65</t>
        </is>
      </c>
      <c r="N30" s="1" t="inlineStr">
        <is>
          <t>6000</t>
        </is>
      </c>
      <c r="O30" s="1" t="inlineStr">
        <is>
          <t>Internal Manufacturing</t>
        </is>
      </c>
      <c r="P30" t="inlineStr">
        <is>
          <t>Not available</t>
        </is>
      </c>
    </row>
    <row r="31" ht="68.25" customHeight="1">
      <c r="A31" s="1" t="inlineStr">
        <is>
          <t>1.2.22.4</t>
        </is>
      </c>
      <c r="B31" s="1" t="inlineStr">
        <is>
          <t>4003-02-PS04</t>
        </is>
      </c>
      <c r="C31" s="1" t="inlineStr"/>
      <c r="F31" s="1" t="inlineStr">
        <is>
          <t>Normal</t>
        </is>
      </c>
      <c r="G31" s="1" t="inlineStr">
        <is>
          <t>Flat Bar Galvanized - 100x5 L=4000 - EN10058</t>
        </is>
      </c>
      <c r="H31" s="1" t="inlineStr">
        <is>
          <t>CS 1.0038 - S235JR</t>
        </is>
      </c>
      <c r="I31" s="1" t="inlineStr">
        <is>
          <t>Area 02</t>
        </is>
      </c>
      <c r="J31" s="1" t="n">
        <v>13</v>
      </c>
      <c r="K31" t="n">
        <v>13</v>
      </c>
      <c r="M31" s="1" t="inlineStr">
        <is>
          <t>5</t>
        </is>
      </c>
      <c r="N31" s="1" t="inlineStr">
        <is>
          <t>4000</t>
        </is>
      </c>
      <c r="O31" s="1" t="inlineStr">
        <is>
          <t>Internal Manufacturing</t>
        </is>
      </c>
      <c r="P31" t="inlineStr">
        <is>
          <t>Not available</t>
        </is>
      </c>
    </row>
    <row r="32" ht="68.25" customHeight="1">
      <c r="A32" s="1" t="inlineStr">
        <is>
          <t>1.2.22.5</t>
        </is>
      </c>
      <c r="B32" s="1" t="inlineStr">
        <is>
          <t>0000-750-021</t>
        </is>
      </c>
      <c r="C32" s="1" t="inlineStr"/>
      <c r="F32" s="1" t="inlineStr">
        <is>
          <t>Purchased</t>
        </is>
      </c>
      <c r="G32" s="1" t="inlineStr">
        <is>
          <t>Straight joiner - Ø41xL124</t>
        </is>
      </c>
      <c r="H32" s="1" t="inlineStr">
        <is>
          <t>Steel, Galvanized</t>
        </is>
      </c>
      <c r="J32" s="1" t="n">
        <v>8</v>
      </c>
      <c r="K32" t="n">
        <v>8</v>
      </c>
      <c r="L32" s="1" t="inlineStr">
        <is>
          <t>1,0</t>
        </is>
      </c>
      <c r="M32" s="1" t="inlineStr">
        <is>
          <t>1,0</t>
        </is>
      </c>
      <c r="N32" s="1" t="inlineStr">
        <is>
          <t>1</t>
        </is>
      </c>
      <c r="O32" s="1" t="inlineStr">
        <is>
          <t>Mechanical Components</t>
        </is>
      </c>
      <c r="P32" t="inlineStr">
        <is>
          <t>Not available</t>
        </is>
      </c>
    </row>
    <row r="33" ht="68.25" customHeight="1">
      <c r="A33" s="1" t="inlineStr">
        <is>
          <t>1.2.22.6</t>
        </is>
      </c>
      <c r="B33" s="1" t="inlineStr">
        <is>
          <t>0000-750-021</t>
        </is>
      </c>
      <c r="C33" s="1" t="inlineStr"/>
      <c r="F33" s="1" t="inlineStr">
        <is>
          <t>Purchased</t>
        </is>
      </c>
      <c r="G33" s="1" t="inlineStr">
        <is>
          <t>Straight joiner - Ø21xL70</t>
        </is>
      </c>
      <c r="H33" s="1" t="inlineStr">
        <is>
          <t>Steel, Galvanized</t>
        </is>
      </c>
      <c r="J33" s="1" t="n">
        <v>16</v>
      </c>
      <c r="K33" t="n">
        <v>16</v>
      </c>
      <c r="O33" s="1" t="inlineStr">
        <is>
          <t>Mechanical Components</t>
        </is>
      </c>
      <c r="P33" t="inlineStr">
        <is>
          <t>Not available</t>
        </is>
      </c>
    </row>
    <row r="34" ht="68.25" customHeight="1">
      <c r="A34" s="1" t="inlineStr">
        <is>
          <t>1.2.23.1</t>
        </is>
      </c>
      <c r="B34" s="1" t="inlineStr">
        <is>
          <t>0000-703-001</t>
        </is>
      </c>
      <c r="C34" s="1" t="inlineStr"/>
      <c r="D34" s="1" t="inlineStr">
        <is>
          <t>RO-168-026</t>
        </is>
      </c>
      <c r="F34" s="1" t="inlineStr">
        <is>
          <t>Normal</t>
        </is>
      </c>
      <c r="G34" s="1" t="inlineStr">
        <is>
          <t>Pipe - DN150-Ø168,3x2,6 L=450 - EN10217-7</t>
        </is>
      </c>
      <c r="H34" s="1" t="inlineStr">
        <is>
          <t>SS 1.4301 - AISI 304</t>
        </is>
      </c>
      <c r="J34" s="1" t="n">
        <v>1</v>
      </c>
      <c r="K34" t="n">
        <v>1</v>
      </c>
      <c r="L34" s="1" t="inlineStr">
        <is>
          <t>168,3</t>
        </is>
      </c>
      <c r="M34" s="1" t="inlineStr">
        <is>
          <t>2,6</t>
        </is>
      </c>
      <c r="N34" s="1" t="inlineStr">
        <is>
          <t>450</t>
        </is>
      </c>
      <c r="O34" s="1" t="inlineStr">
        <is>
          <t>Project Piping</t>
        </is>
      </c>
      <c r="P34" t="inlineStr">
        <is>
          <t>Not available</t>
        </is>
      </c>
    </row>
    <row r="35" ht="68.25" customHeight="1">
      <c r="A35" s="1" t="inlineStr">
        <is>
          <t>1.2.23.2</t>
        </is>
      </c>
      <c r="B35" s="1" t="inlineStr">
        <is>
          <t>0000-703-020</t>
        </is>
      </c>
      <c r="C35" t="inlineStr"/>
      <c r="F35" s="1" t="inlineStr">
        <is>
          <t>Purchased</t>
        </is>
      </c>
      <c r="G35" s="1" t="inlineStr">
        <is>
          <t>Pressed Flange - DN150-PN10/16 - EN 1092-1 Typ 02</t>
        </is>
      </c>
      <c r="H35" s="1" t="inlineStr">
        <is>
          <t>SS 1.4301 - AISI 304</t>
        </is>
      </c>
      <c r="J35" s="1" t="n">
        <v>2</v>
      </c>
      <c r="K35" t="n">
        <v>2</v>
      </c>
      <c r="O35" s="1" t="inlineStr">
        <is>
          <t>Standard Fittings</t>
        </is>
      </c>
      <c r="P35" t="inlineStr">
        <is>
          <t>Not available</t>
        </is>
      </c>
    </row>
    <row r="36" ht="68.25" customHeight="1">
      <c r="A36" s="1" t="inlineStr">
        <is>
          <t>1.2.23.3</t>
        </is>
      </c>
      <c r="B36" s="1" t="inlineStr">
        <is>
          <t>0000-703-010</t>
        </is>
      </c>
      <c r="C36" t="inlineStr"/>
      <c r="D36" s="1" t="inlineStr">
        <is>
          <t>BÖ-168-026</t>
        </is>
      </c>
      <c r="F36" s="1" t="inlineStr">
        <is>
          <t>Purchased</t>
        </is>
      </c>
      <c r="G36" s="1" t="inlineStr">
        <is>
          <t>Collar - DN150/PN10-EN1092-1 Typ37</t>
        </is>
      </c>
      <c r="H36" s="1" t="inlineStr">
        <is>
          <t>SS 1.4301 - AISI 304</t>
        </is>
      </c>
      <c r="J36" s="1" t="n">
        <v>2</v>
      </c>
      <c r="K36" t="n">
        <v>2</v>
      </c>
      <c r="O36" s="1" t="inlineStr">
        <is>
          <t>Standard Fittings</t>
        </is>
      </c>
      <c r="P36" t="inlineStr">
        <is>
          <t>Not available</t>
        </is>
      </c>
    </row>
    <row r="37" ht="68.25" customHeight="1">
      <c r="A37" s="1" t="inlineStr">
        <is>
          <t>1.2.24.1</t>
        </is>
      </c>
      <c r="B37" s="1" t="inlineStr">
        <is>
          <t>0000-703-001</t>
        </is>
      </c>
      <c r="C37" s="1" t="inlineStr"/>
      <c r="D37" s="1" t="inlineStr">
        <is>
          <t>RO-139-026</t>
        </is>
      </c>
      <c r="F37" s="1" t="inlineStr">
        <is>
          <t>Normal</t>
        </is>
      </c>
      <c r="G37" s="1" t="inlineStr">
        <is>
          <t>Pipe - DN125-Ø139,7x2,6 L=446 - EN10217-7</t>
        </is>
      </c>
      <c r="H37" s="1" t="inlineStr">
        <is>
          <t>SS 1.4301 - AISI 304</t>
        </is>
      </c>
      <c r="J37" s="1" t="n">
        <v>1</v>
      </c>
      <c r="K37" t="n">
        <v>1</v>
      </c>
      <c r="L37" s="1" t="inlineStr">
        <is>
          <t>139,7</t>
        </is>
      </c>
      <c r="M37" s="1" t="inlineStr">
        <is>
          <t>2,6</t>
        </is>
      </c>
      <c r="N37" s="1" t="inlineStr">
        <is>
          <t>446</t>
        </is>
      </c>
      <c r="O37" s="1" t="inlineStr">
        <is>
          <t>Project Piping</t>
        </is>
      </c>
      <c r="P37" t="inlineStr">
        <is>
          <t>Not available</t>
        </is>
      </c>
    </row>
    <row r="38" ht="68.25" customHeight="1">
      <c r="A38" s="1" t="inlineStr">
        <is>
          <t>1.2.24.2</t>
        </is>
      </c>
      <c r="B38" s="1" t="inlineStr">
        <is>
          <t>0000-703-020</t>
        </is>
      </c>
      <c r="C38" t="inlineStr"/>
      <c r="F38" s="1" t="inlineStr">
        <is>
          <t>Purchased</t>
        </is>
      </c>
      <c r="G38" s="1" t="inlineStr">
        <is>
          <t>Pressed Flange - DN125-PN10/16 - EN 1092-1 Typ 02</t>
        </is>
      </c>
      <c r="H38" s="1" t="inlineStr">
        <is>
          <t>SS 1.4301 - AISI 304</t>
        </is>
      </c>
      <c r="J38" s="1" t="n">
        <v>2</v>
      </c>
      <c r="K38" t="n">
        <v>2</v>
      </c>
      <c r="O38" s="1" t="inlineStr">
        <is>
          <t>Standard Fittings</t>
        </is>
      </c>
      <c r="P38" t="inlineStr">
        <is>
          <t>Not available</t>
        </is>
      </c>
    </row>
    <row r="39" ht="68.25" customHeight="1">
      <c r="A39" s="1" t="inlineStr">
        <is>
          <t>1.2.24.3</t>
        </is>
      </c>
      <c r="B39" s="1" t="inlineStr">
        <is>
          <t>0000-703-010</t>
        </is>
      </c>
      <c r="C39" t="inlineStr"/>
      <c r="D39" s="1" t="inlineStr">
        <is>
          <t>BÖ-139-026</t>
        </is>
      </c>
      <c r="F39" s="1" t="inlineStr">
        <is>
          <t>Purchased</t>
        </is>
      </c>
      <c r="G39" s="1" t="inlineStr">
        <is>
          <t>Collar - DN125/PN10-EN1092-1 Typ37</t>
        </is>
      </c>
      <c r="H39" s="1" t="inlineStr">
        <is>
          <t>SS 1.4301 - AISI 304</t>
        </is>
      </c>
      <c r="J39" s="1" t="n">
        <v>2</v>
      </c>
      <c r="K39" t="n">
        <v>2</v>
      </c>
      <c r="O39" s="1" t="inlineStr">
        <is>
          <t>Standard Fittings</t>
        </is>
      </c>
      <c r="P39" t="inlineStr">
        <is>
          <t>Not available</t>
        </is>
      </c>
    </row>
    <row r="40" ht="68.25" customHeight="1">
      <c r="A40" s="1" t="inlineStr">
        <is>
          <t>1.2.25.1</t>
        </is>
      </c>
      <c r="B40" s="1" t="inlineStr">
        <is>
          <t>0000-703-001</t>
        </is>
      </c>
      <c r="C40" s="1" t="inlineStr"/>
      <c r="D40" s="1" t="inlineStr">
        <is>
          <t>RO-139-026</t>
        </is>
      </c>
      <c r="F40" s="1" t="inlineStr">
        <is>
          <t>Normal</t>
        </is>
      </c>
      <c r="G40" s="1" t="inlineStr">
        <is>
          <t>Pipe - DN125-Ø139,7x2,6 L=551 - EN10217-7</t>
        </is>
      </c>
      <c r="H40" s="1" t="inlineStr">
        <is>
          <t>SS 1.4301 - AISI 304</t>
        </is>
      </c>
      <c r="J40" s="1" t="n">
        <v>1</v>
      </c>
      <c r="K40" t="n">
        <v>1</v>
      </c>
      <c r="L40" s="1" t="inlineStr">
        <is>
          <t>139,7</t>
        </is>
      </c>
      <c r="M40" s="1" t="inlineStr">
        <is>
          <t>2,6</t>
        </is>
      </c>
      <c r="N40" s="1" t="inlineStr">
        <is>
          <t>551</t>
        </is>
      </c>
      <c r="O40" s="1" t="inlineStr">
        <is>
          <t>Project Piping</t>
        </is>
      </c>
      <c r="P40" t="inlineStr">
        <is>
          <t>Not available</t>
        </is>
      </c>
    </row>
    <row r="41" ht="68.25" customHeight="1">
      <c r="A41" s="1" t="inlineStr">
        <is>
          <t>1.2.25.2</t>
        </is>
      </c>
      <c r="B41" s="1" t="inlineStr">
        <is>
          <t>0000-703-020</t>
        </is>
      </c>
      <c r="C41" t="inlineStr"/>
      <c r="F41" s="1" t="inlineStr">
        <is>
          <t>Purchased</t>
        </is>
      </c>
      <c r="G41" s="1" t="inlineStr">
        <is>
          <t>Pressed Flange - DN125-PN10/16 - EN 1092-1 Typ 02</t>
        </is>
      </c>
      <c r="H41" s="1" t="inlineStr">
        <is>
          <t>SS 1.4301 - AISI 304</t>
        </is>
      </c>
      <c r="J41" s="1" t="n">
        <v>1</v>
      </c>
      <c r="K41" t="n">
        <v>1</v>
      </c>
      <c r="O41" s="1" t="inlineStr">
        <is>
          <t>Standard Fittings</t>
        </is>
      </c>
      <c r="P41" t="inlineStr">
        <is>
          <t>Not available</t>
        </is>
      </c>
    </row>
    <row r="42" ht="68.25" customHeight="1">
      <c r="A42" s="1" t="inlineStr">
        <is>
          <t>1.2.25.3</t>
        </is>
      </c>
      <c r="B42" s="1" t="inlineStr">
        <is>
          <t>0000-703-010</t>
        </is>
      </c>
      <c r="C42" t="inlineStr"/>
      <c r="D42" s="1" t="inlineStr">
        <is>
          <t>BÖ-139-026</t>
        </is>
      </c>
      <c r="F42" s="1" t="inlineStr">
        <is>
          <t>Purchased</t>
        </is>
      </c>
      <c r="G42" s="1" t="inlineStr">
        <is>
          <t>Collar - DN125/PN10-EN1092-1 Typ37</t>
        </is>
      </c>
      <c r="H42" s="1" t="inlineStr">
        <is>
          <t>SS 1.4301 - AISI 304</t>
        </is>
      </c>
      <c r="J42" s="1" t="n">
        <v>1</v>
      </c>
      <c r="K42" t="n">
        <v>1</v>
      </c>
      <c r="O42" s="1" t="inlineStr">
        <is>
          <t>Standard Fittings</t>
        </is>
      </c>
      <c r="P42" t="inlineStr">
        <is>
          <t>Not available</t>
        </is>
      </c>
    </row>
    <row r="43" ht="68.25" customHeight="1">
      <c r="A43" s="1" t="inlineStr">
        <is>
          <t>1.2.25.4</t>
        </is>
      </c>
      <c r="B43" s="1" t="inlineStr">
        <is>
          <t>0000-703-030</t>
        </is>
      </c>
      <c r="C43" t="inlineStr"/>
      <c r="D43" s="1" t="inlineStr">
        <is>
          <t>45-139-026</t>
        </is>
      </c>
      <c r="F43" s="1" t="inlineStr">
        <is>
          <t>Purchased</t>
        </is>
      </c>
      <c r="G43" s="1" t="inlineStr">
        <is>
          <t>Elbow 45° - DN125 Ø139,7x2,6 - Type3-R190,5 - DIN2605</t>
        </is>
      </c>
      <c r="H43" s="1" t="inlineStr">
        <is>
          <t>SS 1.4301 - AISI 304</t>
        </is>
      </c>
      <c r="J43" s="1" t="n">
        <v>1</v>
      </c>
      <c r="K43" t="n">
        <v>1</v>
      </c>
      <c r="O43" s="1" t="inlineStr">
        <is>
          <t>Standard Fittings</t>
        </is>
      </c>
      <c r="P43" t="inlineStr">
        <is>
          <t>Not available</t>
        </is>
      </c>
    </row>
    <row r="44" ht="68.25" customHeight="1">
      <c r="A44" s="1" t="inlineStr">
        <is>
          <t>1.2.26.1</t>
        </is>
      </c>
      <c r="B44" s="1" t="inlineStr">
        <is>
          <t>0000-703-001</t>
        </is>
      </c>
      <c r="C44" s="1" t="inlineStr"/>
      <c r="F44" s="1" t="inlineStr">
        <is>
          <t>Normal</t>
        </is>
      </c>
      <c r="G44" s="1" t="inlineStr">
        <is>
          <t>Pipe - DN150-Ø168,3x2,6 L=4779 - EN10217-7</t>
        </is>
      </c>
      <c r="H44" s="1" t="inlineStr">
        <is>
          <t>SS 1.4301 - AISI 304</t>
        </is>
      </c>
      <c r="J44" s="1" t="n">
        <v>1</v>
      </c>
      <c r="K44" t="n">
        <v>1</v>
      </c>
      <c r="L44" s="1" t="inlineStr">
        <is>
          <t>168,3</t>
        </is>
      </c>
      <c r="M44" s="1" t="inlineStr">
        <is>
          <t>2,6</t>
        </is>
      </c>
      <c r="N44" s="1" t="inlineStr">
        <is>
          <t>4779</t>
        </is>
      </c>
      <c r="P44" t="inlineStr">
        <is>
          <t>Not available</t>
        </is>
      </c>
    </row>
    <row r="45" ht="68.25" customHeight="1">
      <c r="A45" s="1" t="inlineStr">
        <is>
          <t>1.2.26.2</t>
        </is>
      </c>
      <c r="B45" s="1" t="inlineStr">
        <is>
          <t>0000-703-010</t>
        </is>
      </c>
      <c r="C45" t="inlineStr"/>
      <c r="D45" s="1" t="inlineStr">
        <is>
          <t>BÖ-168-026</t>
        </is>
      </c>
      <c r="F45" s="1" t="inlineStr">
        <is>
          <t>Purchased</t>
        </is>
      </c>
      <c r="G45" s="1" t="inlineStr">
        <is>
          <t>Collar - DN150/PN10-EN1092-1 Typ37</t>
        </is>
      </c>
      <c r="H45" s="1" t="inlineStr">
        <is>
          <t>SS 1.4301 - AISI 304</t>
        </is>
      </c>
      <c r="J45" s="1" t="n">
        <v>1</v>
      </c>
      <c r="K45" t="n">
        <v>1</v>
      </c>
      <c r="O45" s="1" t="inlineStr">
        <is>
          <t>Standard Fittings</t>
        </is>
      </c>
      <c r="P45" t="inlineStr">
        <is>
          <t>Not available</t>
        </is>
      </c>
    </row>
    <row r="46" ht="68.25" customHeight="1">
      <c r="A46" s="1" t="inlineStr">
        <is>
          <t>1.2.26.3</t>
        </is>
      </c>
      <c r="B46" s="1" t="inlineStr">
        <is>
          <t>0000-703-020</t>
        </is>
      </c>
      <c r="C46" t="inlineStr"/>
      <c r="F46" s="1" t="inlineStr">
        <is>
          <t>Purchased</t>
        </is>
      </c>
      <c r="G46" s="1" t="inlineStr">
        <is>
          <t>Pressed Flange - DN150-PN10/16 - EN 1092-1 Typ 02</t>
        </is>
      </c>
      <c r="H46" s="1" t="inlineStr">
        <is>
          <t>SS 1.4301 - AISI 304</t>
        </is>
      </c>
      <c r="J46" s="1" t="n">
        <v>1</v>
      </c>
      <c r="K46" t="n">
        <v>1</v>
      </c>
      <c r="O46" s="1" t="inlineStr">
        <is>
          <t>Standard Fittings</t>
        </is>
      </c>
      <c r="P46" t="inlineStr">
        <is>
          <t>Not available</t>
        </is>
      </c>
    </row>
    <row r="47" ht="68.25" customHeight="1">
      <c r="A47" s="1" t="inlineStr">
        <is>
          <t>1.2.26.4</t>
        </is>
      </c>
      <c r="B47" s="1" t="inlineStr">
        <is>
          <t>0000-703-030</t>
        </is>
      </c>
      <c r="C47" t="inlineStr"/>
      <c r="D47" s="1" t="inlineStr">
        <is>
          <t>BO-168-026</t>
        </is>
      </c>
      <c r="F47" s="1" t="inlineStr">
        <is>
          <t>Purchased</t>
        </is>
      </c>
      <c r="G47" s="1" t="inlineStr">
        <is>
          <t>Elbow 90° - DN150 Ø168,3x2,6 - Type3-R229 - DIN2605</t>
        </is>
      </c>
      <c r="H47" s="1" t="inlineStr">
        <is>
          <t>SS 1.4301 - AISI 304</t>
        </is>
      </c>
      <c r="J47" s="1" t="n">
        <v>3</v>
      </c>
      <c r="K47" t="n">
        <v>3</v>
      </c>
      <c r="O47" s="1" t="inlineStr">
        <is>
          <t>Standard Fittings</t>
        </is>
      </c>
      <c r="P47" t="inlineStr">
        <is>
          <t>Not available</t>
        </is>
      </c>
    </row>
    <row r="48" ht="68.25" customHeight="1">
      <c r="A48" s="1" t="inlineStr">
        <is>
          <t>1.2.26.5</t>
        </is>
      </c>
      <c r="B48" s="1" t="inlineStr">
        <is>
          <t>0000-342-021</t>
        </is>
      </c>
      <c r="C48" s="1" t="inlineStr">
        <is>
          <t>-</t>
        </is>
      </c>
      <c r="F48" s="1" t="inlineStr">
        <is>
          <t>Normal</t>
        </is>
      </c>
      <c r="G48" s="1" t="inlineStr">
        <is>
          <t>Pipe holder foot L=200</t>
        </is>
      </c>
      <c r="H48" s="1" t="inlineStr">
        <is>
          <t>SS 1.4301 - AISI 304</t>
        </is>
      </c>
      <c r="J48" s="1" t="n">
        <v>5</v>
      </c>
      <c r="K48" t="n">
        <v>5</v>
      </c>
      <c r="L48" s="1" t="inlineStr">
        <is>
          <t>1,0</t>
        </is>
      </c>
      <c r="M48" s="1" t="inlineStr">
        <is>
          <t>1,0</t>
        </is>
      </c>
      <c r="N48" s="1" t="inlineStr">
        <is>
          <t>1</t>
        </is>
      </c>
      <c r="O48" s="1" t="inlineStr">
        <is>
          <t>Basic Component</t>
        </is>
      </c>
      <c r="P48" s="2">
        <f>HYPERLINK("0000-342-021-- - Pipe holder foot L=200.pdf","PDF")</f>
        <v/>
      </c>
    </row>
    <row r="49" ht="68.25" customHeight="1">
      <c r="A49" s="1" t="inlineStr">
        <is>
          <t>1.2.26.6</t>
        </is>
      </c>
      <c r="B49" s="1" t="inlineStr">
        <is>
          <t>0000-342-029</t>
        </is>
      </c>
      <c r="C49" s="1" t="inlineStr">
        <is>
          <t>-</t>
        </is>
      </c>
      <c r="F49" s="1" t="inlineStr">
        <is>
          <t>Normal</t>
        </is>
      </c>
      <c r="G49" s="1" t="inlineStr">
        <is>
          <t>Pipe Holder DN150-Ø168,3</t>
        </is>
      </c>
      <c r="H49" s="1" t="inlineStr">
        <is>
          <t>SS 1.4301 - AISI 304</t>
        </is>
      </c>
      <c r="J49" s="1" t="n">
        <v>5</v>
      </c>
      <c r="K49" t="n">
        <v>5</v>
      </c>
      <c r="L49" s="1" t="inlineStr">
        <is>
          <t>1,0</t>
        </is>
      </c>
      <c r="M49" s="1" t="inlineStr">
        <is>
          <t>1,0</t>
        </is>
      </c>
      <c r="N49" s="1" t="inlineStr">
        <is>
          <t>1</t>
        </is>
      </c>
      <c r="O49" s="1" t="inlineStr">
        <is>
          <t>Basic Component</t>
        </is>
      </c>
      <c r="P49" s="2">
        <f>HYPERLINK("0000-342-029-- - Pipe Holder DN150-Ø168,3.pdf","PDF")</f>
        <v/>
      </c>
    </row>
    <row r="50" ht="68.25" customHeight="1">
      <c r="A50" s="1" t="inlineStr">
        <is>
          <t>1.3</t>
        </is>
      </c>
      <c r="B50" s="1" t="inlineStr">
        <is>
          <t>4003-613-F01</t>
        </is>
      </c>
      <c r="C50" s="1" t="inlineStr">
        <is>
          <t>-</t>
        </is>
      </c>
      <c r="F50" s="1" t="inlineStr">
        <is>
          <t>Normal</t>
        </is>
      </c>
      <c r="G50" s="1" t="inlineStr">
        <is>
          <t>Mixing Tank 1 Foundation</t>
        </is>
      </c>
      <c r="H50" s="1" t="inlineStr">
        <is>
          <t>Concrete</t>
        </is>
      </c>
      <c r="I50" s="1" t="inlineStr">
        <is>
          <t>Mixing Area 02</t>
        </is>
      </c>
      <c r="J50" s="1" t="n">
        <v>1</v>
      </c>
      <c r="K50" t="n">
        <v>1</v>
      </c>
      <c r="P50" s="2">
        <f>HYPERLINK("4003-613-F01-- - Mixing Tank 1 Foundation.pdf","PDF")</f>
        <v/>
      </c>
    </row>
    <row r="51" ht="68.25" customHeight="1">
      <c r="A51" s="1" t="inlineStr">
        <is>
          <t>1.4</t>
        </is>
      </c>
      <c r="B51" s="1" t="inlineStr">
        <is>
          <t>4003-613-F02</t>
        </is>
      </c>
      <c r="C51" s="1" t="inlineStr">
        <is>
          <t>-</t>
        </is>
      </c>
      <c r="F51" s="1" t="inlineStr">
        <is>
          <t>Normal</t>
        </is>
      </c>
      <c r="G51" s="1" t="inlineStr">
        <is>
          <t>Mixing Tank 2 Foundation</t>
        </is>
      </c>
      <c r="H51" s="1" t="inlineStr">
        <is>
          <t>Concrete</t>
        </is>
      </c>
      <c r="I51" s="1" t="inlineStr">
        <is>
          <t>Mixing Area 02</t>
        </is>
      </c>
      <c r="J51" s="1" t="n">
        <v>1</v>
      </c>
      <c r="K51" t="n">
        <v>1</v>
      </c>
      <c r="P51" s="2">
        <f>HYPERLINK("4003-613-F02-- - Mixing Tank 2 Foundation.pdf","PDF")</f>
        <v/>
      </c>
    </row>
    <row r="52" ht="68.25" customHeight="1">
      <c r="A52" s="1" t="inlineStr">
        <is>
          <t>1.5</t>
        </is>
      </c>
      <c r="B52" s="1" t="inlineStr">
        <is>
          <t>4003-02.1-B01</t>
        </is>
      </c>
      <c r="C52" s="1" t="inlineStr"/>
      <c r="F52" s="1" t="inlineStr">
        <is>
          <t>Normal</t>
        </is>
      </c>
      <c r="G52" s="1" t="inlineStr">
        <is>
          <t>Common Pump House</t>
        </is>
      </c>
      <c r="H52" s="1" t="inlineStr">
        <is>
          <t>-</t>
        </is>
      </c>
      <c r="I52" s="1" t="inlineStr">
        <is>
          <t>Mixing Area 02</t>
        </is>
      </c>
      <c r="J52" s="1" t="n">
        <v>1</v>
      </c>
      <c r="K52" t="n">
        <v>1</v>
      </c>
      <c r="O52" s="1" t="inlineStr">
        <is>
          <t>Building/Foundation</t>
        </is>
      </c>
      <c r="P52" t="inlineStr">
        <is>
          <t>Not available</t>
        </is>
      </c>
    </row>
    <row r="53" ht="68.25" customHeight="1">
      <c r="A53" s="1" t="inlineStr">
        <is>
          <t>1.6</t>
        </is>
      </c>
      <c r="B53" s="1" t="inlineStr">
        <is>
          <t>4003-02.1-F01</t>
        </is>
      </c>
      <c r="C53" s="1" t="inlineStr">
        <is>
          <t>A</t>
        </is>
      </c>
      <c r="F53" s="1" t="inlineStr">
        <is>
          <t>Normal</t>
        </is>
      </c>
      <c r="G53" s="1" t="inlineStr">
        <is>
          <t>Pump House Foundation</t>
        </is>
      </c>
      <c r="H53" s="1" t="inlineStr">
        <is>
          <t>Concrete</t>
        </is>
      </c>
      <c r="I53" s="1" t="inlineStr">
        <is>
          <t>Mixing Area 02</t>
        </is>
      </c>
      <c r="J53" s="1" t="n">
        <v>1</v>
      </c>
      <c r="K53" t="n">
        <v>1</v>
      </c>
      <c r="O53" s="1" t="inlineStr">
        <is>
          <t>Building/Foundation</t>
        </is>
      </c>
      <c r="P53" s="2">
        <f>HYPERLINK("4003-02.1-F01-A - Foundation Layout.pdf","PDF")</f>
        <v/>
      </c>
    </row>
    <row r="54" ht="68.25" customHeight="1">
      <c r="A54" s="1" t="inlineStr">
        <is>
          <t>2</t>
        </is>
      </c>
      <c r="B54" s="1" t="inlineStr">
        <is>
          <t>4003-02.1-BM003-01</t>
        </is>
      </c>
      <c r="C54" s="1" t="inlineStr">
        <is>
          <t>-</t>
        </is>
      </c>
      <c r="F54" s="1" t="inlineStr">
        <is>
          <t>Normal</t>
        </is>
      </c>
      <c r="G54" s="1" t="inlineStr">
        <is>
          <t>Distribution Piping from Mixer tanks to Pump</t>
        </is>
      </c>
      <c r="I54" s="1" t="inlineStr">
        <is>
          <t xml:space="preserve">Area </t>
        </is>
      </c>
      <c r="J54" s="1" t="n">
        <v>1</v>
      </c>
      <c r="K54" t="n">
        <v>1</v>
      </c>
      <c r="O54" s="1" t="inlineStr">
        <is>
          <t>Project Piping</t>
        </is>
      </c>
      <c r="P54" s="2">
        <f>HYPERLINK("4003-02.1-BM003-01-- - Distribution Piping from Mixer tanks to Pump.pdf","PDF")</f>
        <v/>
      </c>
    </row>
    <row r="55" ht="68.25" customHeight="1">
      <c r="A55" s="1" t="inlineStr">
        <is>
          <t>2.1</t>
        </is>
      </c>
      <c r="B55" s="1" t="inlineStr">
        <is>
          <t>4003-02.1-BM003-01-01</t>
        </is>
      </c>
      <c r="C55" s="1" t="inlineStr"/>
      <c r="D55" s="1" t="inlineStr">
        <is>
          <t>RO-139-026</t>
        </is>
      </c>
      <c r="F55" s="1" t="inlineStr">
        <is>
          <t>Normal</t>
        </is>
      </c>
      <c r="G55" s="1" t="inlineStr">
        <is>
          <t>Pipe - DN-Ø139.7x2.6 L=6448 - EN10217-7</t>
        </is>
      </c>
      <c r="H55" s="1" t="inlineStr">
        <is>
          <t>SS 1.4301 - AISI 304</t>
        </is>
      </c>
      <c r="J55" s="1" t="n">
        <v>1</v>
      </c>
      <c r="K55" t="n">
        <v>1</v>
      </c>
      <c r="L55" s="1" t="inlineStr">
        <is>
          <t>139,7</t>
        </is>
      </c>
      <c r="M55" s="1" t="inlineStr">
        <is>
          <t>2,6</t>
        </is>
      </c>
      <c r="N55" s="1" t="inlineStr">
        <is>
          <t>3734</t>
        </is>
      </c>
      <c r="O55" s="1" t="inlineStr">
        <is>
          <t>Project Piping</t>
        </is>
      </c>
      <c r="P55" t="inlineStr">
        <is>
          <t>Not available</t>
        </is>
      </c>
    </row>
    <row r="56">
      <c r="A56" s="1" t="inlineStr">
        <is>
          <t>2.3</t>
        </is>
      </c>
      <c r="B56" s="1" t="inlineStr">
        <is>
          <t>0000-703-040</t>
        </is>
      </c>
      <c r="C56" t="inlineStr"/>
      <c r="D56" s="1" t="inlineStr">
        <is>
          <t>TR-139-026</t>
        </is>
      </c>
      <c r="E56" s="1" t="inlineStr">
        <is>
          <t>(NULL)</t>
        </is>
      </c>
      <c r="F56" s="1" t="inlineStr">
        <is>
          <t>Purchased</t>
        </is>
      </c>
      <c r="G56" s="1" t="inlineStr">
        <is>
          <t>Tee Equal - DN125 - Ø139,7x2,6 - EN10253-4</t>
        </is>
      </c>
      <c r="H56" s="1" t="inlineStr">
        <is>
          <t>SS 1.4571 - AISI 316Ti</t>
        </is>
      </c>
      <c r="J56" s="1" t="n">
        <v>3</v>
      </c>
      <c r="K56" t="n">
        <v>3</v>
      </c>
      <c r="O56" s="1" t="inlineStr">
        <is>
          <t>Standard Fittings</t>
        </is>
      </c>
      <c r="P56" t="inlineStr">
        <is>
          <t>Not available</t>
        </is>
      </c>
    </row>
    <row r="57" ht="68.25" customHeight="1">
      <c r="A57" s="1" t="inlineStr">
        <is>
          <t>2.4</t>
        </is>
      </c>
      <c r="B57" s="1" t="inlineStr">
        <is>
          <t>0000-703-020</t>
        </is>
      </c>
      <c r="C57" t="inlineStr"/>
      <c r="F57" s="1" t="inlineStr">
        <is>
          <t>Purchased</t>
        </is>
      </c>
      <c r="G57" s="1" t="inlineStr">
        <is>
          <t>Pressed Flange - DN125-PN10/16 - EN 1092-1 Typ 02</t>
        </is>
      </c>
      <c r="H57" s="1" t="inlineStr">
        <is>
          <t>SS 1.4301 - AISI 304</t>
        </is>
      </c>
      <c r="J57" s="1" t="n">
        <v>12</v>
      </c>
      <c r="K57" t="n">
        <v>12</v>
      </c>
      <c r="O57" s="1" t="inlineStr">
        <is>
          <t>Standard Fittings</t>
        </is>
      </c>
      <c r="P57" t="inlineStr">
        <is>
          <t>Not available</t>
        </is>
      </c>
    </row>
    <row r="58" ht="68.25" customHeight="1">
      <c r="A58" s="1" t="inlineStr">
        <is>
          <t>2.5</t>
        </is>
      </c>
      <c r="B58" s="1" t="inlineStr">
        <is>
          <t>0000-703-010</t>
        </is>
      </c>
      <c r="C58" t="inlineStr"/>
      <c r="D58" s="1" t="inlineStr">
        <is>
          <t>BÖ-139-020</t>
        </is>
      </c>
      <c r="F58" s="1" t="inlineStr">
        <is>
          <t>Purchased</t>
        </is>
      </c>
      <c r="G58" s="1" t="inlineStr">
        <is>
          <t>Collar - DN125/PN10-EN1092-1 Typ37</t>
        </is>
      </c>
      <c r="H58" s="1" t="inlineStr">
        <is>
          <t>SS 1.4571 - AISI 316Ti</t>
        </is>
      </c>
      <c r="J58" s="1" t="n">
        <v>12</v>
      </c>
      <c r="K58" t="n">
        <v>12</v>
      </c>
      <c r="O58" s="1" t="inlineStr">
        <is>
          <t>Standard Fittings</t>
        </is>
      </c>
      <c r="P58" t="inlineStr">
        <is>
          <t>Not available</t>
        </is>
      </c>
    </row>
    <row r="59">
      <c r="A59" s="1" t="inlineStr">
        <is>
          <t>2.6</t>
        </is>
      </c>
      <c r="B59" s="1" t="inlineStr">
        <is>
          <t>0000-703-022</t>
        </is>
      </c>
      <c r="C59" t="inlineStr"/>
      <c r="D59" s="1" t="inlineStr">
        <is>
          <t>BF-125-000</t>
        </is>
      </c>
      <c r="E59" s="1" t="inlineStr">
        <is>
          <t>(NULL)</t>
        </is>
      </c>
      <c r="F59" s="1" t="inlineStr">
        <is>
          <t>Purchased</t>
        </is>
      </c>
      <c r="G59" s="1" t="inlineStr">
        <is>
          <t>Blind Flange - DN125 - PN10/16 - EN 1092-1 Typ 05</t>
        </is>
      </c>
      <c r="H59" s="1" t="inlineStr">
        <is>
          <t>SS 1.4571 - AISI 316Ti</t>
        </is>
      </c>
      <c r="J59" s="1" t="n">
        <v>2</v>
      </c>
      <c r="K59" t="n">
        <v>2</v>
      </c>
      <c r="O59" s="1" t="inlineStr">
        <is>
          <t>Standard Fittings</t>
        </is>
      </c>
      <c r="P59" t="inlineStr">
        <is>
          <t>Not available</t>
        </is>
      </c>
    </row>
    <row r="60" ht="68.25" customHeight="1">
      <c r="A60" s="1" t="inlineStr">
        <is>
          <t>2.8</t>
        </is>
      </c>
      <c r="B60" s="1" t="inlineStr">
        <is>
          <t>0000-703-020</t>
        </is>
      </c>
      <c r="C60" t="inlineStr"/>
      <c r="F60" s="1" t="inlineStr">
        <is>
          <t>Purchased</t>
        </is>
      </c>
      <c r="G60" s="1" t="inlineStr">
        <is>
          <t>Pressed Flange - DN100-PN10/16 - EN 1092-1 Typ 02</t>
        </is>
      </c>
      <c r="H60" s="1" t="inlineStr">
        <is>
          <t>SS 1.4301 - AISI 304</t>
        </is>
      </c>
      <c r="J60" s="1" t="n">
        <v>1</v>
      </c>
      <c r="K60" t="n">
        <v>1</v>
      </c>
      <c r="O60" s="1" t="inlineStr">
        <is>
          <t>Standard Fittings</t>
        </is>
      </c>
      <c r="P60" t="inlineStr">
        <is>
          <t>Not available</t>
        </is>
      </c>
    </row>
    <row r="61" ht="68.25" customHeight="1">
      <c r="A61" s="1" t="inlineStr">
        <is>
          <t>2.9</t>
        </is>
      </c>
      <c r="B61" s="1" t="inlineStr">
        <is>
          <t>0000-703-010</t>
        </is>
      </c>
      <c r="C61" t="inlineStr"/>
      <c r="D61" s="1" t="inlineStr">
        <is>
          <t>BÖ-114-020</t>
        </is>
      </c>
      <c r="F61" s="1" t="inlineStr">
        <is>
          <t>Purchased</t>
        </is>
      </c>
      <c r="G61" s="1" t="inlineStr">
        <is>
          <t>Collar - DN100/PN10-EN1092-1 Typ37</t>
        </is>
      </c>
      <c r="H61" s="1" t="inlineStr">
        <is>
          <t>SS 1.4571 - AISI 316Ti</t>
        </is>
      </c>
      <c r="J61" s="1" t="n">
        <v>1</v>
      </c>
      <c r="K61" t="n">
        <v>1</v>
      </c>
      <c r="O61" s="1" t="inlineStr">
        <is>
          <t>Standard Fittings</t>
        </is>
      </c>
      <c r="P61" t="inlineStr">
        <is>
          <t>Not available</t>
        </is>
      </c>
    </row>
    <row r="62" ht="68.25" customHeight="1">
      <c r="A62" s="1" t="inlineStr">
        <is>
          <t>2.10</t>
        </is>
      </c>
      <c r="B62" s="1" t="inlineStr">
        <is>
          <t>0000-703-050</t>
        </is>
      </c>
      <c r="C62" t="inlineStr"/>
      <c r="D62" s="1" t="inlineStr">
        <is>
          <t>RK-139-114</t>
        </is>
      </c>
      <c r="F62" s="1" t="inlineStr">
        <is>
          <t>Purchased</t>
        </is>
      </c>
      <c r="G62" s="1" t="inlineStr">
        <is>
          <t>Reducer - DN125/DN100x127 - EN 10253-4</t>
        </is>
      </c>
      <c r="H62" s="1" t="inlineStr">
        <is>
          <t>SS 1.4571 - AISI 316Ti</t>
        </is>
      </c>
      <c r="J62" s="1" t="n">
        <v>1</v>
      </c>
      <c r="K62" t="n">
        <v>1</v>
      </c>
      <c r="O62" s="1" t="inlineStr">
        <is>
          <t>Standard Fittings</t>
        </is>
      </c>
      <c r="P62" t="inlineStr">
        <is>
          <t>Not available</t>
        </is>
      </c>
    </row>
    <row r="63" ht="68.25" customHeight="1">
      <c r="A63" s="1" t="inlineStr">
        <is>
          <t>2.12</t>
        </is>
      </c>
      <c r="B63" s="1" t="inlineStr">
        <is>
          <t>0000-703-060</t>
        </is>
      </c>
      <c r="C63" t="inlineStr"/>
      <c r="D63" s="1" t="inlineStr">
        <is>
          <t>AN-200-100</t>
        </is>
      </c>
      <c r="F63" s="1" t="inlineStr">
        <is>
          <t>Purchased</t>
        </is>
      </c>
      <c r="G63" s="1" t="inlineStr">
        <is>
          <t>Welding Nipple - 2'' DN50xL100 - EN10241</t>
        </is>
      </c>
      <c r="H63" s="1" t="inlineStr">
        <is>
          <t>SS 1.4571 - AISI 316Ti</t>
        </is>
      </c>
      <c r="J63" s="1" t="n">
        <v>1</v>
      </c>
      <c r="K63" t="n">
        <v>1</v>
      </c>
      <c r="O63" s="1" t="inlineStr">
        <is>
          <t>Standard Fittings</t>
        </is>
      </c>
      <c r="P63" t="inlineStr">
        <is>
          <t>Not available</t>
        </is>
      </c>
    </row>
    <row r="64" ht="68.25" customHeight="1">
      <c r="A64" s="1" t="inlineStr">
        <is>
          <t>2.13</t>
        </is>
      </c>
      <c r="B64" s="1" t="inlineStr">
        <is>
          <t>0000-750-016</t>
        </is>
      </c>
      <c r="C64" t="inlineStr"/>
      <c r="F64" s="1" t="inlineStr">
        <is>
          <t>Purchased</t>
        </is>
      </c>
      <c r="G64" s="1" t="inlineStr">
        <is>
          <t>Compensator - DN125-PN10 - Type 50 NBR</t>
        </is>
      </c>
      <c r="H64" s="1" t="inlineStr">
        <is>
          <t>-</t>
        </is>
      </c>
      <c r="J64" s="1" t="n">
        <v>2</v>
      </c>
      <c r="K64" t="n">
        <v>2</v>
      </c>
      <c r="O64" s="1" t="inlineStr">
        <is>
          <t>Mechanical Components</t>
        </is>
      </c>
      <c r="P64" t="inlineStr">
        <is>
          <t>Not available</t>
        </is>
      </c>
    </row>
    <row r="65" ht="68.25" customHeight="1">
      <c r="A65" s="1" t="inlineStr">
        <is>
          <t>2.14</t>
        </is>
      </c>
      <c r="B65" s="1" t="inlineStr">
        <is>
          <t>0000-754-010</t>
        </is>
      </c>
      <c r="C65" t="inlineStr"/>
      <c r="F65" s="1" t="inlineStr">
        <is>
          <t>Purchased</t>
        </is>
      </c>
      <c r="G65" s="1" t="inlineStr">
        <is>
          <t>Cantilever Arm - MT-BR-40 OC - 450mm</t>
        </is>
      </c>
      <c r="H65" s="1" t="inlineStr">
        <is>
          <t>Steel, Galv.</t>
        </is>
      </c>
      <c r="J65" s="1" t="n">
        <v>3</v>
      </c>
      <c r="K65" t="n">
        <v>3</v>
      </c>
      <c r="O65" s="1" t="inlineStr">
        <is>
          <t>Modular support systems - Hilti</t>
        </is>
      </c>
      <c r="P65" t="inlineStr">
        <is>
          <t>Not available</t>
        </is>
      </c>
    </row>
    <row r="66" ht="68.25" customHeight="1">
      <c r="A66" s="1" t="inlineStr">
        <is>
          <t>2.15</t>
        </is>
      </c>
      <c r="B66" s="1" t="inlineStr">
        <is>
          <t>0000-754-010</t>
        </is>
      </c>
      <c r="C66" t="inlineStr"/>
      <c r="F66" s="1" t="inlineStr">
        <is>
          <t>Purchased</t>
        </is>
      </c>
      <c r="G66" s="1" t="inlineStr">
        <is>
          <t>Cantilever Arm - MT-BR-40 OC - 300mm</t>
        </is>
      </c>
      <c r="H66" s="1" t="inlineStr">
        <is>
          <t>Steel, Galv.</t>
        </is>
      </c>
      <c r="J66" s="1" t="n">
        <v>3</v>
      </c>
      <c r="K66" t="n">
        <v>3</v>
      </c>
      <c r="O66" s="1" t="inlineStr">
        <is>
          <t>Modular support systems - Hilti</t>
        </is>
      </c>
      <c r="P66" t="inlineStr">
        <is>
          <t>Not available</t>
        </is>
      </c>
    </row>
    <row r="67" ht="68.25" customHeight="1">
      <c r="A67" s="1" t="inlineStr">
        <is>
          <t>2.16</t>
        </is>
      </c>
      <c r="B67" s="1" t="inlineStr">
        <is>
          <t>0000-754-030</t>
        </is>
      </c>
      <c r="C67" t="inlineStr"/>
      <c r="F67" s="1" t="inlineStr">
        <is>
          <t>Purchased</t>
        </is>
      </c>
      <c r="G67" s="1" t="inlineStr">
        <is>
          <t>Pipe clamp Heavy-Duty - Ø137-142 - MP-MRI (Sound Insulated)</t>
        </is>
      </c>
      <c r="H67" s="1" t="inlineStr">
        <is>
          <t>Steel, Galv.</t>
        </is>
      </c>
      <c r="J67" s="1" t="n">
        <v>3</v>
      </c>
      <c r="K67" t="n">
        <v>3</v>
      </c>
      <c r="O67" s="1" t="inlineStr">
        <is>
          <t>Mechanical Components</t>
        </is>
      </c>
      <c r="P67" t="inlineStr">
        <is>
          <t>Not available</t>
        </is>
      </c>
    </row>
    <row r="68" ht="68.25" customHeight="1">
      <c r="A68" s="1" t="inlineStr">
        <is>
          <t>3</t>
        </is>
      </c>
      <c r="B68" s="1" t="inlineStr">
        <is>
          <t>4003-02.1-BM002-01</t>
        </is>
      </c>
      <c r="C68" s="1" t="inlineStr">
        <is>
          <t>-</t>
        </is>
      </c>
      <c r="F68" s="1" t="inlineStr">
        <is>
          <t>Normal</t>
        </is>
      </c>
      <c r="G68" s="1" t="inlineStr">
        <is>
          <t>Distribution Piping to Mixer tanks</t>
        </is>
      </c>
      <c r="I68" s="1" t="inlineStr">
        <is>
          <t xml:space="preserve">Area </t>
        </is>
      </c>
      <c r="J68" s="1" t="n">
        <v>1</v>
      </c>
      <c r="K68" t="n">
        <v>1</v>
      </c>
      <c r="O68" s="1" t="inlineStr">
        <is>
          <t>Project Piping</t>
        </is>
      </c>
      <c r="P68" s="2">
        <f>HYPERLINK("4003-02.1-BM002-01-- - Distribution Piping to Mixer tanks.pdf","PDF")</f>
        <v/>
      </c>
    </row>
    <row r="69" ht="68.25" customHeight="1">
      <c r="A69" s="1" t="inlineStr">
        <is>
          <t>3.1</t>
        </is>
      </c>
      <c r="B69" s="1" t="inlineStr">
        <is>
          <t>4003-02.1-BM002-01-01</t>
        </is>
      </c>
      <c r="C69" s="1" t="inlineStr"/>
      <c r="D69" s="1" t="inlineStr">
        <is>
          <t>RO-168-026</t>
        </is>
      </c>
      <c r="F69" s="1" t="inlineStr">
        <is>
          <t>Normal</t>
        </is>
      </c>
      <c r="G69" s="1" t="inlineStr">
        <is>
          <t>Pipe - DN-Ø168,3x2,6 L=9169 - EN10217-7</t>
        </is>
      </c>
      <c r="H69" s="1" t="inlineStr">
        <is>
          <t>SS 1.4301 - AISI 304</t>
        </is>
      </c>
      <c r="J69" s="1" t="n">
        <v>1</v>
      </c>
      <c r="K69" t="n">
        <v>1</v>
      </c>
      <c r="L69" s="1" t="inlineStr">
        <is>
          <t>168,3</t>
        </is>
      </c>
      <c r="M69" s="1" t="inlineStr">
        <is>
          <t>2,6</t>
        </is>
      </c>
      <c r="N69" s="1" t="inlineStr">
        <is>
          <t>9169</t>
        </is>
      </c>
      <c r="O69" s="1" t="inlineStr">
        <is>
          <t>Project Piping</t>
        </is>
      </c>
      <c r="P69" t="inlineStr">
        <is>
          <t>Not available</t>
        </is>
      </c>
    </row>
    <row r="70" ht="68.25" customHeight="1">
      <c r="A70" s="1" t="inlineStr">
        <is>
          <t>3.2</t>
        </is>
      </c>
      <c r="B70" s="1" t="inlineStr">
        <is>
          <t>0000-703-010</t>
        </is>
      </c>
      <c r="C70" t="inlineStr"/>
      <c r="D70" s="1" t="inlineStr">
        <is>
          <t>BÖ-168-020</t>
        </is>
      </c>
      <c r="F70" s="1" t="inlineStr">
        <is>
          <t>Purchased</t>
        </is>
      </c>
      <c r="G70" s="1" t="inlineStr">
        <is>
          <t>Collar - DN150/PN10-EN1092-1 Typ37</t>
        </is>
      </c>
      <c r="H70" s="1" t="inlineStr">
        <is>
          <t>SS 1.4571 - AISI 316Ti</t>
        </is>
      </c>
      <c r="J70" s="1" t="n">
        <v>15</v>
      </c>
      <c r="K70" t="n">
        <v>15</v>
      </c>
      <c r="O70" s="1" t="inlineStr">
        <is>
          <t>Standard Fittings</t>
        </is>
      </c>
      <c r="P70" t="inlineStr">
        <is>
          <t>Not available</t>
        </is>
      </c>
    </row>
    <row r="71" ht="68.25" customHeight="1">
      <c r="A71" s="1" t="inlineStr">
        <is>
          <t>3.3</t>
        </is>
      </c>
      <c r="B71" s="1" t="inlineStr">
        <is>
          <t>0000-703-020</t>
        </is>
      </c>
      <c r="C71" t="inlineStr"/>
      <c r="F71" s="1" t="inlineStr">
        <is>
          <t>Purchased</t>
        </is>
      </c>
      <c r="G71" s="1" t="inlineStr">
        <is>
          <t>Pressed Flange - DN150-PN10/16 - EN 1092-1 Typ 02</t>
        </is>
      </c>
      <c r="H71" s="1" t="inlineStr">
        <is>
          <t>SS 1.4301 - AISI 304</t>
        </is>
      </c>
      <c r="J71" s="1" t="n">
        <v>15</v>
      </c>
      <c r="K71" t="n">
        <v>15</v>
      </c>
      <c r="O71" s="1" t="inlineStr">
        <is>
          <t>Standard Fittings</t>
        </is>
      </c>
      <c r="P71" t="inlineStr">
        <is>
          <t>Not available</t>
        </is>
      </c>
    </row>
    <row r="72">
      <c r="A72" s="1" t="inlineStr">
        <is>
          <t>3.6</t>
        </is>
      </c>
      <c r="B72" s="1" t="inlineStr">
        <is>
          <t>0000-703-022</t>
        </is>
      </c>
      <c r="C72" t="inlineStr"/>
      <c r="D72" s="1" t="inlineStr">
        <is>
          <t>BF-150-000</t>
        </is>
      </c>
      <c r="E72" s="1" t="inlineStr">
        <is>
          <t>(NULL)</t>
        </is>
      </c>
      <c r="F72" s="1" t="inlineStr">
        <is>
          <t>Purchased</t>
        </is>
      </c>
      <c r="G72" s="1" t="inlineStr">
        <is>
          <t>Blind Flange - DN150 - PN10/16 - EN 1092-1 Typ 05</t>
        </is>
      </c>
      <c r="H72" s="1" t="inlineStr">
        <is>
          <t>SS 1.4571 - AISI 316Ti</t>
        </is>
      </c>
      <c r="J72" s="1" t="n">
        <v>2</v>
      </c>
      <c r="K72" t="n">
        <v>2</v>
      </c>
      <c r="O72" s="1" t="inlineStr">
        <is>
          <t>Standard Fittings</t>
        </is>
      </c>
      <c r="P72" t="inlineStr">
        <is>
          <t>Not available</t>
        </is>
      </c>
    </row>
    <row r="73">
      <c r="A73" s="1" t="inlineStr">
        <is>
          <t>3.7</t>
        </is>
      </c>
      <c r="B73" s="1" t="inlineStr">
        <is>
          <t>0000-703-040</t>
        </is>
      </c>
      <c r="C73" t="inlineStr"/>
      <c r="D73" s="1" t="inlineStr">
        <is>
          <t>TR-168-030</t>
        </is>
      </c>
      <c r="E73" s="1" t="inlineStr">
        <is>
          <t>(NULL)</t>
        </is>
      </c>
      <c r="F73" s="1" t="inlineStr">
        <is>
          <t>Purchased</t>
        </is>
      </c>
      <c r="G73" s="1" t="inlineStr">
        <is>
          <t>Tee Equal - DN150 - Ø168,3x2,6 - EN10253-4</t>
        </is>
      </c>
      <c r="H73" s="1" t="inlineStr">
        <is>
          <t>SS 1.4301 - AISI 304</t>
        </is>
      </c>
      <c r="J73" s="1" t="n">
        <v>4</v>
      </c>
      <c r="K73" t="n">
        <v>4</v>
      </c>
      <c r="O73" s="1" t="inlineStr">
        <is>
          <t>Standard Fittings</t>
        </is>
      </c>
      <c r="P73" t="inlineStr">
        <is>
          <t>Not available</t>
        </is>
      </c>
    </row>
    <row r="74" ht="68.25" customHeight="1">
      <c r="A74" s="1" t="inlineStr">
        <is>
          <t>3.8</t>
        </is>
      </c>
      <c r="B74" s="1" t="inlineStr">
        <is>
          <t>0000-703-030</t>
        </is>
      </c>
      <c r="C74" t="inlineStr"/>
      <c r="D74" s="1" t="inlineStr">
        <is>
          <t>BO-168-026</t>
        </is>
      </c>
      <c r="F74" s="1" t="inlineStr">
        <is>
          <t>Purchased</t>
        </is>
      </c>
      <c r="G74" s="1" t="inlineStr">
        <is>
          <t>Elbow 90° - DN150 Ø168,3x2,6 - Type3-R229 - DIN2605</t>
        </is>
      </c>
      <c r="H74" s="1" t="inlineStr">
        <is>
          <t>SS 1.4301 - AISI 304</t>
        </is>
      </c>
      <c r="J74" s="1" t="n">
        <v>2</v>
      </c>
      <c r="K74" t="n">
        <v>2</v>
      </c>
      <c r="O74" s="1" t="inlineStr">
        <is>
          <t>Standard Fittings</t>
        </is>
      </c>
      <c r="P74" t="inlineStr">
        <is>
          <t>Not available</t>
        </is>
      </c>
    </row>
    <row r="75" ht="68.25" customHeight="1">
      <c r="A75" s="1" t="inlineStr">
        <is>
          <t>3.10</t>
        </is>
      </c>
      <c r="B75" s="1" t="inlineStr">
        <is>
          <t>0000-703-060</t>
        </is>
      </c>
      <c r="C75" t="inlineStr"/>
      <c r="D75" s="1" t="inlineStr">
        <is>
          <t>AN-200-100</t>
        </is>
      </c>
      <c r="F75" s="1" t="inlineStr">
        <is>
          <t>Purchased</t>
        </is>
      </c>
      <c r="G75" s="1" t="inlineStr">
        <is>
          <t>Welding Nipple - 2'' DN50xL100 - EN10241</t>
        </is>
      </c>
      <c r="H75" s="1" t="inlineStr">
        <is>
          <t>SS 1.4571 - AISI 316Ti</t>
        </is>
      </c>
      <c r="J75" s="1" t="n">
        <v>1</v>
      </c>
      <c r="K75" t="n">
        <v>1</v>
      </c>
      <c r="O75" s="1" t="inlineStr">
        <is>
          <t>Standard Fittings</t>
        </is>
      </c>
      <c r="P75" t="inlineStr">
        <is>
          <t>Not available</t>
        </is>
      </c>
    </row>
    <row r="76" ht="68.25" customHeight="1">
      <c r="A76" s="1" t="inlineStr">
        <is>
          <t>3.11</t>
        </is>
      </c>
      <c r="B76" s="1" t="inlineStr">
        <is>
          <t>0000-750-016</t>
        </is>
      </c>
      <c r="C76" t="inlineStr"/>
      <c r="F76" s="1" t="inlineStr">
        <is>
          <t>Purchased</t>
        </is>
      </c>
      <c r="G76" s="1" t="inlineStr">
        <is>
          <t>Compensator - DN150-PN10 - Type 50 NBR</t>
        </is>
      </c>
      <c r="H76" s="1" t="inlineStr">
        <is>
          <t>-</t>
        </is>
      </c>
      <c r="J76" s="1" t="n">
        <v>2</v>
      </c>
      <c r="K76" t="n">
        <v>2</v>
      </c>
      <c r="O76" s="1" t="inlineStr">
        <is>
          <t>Mechanical Components</t>
        </is>
      </c>
      <c r="P76" t="inlineStr">
        <is>
          <t>Not available</t>
        </is>
      </c>
    </row>
    <row r="77" ht="68.25" customHeight="1">
      <c r="A77" s="1" t="inlineStr">
        <is>
          <t>3.12</t>
        </is>
      </c>
      <c r="B77" s="1" t="inlineStr">
        <is>
          <t>0000-754-010</t>
        </is>
      </c>
      <c r="C77" t="inlineStr"/>
      <c r="F77" s="1" t="inlineStr">
        <is>
          <t>Purchased</t>
        </is>
      </c>
      <c r="G77" s="1" t="inlineStr">
        <is>
          <t>Cantilever Arm - MT-BR-40 OC - 300mm</t>
        </is>
      </c>
      <c r="H77" s="1" t="inlineStr">
        <is>
          <t>Steel, Galv.</t>
        </is>
      </c>
      <c r="J77" s="1" t="n">
        <v>3</v>
      </c>
      <c r="K77" t="n">
        <v>3</v>
      </c>
      <c r="O77" s="1" t="inlineStr">
        <is>
          <t>Modular support systems - Hilti</t>
        </is>
      </c>
      <c r="P77" t="inlineStr">
        <is>
          <t>Not available</t>
        </is>
      </c>
    </row>
    <row r="78" ht="68.25" customHeight="1">
      <c r="A78" s="1" t="inlineStr">
        <is>
          <t>3.13</t>
        </is>
      </c>
      <c r="B78" s="1" t="inlineStr">
        <is>
          <t>0000-754-030</t>
        </is>
      </c>
      <c r="C78" t="inlineStr"/>
      <c r="F78" s="1" t="inlineStr">
        <is>
          <t>Purchased</t>
        </is>
      </c>
      <c r="G78" s="1" t="inlineStr">
        <is>
          <t>Pipe clamp Heavy-Duty - Ø162-168 - MP-MRI (Sound Insulated)</t>
        </is>
      </c>
      <c r="H78" s="1" t="inlineStr">
        <is>
          <t>Steel, Galv.</t>
        </is>
      </c>
      <c r="J78" s="1" t="n">
        <v>3</v>
      </c>
      <c r="K78" t="n">
        <v>3</v>
      </c>
      <c r="O78" s="1" t="inlineStr">
        <is>
          <t>Mechanical Components</t>
        </is>
      </c>
      <c r="P78" t="inlineStr">
        <is>
          <t>Not available</t>
        </is>
      </c>
    </row>
    <row r="79" ht="68.25" customHeight="1">
      <c r="A79" s="1" t="inlineStr">
        <is>
          <t>3.14</t>
        </is>
      </c>
      <c r="B79" s="1" t="inlineStr">
        <is>
          <t>0000-754-010</t>
        </is>
      </c>
      <c r="C79" t="inlineStr"/>
      <c r="F79" s="1" t="inlineStr">
        <is>
          <t>Purchased</t>
        </is>
      </c>
      <c r="G79" s="1" t="inlineStr">
        <is>
          <t>Cantilever Arm - MT-BR-40 OC - 450mm</t>
        </is>
      </c>
      <c r="H79" s="1" t="inlineStr">
        <is>
          <t>Steel, Galv.</t>
        </is>
      </c>
      <c r="J79" s="1" t="n">
        <v>3</v>
      </c>
      <c r="K79" t="n">
        <v>3</v>
      </c>
      <c r="O79" s="1" t="inlineStr">
        <is>
          <t>Modular support systems - Hilti</t>
        </is>
      </c>
      <c r="P79" t="inlineStr">
        <is>
          <t>Not available</t>
        </is>
      </c>
    </row>
    <row r="80" ht="68.25" customHeight="1">
      <c r="A80" s="1" t="inlineStr">
        <is>
          <t>3.16</t>
        </is>
      </c>
      <c r="B80" s="1" t="inlineStr">
        <is>
          <t>0000-703-030</t>
        </is>
      </c>
      <c r="C80" t="inlineStr"/>
      <c r="D80" s="1" t="inlineStr">
        <is>
          <t>45-168-026</t>
        </is>
      </c>
      <c r="F80" s="1" t="inlineStr">
        <is>
          <t>Purchased</t>
        </is>
      </c>
      <c r="G80" s="1" t="inlineStr">
        <is>
          <t>Elbow 45° - DN150 Ø168,3x2,6 - Type3-R229 - DIN2605</t>
        </is>
      </c>
      <c r="H80" s="1" t="inlineStr">
        <is>
          <t>SS 1.4301 - AISI 304</t>
        </is>
      </c>
      <c r="J80" s="1" t="n">
        <v>1</v>
      </c>
      <c r="K80" t="n">
        <v>1</v>
      </c>
      <c r="O80" s="1" t="inlineStr">
        <is>
          <t>Standard Fittings</t>
        </is>
      </c>
      <c r="P80" t="inlineStr">
        <is>
          <t>Not available</t>
        </is>
      </c>
    </row>
    <row r="81" ht="68.25" customHeight="1">
      <c r="A81" s="1" t="inlineStr">
        <is>
          <t>4</t>
        </is>
      </c>
      <c r="B81" s="1" t="inlineStr">
        <is>
          <t>4003-02.1-BM003-02</t>
        </is>
      </c>
      <c r="C81" s="1" t="inlineStr">
        <is>
          <t>-</t>
        </is>
      </c>
      <c r="F81" s="1" t="inlineStr">
        <is>
          <t>Normal</t>
        </is>
      </c>
      <c r="G81" s="1" t="inlineStr">
        <is>
          <t>Piping from Pump to ground</t>
        </is>
      </c>
      <c r="I81" s="1" t="inlineStr">
        <is>
          <t xml:space="preserve">Area </t>
        </is>
      </c>
      <c r="J81" s="1" t="n">
        <v>1</v>
      </c>
      <c r="K81" t="n">
        <v>1</v>
      </c>
      <c r="O81" s="1" t="inlineStr">
        <is>
          <t>Project Piping</t>
        </is>
      </c>
      <c r="P81" s="2">
        <f>HYPERLINK("4003-02.1-BM003-02-- - Piping from Pump to ground.pdf","PDF")</f>
        <v/>
      </c>
    </row>
    <row r="82" ht="68.25" customHeight="1">
      <c r="A82" s="1" t="inlineStr">
        <is>
          <t>4.1</t>
        </is>
      </c>
      <c r="B82" s="1" t="inlineStr">
        <is>
          <t>4003-02.1-BM003-02-01</t>
        </is>
      </c>
      <c r="C82" s="1" t="inlineStr"/>
      <c r="D82" s="1" t="inlineStr">
        <is>
          <t>RO-114-026</t>
        </is>
      </c>
      <c r="F82" s="1" t="inlineStr">
        <is>
          <t>Normal</t>
        </is>
      </c>
      <c r="G82" s="1" t="inlineStr">
        <is>
          <t>Pipe - DN-Ø114,3x2,6 L=2518 - EN10217-7</t>
        </is>
      </c>
      <c r="H82" s="1" t="inlineStr">
        <is>
          <t>SS 1.4301 - AISI 304</t>
        </is>
      </c>
      <c r="J82" s="1" t="n">
        <v>1</v>
      </c>
      <c r="K82" t="n">
        <v>1</v>
      </c>
      <c r="L82" s="1" t="inlineStr">
        <is>
          <t>114,3</t>
        </is>
      </c>
      <c r="M82" s="1" t="inlineStr">
        <is>
          <t>2,6</t>
        </is>
      </c>
      <c r="N82" s="1" t="inlineStr">
        <is>
          <t>2518</t>
        </is>
      </c>
      <c r="O82" s="1" t="inlineStr">
        <is>
          <t>Project Piping</t>
        </is>
      </c>
      <c r="P82" t="inlineStr">
        <is>
          <t>Not available</t>
        </is>
      </c>
    </row>
    <row r="83" ht="68.25" customHeight="1">
      <c r="A83" s="1" t="inlineStr">
        <is>
          <t>4.2</t>
        </is>
      </c>
      <c r="B83" s="1" t="inlineStr">
        <is>
          <t>0000-703-020</t>
        </is>
      </c>
      <c r="C83" t="inlineStr"/>
      <c r="F83" s="1" t="inlineStr">
        <is>
          <t>Purchased</t>
        </is>
      </c>
      <c r="G83" s="1" t="inlineStr">
        <is>
          <t>Pressed Flange - DN100-PN10/16 - EN 1092-1 Typ 02</t>
        </is>
      </c>
      <c r="H83" s="1" t="inlineStr">
        <is>
          <t>SS 1.4301 - AISI 304</t>
        </is>
      </c>
      <c r="J83" s="1" t="n">
        <v>4</v>
      </c>
      <c r="K83" t="n">
        <v>4</v>
      </c>
      <c r="O83" s="1" t="inlineStr">
        <is>
          <t>Standard Fittings</t>
        </is>
      </c>
      <c r="P83" t="inlineStr">
        <is>
          <t>Not available</t>
        </is>
      </c>
    </row>
    <row r="84" ht="68.25" customHeight="1">
      <c r="A84" s="1" t="inlineStr">
        <is>
          <t>4.3</t>
        </is>
      </c>
      <c r="B84" s="1" t="inlineStr">
        <is>
          <t>0000-703-010</t>
        </is>
      </c>
      <c r="C84" t="inlineStr"/>
      <c r="D84" s="1" t="inlineStr">
        <is>
          <t>BÖ-114-026</t>
        </is>
      </c>
      <c r="F84" s="1" t="inlineStr">
        <is>
          <t>Purchased</t>
        </is>
      </c>
      <c r="G84" s="1" t="inlineStr">
        <is>
          <t>Collar - DN100/PN10-EN1092-1 Typ37</t>
        </is>
      </c>
      <c r="H84" s="1" t="inlineStr">
        <is>
          <t>SS 1.4301 - AISI 304</t>
        </is>
      </c>
      <c r="J84" s="1" t="n">
        <v>4</v>
      </c>
      <c r="K84" t="n">
        <v>4</v>
      </c>
      <c r="O84" s="1" t="inlineStr">
        <is>
          <t>Standard Fittings</t>
        </is>
      </c>
      <c r="P84" t="inlineStr">
        <is>
          <t>Not available</t>
        </is>
      </c>
    </row>
    <row r="85" ht="68.25" customHeight="1">
      <c r="A85" s="1" t="inlineStr">
        <is>
          <t>4.4</t>
        </is>
      </c>
      <c r="B85" s="1" t="inlineStr">
        <is>
          <t>0000-703-030</t>
        </is>
      </c>
      <c r="C85" t="inlineStr"/>
      <c r="D85" s="1" t="inlineStr">
        <is>
          <t>BO-114-026</t>
        </is>
      </c>
      <c r="F85" s="1" t="inlineStr">
        <is>
          <t>Purchased</t>
        </is>
      </c>
      <c r="G85" s="1" t="inlineStr">
        <is>
          <t>Elbow 90° - DN100 Ø114,3x2,6 - Type3-R152 - DIN2605</t>
        </is>
      </c>
      <c r="H85" s="1" t="inlineStr">
        <is>
          <t>SS 1.4301 - AISI 304</t>
        </is>
      </c>
      <c r="J85" s="1" t="n">
        <v>2</v>
      </c>
      <c r="K85" t="n">
        <v>2</v>
      </c>
      <c r="O85" s="1" t="inlineStr">
        <is>
          <t>Standard Fittings</t>
        </is>
      </c>
      <c r="P85" t="inlineStr">
        <is>
          <t>Not available</t>
        </is>
      </c>
    </row>
    <row r="86" ht="68.25" customHeight="1">
      <c r="A86" s="1" t="inlineStr">
        <is>
          <t>4.7</t>
        </is>
      </c>
      <c r="B86" s="1" t="inlineStr">
        <is>
          <t>0000-703-065</t>
        </is>
      </c>
      <c r="C86" t="inlineStr"/>
      <c r="F86" s="1" t="inlineStr">
        <is>
          <t>Purchased</t>
        </is>
      </c>
      <c r="G86" s="1" t="inlineStr">
        <is>
          <t>Socket - 1½'' - DIN EN 10241</t>
        </is>
      </c>
      <c r="H86" s="1" t="inlineStr">
        <is>
          <t>SS 1.4571 - AISI 316Ti</t>
        </is>
      </c>
      <c r="J86" s="1" t="n">
        <v>1</v>
      </c>
      <c r="K86" t="n">
        <v>1</v>
      </c>
      <c r="O86" s="1" t="inlineStr">
        <is>
          <t>Standard Fittings</t>
        </is>
      </c>
      <c r="P86" t="inlineStr">
        <is>
          <t>Not available</t>
        </is>
      </c>
    </row>
    <row r="87" ht="68.25" customHeight="1">
      <c r="A87" s="1" t="inlineStr">
        <is>
          <t>4.9</t>
        </is>
      </c>
      <c r="B87" s="1" t="inlineStr">
        <is>
          <t>0000-703-060</t>
        </is>
      </c>
      <c r="C87" t="inlineStr"/>
      <c r="D87" s="1" t="inlineStr">
        <is>
          <t>AN-200-100</t>
        </is>
      </c>
      <c r="F87" s="1" t="inlineStr">
        <is>
          <t>Purchased</t>
        </is>
      </c>
      <c r="G87" s="1" t="inlineStr">
        <is>
          <t>Welding Nipple - 2'' DN50xL100 - EN10241</t>
        </is>
      </c>
      <c r="H87" s="1" t="inlineStr">
        <is>
          <t>SS 1.4571 - AISI 316Ti</t>
        </is>
      </c>
      <c r="J87" s="1" t="n">
        <v>1</v>
      </c>
      <c r="K87" t="n">
        <v>1</v>
      </c>
      <c r="O87" s="1" t="inlineStr">
        <is>
          <t>Standard Fittings</t>
        </is>
      </c>
      <c r="P87" t="inlineStr">
        <is>
          <t>Not available</t>
        </is>
      </c>
    </row>
    <row r="88" ht="68.25" customHeight="1">
      <c r="A88" s="1" t="inlineStr">
        <is>
          <t>4.10</t>
        </is>
      </c>
      <c r="B88" s="1" t="inlineStr">
        <is>
          <t>0000-321-015</t>
        </is>
      </c>
      <c r="C88" s="1" t="inlineStr">
        <is>
          <t>-</t>
        </is>
      </c>
      <c r="F88" s="1" t="inlineStr">
        <is>
          <t>Normal</t>
        </is>
      </c>
      <c r="G88" s="1" t="inlineStr">
        <is>
          <t>SC-MPTK-80 - DN100_PN10 - BM</t>
        </is>
      </c>
      <c r="H88" s="1" t="inlineStr">
        <is>
          <t>SS 1.4301 - AISI 304</t>
        </is>
      </c>
      <c r="J88" s="1" t="n">
        <v>1</v>
      </c>
      <c r="K88" t="n">
        <v>1</v>
      </c>
      <c r="O88" s="1" t="inlineStr">
        <is>
          <t>Basic Component</t>
        </is>
      </c>
      <c r="P88" s="2">
        <f>HYPERLINK("0000-321-015-- - SC-MPTK-80 - DN100_PN10 - BM.pdf","PDF")</f>
        <v/>
      </c>
    </row>
    <row r="89" ht="68.25" customHeight="1">
      <c r="A89" s="1" t="inlineStr">
        <is>
          <t>4.11</t>
        </is>
      </c>
      <c r="B89" s="1" t="inlineStr">
        <is>
          <t>0000-754-002</t>
        </is>
      </c>
      <c r="C89" t="inlineStr"/>
      <c r="F89" s="1" t="inlineStr">
        <is>
          <t>Purchased</t>
        </is>
      </c>
      <c r="G89" s="1" t="inlineStr">
        <is>
          <t>Double Strut channel MT-40 S OC</t>
        </is>
      </c>
      <c r="H89" s="1" t="inlineStr">
        <is>
          <t>Steel, Galv.</t>
        </is>
      </c>
      <c r="J89" s="1" t="n">
        <v>1</v>
      </c>
      <c r="K89" t="n">
        <v>1</v>
      </c>
      <c r="O89" s="1" t="inlineStr">
        <is>
          <t>Modular support systems - Hilti</t>
        </is>
      </c>
      <c r="P89" t="inlineStr">
        <is>
          <t>Not available</t>
        </is>
      </c>
    </row>
    <row r="90" ht="68.25" customHeight="1">
      <c r="A90" s="1" t="inlineStr">
        <is>
          <t>4.12</t>
        </is>
      </c>
      <c r="B90" s="1" t="inlineStr">
        <is>
          <t>0000-754-010</t>
        </is>
      </c>
      <c r="C90" t="inlineStr"/>
      <c r="F90" s="1" t="inlineStr">
        <is>
          <t>Purchased</t>
        </is>
      </c>
      <c r="G90" s="1" t="inlineStr">
        <is>
          <t>Cantilever Arm - MT-BR-40 OC - 300mm</t>
        </is>
      </c>
      <c r="H90" s="1" t="inlineStr">
        <is>
          <t>Steel, Galv.</t>
        </is>
      </c>
      <c r="J90" s="1" t="n">
        <v>1</v>
      </c>
      <c r="K90" t="n">
        <v>1</v>
      </c>
      <c r="O90" s="1" t="inlineStr">
        <is>
          <t>Modular support systems - Hilti</t>
        </is>
      </c>
      <c r="P90" t="inlineStr">
        <is>
          <t>Not available</t>
        </is>
      </c>
    </row>
    <row r="91" ht="68.25" customHeight="1">
      <c r="A91" s="1" t="inlineStr">
        <is>
          <t>4.13</t>
        </is>
      </c>
      <c r="B91" s="1" t="inlineStr">
        <is>
          <t>0000-754-012</t>
        </is>
      </c>
      <c r="C91" t="inlineStr"/>
      <c r="F91" s="1" t="inlineStr">
        <is>
          <t>Purchased</t>
        </is>
      </c>
      <c r="G91" s="1" t="inlineStr">
        <is>
          <t>Base Plate - MT-B-O4 OC</t>
        </is>
      </c>
      <c r="H91" s="1" t="inlineStr">
        <is>
          <t>Steel, Galv.</t>
        </is>
      </c>
      <c r="J91" s="1" t="n">
        <v>1</v>
      </c>
      <c r="K91" t="n">
        <v>1</v>
      </c>
      <c r="O91" s="1" t="inlineStr">
        <is>
          <t>Modular support systems - Hilti</t>
        </is>
      </c>
      <c r="P91" t="inlineStr">
        <is>
          <t>Not available</t>
        </is>
      </c>
    </row>
    <row r="92" ht="68.25" customHeight="1">
      <c r="A92" s="1" t="inlineStr">
        <is>
          <t>4.14</t>
        </is>
      </c>
      <c r="B92" s="1" t="inlineStr">
        <is>
          <t>0000-754-030</t>
        </is>
      </c>
      <c r="C92" t="inlineStr"/>
      <c r="F92" s="1" t="inlineStr">
        <is>
          <t>Purchased</t>
        </is>
      </c>
      <c r="G92" s="1" t="inlineStr">
        <is>
          <t>Pipe clamp Heavy-Duty - Ø108-114 - MP-MRI (Sound Insulated)</t>
        </is>
      </c>
      <c r="H92" s="1" t="inlineStr">
        <is>
          <t>Steel, Galv.</t>
        </is>
      </c>
      <c r="J92" s="1" t="n">
        <v>1</v>
      </c>
      <c r="K92" t="n">
        <v>1</v>
      </c>
      <c r="O92" s="1" t="inlineStr">
        <is>
          <t>Mechanical Components</t>
        </is>
      </c>
      <c r="P92" t="inlineStr">
        <is>
          <t>Not available</t>
        </is>
      </c>
    </row>
    <row r="93" ht="68.25" customHeight="1">
      <c r="A93" s="1" t="inlineStr">
        <is>
          <t>4.16</t>
        </is>
      </c>
      <c r="B93" s="1" t="inlineStr">
        <is>
          <t>0000-703-060</t>
        </is>
      </c>
      <c r="C93" t="inlineStr"/>
      <c r="D93" s="1" t="inlineStr">
        <is>
          <t>AN-112-100</t>
        </is>
      </c>
      <c r="F93" s="1" t="inlineStr">
        <is>
          <t>Purchased</t>
        </is>
      </c>
      <c r="G93" s="1" t="inlineStr">
        <is>
          <t>Welding Nipple - 1 ½'' DN40xL100 - EN10241</t>
        </is>
      </c>
      <c r="H93" s="1" t="inlineStr">
        <is>
          <t>SS 1.4571 - AISI 316Ti</t>
        </is>
      </c>
      <c r="J93" s="1" t="n">
        <v>1</v>
      </c>
      <c r="K93" t="n">
        <v>1</v>
      </c>
      <c r="O93" s="1" t="inlineStr">
        <is>
          <t>Standard Fittings</t>
        </is>
      </c>
      <c r="P93" t="inlineStr">
        <is>
          <t>Not available</t>
        </is>
      </c>
    </row>
    <row r="94" ht="68.25" customHeight="1">
      <c r="A94" s="1" t="inlineStr">
        <is>
          <t>5</t>
        </is>
      </c>
      <c r="B94" s="1" t="inlineStr">
        <is>
          <t>4003-02.1-BM017-02</t>
        </is>
      </c>
      <c r="C94" s="1" t="inlineStr">
        <is>
          <t>-</t>
        </is>
      </c>
      <c r="F94" s="1" t="inlineStr">
        <is>
          <t>Normal</t>
        </is>
      </c>
      <c r="G94" s="1" t="inlineStr">
        <is>
          <t>Bypass Line</t>
        </is>
      </c>
      <c r="I94" s="1" t="inlineStr">
        <is>
          <t xml:space="preserve">Area </t>
        </is>
      </c>
      <c r="J94" s="1" t="n">
        <v>1</v>
      </c>
      <c r="K94" t="n">
        <v>1</v>
      </c>
      <c r="O94" s="1" t="inlineStr">
        <is>
          <t>Project Piping</t>
        </is>
      </c>
      <c r="P94" s="2">
        <f>HYPERLINK("4003-02.1-BM017-02-- - Bypass Line.pdf","PDF")</f>
        <v/>
      </c>
    </row>
    <row r="95" ht="68.25" customHeight="1">
      <c r="A95" s="1" t="inlineStr">
        <is>
          <t>5.1</t>
        </is>
      </c>
      <c r="B95" s="1" t="inlineStr">
        <is>
          <t>0000-703-001</t>
        </is>
      </c>
      <c r="C95" s="1" t="inlineStr"/>
      <c r="D95" s="1" t="inlineStr">
        <is>
          <t>RO-168-026</t>
        </is>
      </c>
      <c r="F95" s="1" t="inlineStr">
        <is>
          <t>Normal</t>
        </is>
      </c>
      <c r="G95" s="1" t="inlineStr">
        <is>
          <t>Pipe - DN-Ø168,3x2,6 L=9872 - EN10217-7</t>
        </is>
      </c>
      <c r="H95" s="1" t="inlineStr">
        <is>
          <t>SS 1.4301 - AISI 304</t>
        </is>
      </c>
      <c r="J95" s="1" t="n">
        <v>1</v>
      </c>
      <c r="K95" t="n">
        <v>1</v>
      </c>
      <c r="L95" s="1" t="inlineStr">
        <is>
          <t>168,3</t>
        </is>
      </c>
      <c r="M95" s="1" t="inlineStr">
        <is>
          <t>2,6</t>
        </is>
      </c>
      <c r="N95" s="1" t="inlineStr">
        <is>
          <t>8019</t>
        </is>
      </c>
      <c r="O95" s="1" t="inlineStr">
        <is>
          <t>Project Piping</t>
        </is>
      </c>
      <c r="P95" t="inlineStr">
        <is>
          <t>Not available</t>
        </is>
      </c>
    </row>
    <row r="96" ht="68.25" customHeight="1">
      <c r="A96" s="1" t="inlineStr">
        <is>
          <t>5.2</t>
        </is>
      </c>
      <c r="B96" s="1" t="inlineStr">
        <is>
          <t>0000-703-020</t>
        </is>
      </c>
      <c r="C96" t="inlineStr"/>
      <c r="F96" s="1" t="inlineStr">
        <is>
          <t>Purchased</t>
        </is>
      </c>
      <c r="G96" s="1" t="inlineStr">
        <is>
          <t>Pressed Flange - DN150-PN10/16 - EN 1092-1 Typ 02</t>
        </is>
      </c>
      <c r="H96" s="1" t="inlineStr">
        <is>
          <t>SS 1.4301 - AISI 304</t>
        </is>
      </c>
      <c r="J96" s="1" t="n">
        <v>6</v>
      </c>
      <c r="K96" t="n">
        <v>6</v>
      </c>
      <c r="O96" s="1" t="inlineStr">
        <is>
          <t>Standard Fittings</t>
        </is>
      </c>
      <c r="P96" t="inlineStr">
        <is>
          <t>Not available</t>
        </is>
      </c>
    </row>
    <row r="97" ht="68.25" customHeight="1">
      <c r="A97" s="1" t="inlineStr">
        <is>
          <t>5.3</t>
        </is>
      </c>
      <c r="B97" s="1" t="inlineStr">
        <is>
          <t>0000-703-010</t>
        </is>
      </c>
      <c r="C97" t="inlineStr"/>
      <c r="D97" s="1" t="inlineStr">
        <is>
          <t>BÖ-168-020</t>
        </is>
      </c>
      <c r="F97" s="1" t="inlineStr">
        <is>
          <t>Purchased</t>
        </is>
      </c>
      <c r="G97" s="1" t="inlineStr">
        <is>
          <t>Collar - DN150/PN10-EN1092-1 Typ37</t>
        </is>
      </c>
      <c r="H97" s="1" t="inlineStr">
        <is>
          <t>SS 1.4571 - AISI 316Ti</t>
        </is>
      </c>
      <c r="J97" s="1" t="n">
        <v>6</v>
      </c>
      <c r="K97" t="n">
        <v>6</v>
      </c>
      <c r="O97" s="1" t="inlineStr">
        <is>
          <t>Standard Fittings</t>
        </is>
      </c>
      <c r="P97" t="inlineStr">
        <is>
          <t>Not available</t>
        </is>
      </c>
    </row>
    <row r="98">
      <c r="A98" s="1" t="inlineStr">
        <is>
          <t>5.5</t>
        </is>
      </c>
      <c r="B98" s="1" t="inlineStr">
        <is>
          <t>0000-703-040</t>
        </is>
      </c>
      <c r="C98" t="inlineStr"/>
      <c r="D98" s="1" t="inlineStr">
        <is>
          <t>TR-168-030</t>
        </is>
      </c>
      <c r="E98" s="1" t="inlineStr">
        <is>
          <t>(NULL)</t>
        </is>
      </c>
      <c r="F98" s="1" t="inlineStr">
        <is>
          <t>Purchased</t>
        </is>
      </c>
      <c r="G98" s="1" t="inlineStr">
        <is>
          <t>Tee Equal - DN150 - Ø168,3x2,6 - EN10253-4</t>
        </is>
      </c>
      <c r="H98" s="1" t="inlineStr">
        <is>
          <t>SS 1.4301 - AISI 304</t>
        </is>
      </c>
      <c r="J98" s="1" t="n">
        <v>1</v>
      </c>
      <c r="K98" t="n">
        <v>1</v>
      </c>
      <c r="O98" s="1" t="inlineStr">
        <is>
          <t>Standard Fittings</t>
        </is>
      </c>
      <c r="P98" t="inlineStr">
        <is>
          <t>Not available</t>
        </is>
      </c>
    </row>
    <row r="99" ht="68.25" customHeight="1">
      <c r="A99" s="1" t="inlineStr">
        <is>
          <t>5.6</t>
        </is>
      </c>
      <c r="B99" s="1" t="inlineStr">
        <is>
          <t>0000-703-030</t>
        </is>
      </c>
      <c r="C99" t="inlineStr"/>
      <c r="D99" s="1" t="inlineStr">
        <is>
          <t>BO-168-026</t>
        </is>
      </c>
      <c r="F99" s="1" t="inlineStr">
        <is>
          <t>Purchased</t>
        </is>
      </c>
      <c r="G99" s="1" t="inlineStr">
        <is>
          <t>Elbow 90° - DN150 Ø168,3x2,6 - Type3-R229 - DIN2605</t>
        </is>
      </c>
      <c r="H99" s="1" t="inlineStr">
        <is>
          <t>SS 1.4301 - AISI 304</t>
        </is>
      </c>
      <c r="J99" s="1" t="n">
        <v>2</v>
      </c>
      <c r="K99" t="n">
        <v>2</v>
      </c>
      <c r="O99" s="1" t="inlineStr">
        <is>
          <t>Standard Fittings</t>
        </is>
      </c>
      <c r="P99" t="inlineStr">
        <is>
          <t>Not available</t>
        </is>
      </c>
    </row>
    <row r="100" ht="68.25" customHeight="1">
      <c r="A100" s="1" t="inlineStr">
        <is>
          <t>5.8</t>
        </is>
      </c>
      <c r="B100" s="1" t="inlineStr">
        <is>
          <t>0000-703-060</t>
        </is>
      </c>
      <c r="C100" t="inlineStr"/>
      <c r="D100" s="1" t="inlineStr">
        <is>
          <t>AN-200-100</t>
        </is>
      </c>
      <c r="F100" s="1" t="inlineStr">
        <is>
          <t>Purchased</t>
        </is>
      </c>
      <c r="G100" s="1" t="inlineStr">
        <is>
          <t>Welding Nipple - 2'' DN50xL100 - EN10241</t>
        </is>
      </c>
      <c r="H100" s="1" t="inlineStr">
        <is>
          <t>SS 1.4571 - AISI 316Ti</t>
        </is>
      </c>
      <c r="J100" s="1" t="n">
        <v>2</v>
      </c>
      <c r="K100" t="n">
        <v>2</v>
      </c>
      <c r="O100" s="1" t="inlineStr">
        <is>
          <t>Standard Fittings</t>
        </is>
      </c>
      <c r="P100" t="inlineStr">
        <is>
          <t>Not available</t>
        </is>
      </c>
    </row>
    <row r="101" ht="68.25" customHeight="1">
      <c r="A101" s="1" t="inlineStr">
        <is>
          <t>6</t>
        </is>
      </c>
      <c r="B101" s="1" t="inlineStr">
        <is>
          <t>4003-03-PS28</t>
        </is>
      </c>
      <c r="C101" s="1" t="inlineStr">
        <is>
          <t>-</t>
        </is>
      </c>
      <c r="F101" s="1" t="inlineStr">
        <is>
          <t>Normal</t>
        </is>
      </c>
      <c r="I101" s="1" t="inlineStr">
        <is>
          <t xml:space="preserve">Area </t>
        </is>
      </c>
      <c r="J101" s="1" t="n">
        <v>2</v>
      </c>
      <c r="K101" t="n">
        <v>2</v>
      </c>
      <c r="O101" s="1" t="inlineStr">
        <is>
          <t>Project Specific Parts</t>
        </is>
      </c>
      <c r="P101" s="2">
        <f>HYPERLINK("4003-03-PS28-- - .pdf","PDF")</f>
        <v/>
      </c>
    </row>
    <row r="102" ht="68.25" customHeight="1">
      <c r="A102" s="1" t="inlineStr">
        <is>
          <t>6.1</t>
        </is>
      </c>
      <c r="B102" s="1" t="inlineStr">
        <is>
          <t>0000-754-002</t>
        </is>
      </c>
      <c r="C102" t="inlineStr"/>
      <c r="D102" s="1" t="inlineStr">
        <is>
          <t>2268490</t>
        </is>
      </c>
      <c r="F102" s="1" t="inlineStr">
        <is>
          <t>Purchased</t>
        </is>
      </c>
      <c r="G102" s="1" t="inlineStr">
        <is>
          <t>Heavy Duty Strut channel MT-100-S OC - 3000mm</t>
        </is>
      </c>
      <c r="H102" s="1" t="inlineStr">
        <is>
          <t>Steel, Galv.</t>
        </is>
      </c>
      <c r="J102" s="1" t="n">
        <v>3</v>
      </c>
      <c r="K102" t="n">
        <v>6</v>
      </c>
      <c r="O102" s="1" t="inlineStr">
        <is>
          <t>Modular support systems - Hilti</t>
        </is>
      </c>
      <c r="P102" t="inlineStr">
        <is>
          <t>Not available</t>
        </is>
      </c>
    </row>
    <row r="103" ht="68.25" customHeight="1">
      <c r="A103" s="1" t="inlineStr">
        <is>
          <t>6.2</t>
        </is>
      </c>
      <c r="B103" s="1" t="inlineStr">
        <is>
          <t>0000-754-010</t>
        </is>
      </c>
      <c r="C103" t="inlineStr"/>
      <c r="F103" s="1" t="inlineStr">
        <is>
          <t>Normal</t>
        </is>
      </c>
      <c r="G103" s="1" t="inlineStr">
        <is>
          <t>Angle Bracket MT-C-GL A OC</t>
        </is>
      </c>
      <c r="H103" s="1" t="inlineStr">
        <is>
          <t>Steel, Galv.</t>
        </is>
      </c>
      <c r="I103" s="1" t="inlineStr">
        <is>
          <t xml:space="preserve">Area </t>
        </is>
      </c>
      <c r="J103" s="1" t="n">
        <v>2</v>
      </c>
      <c r="K103" t="n">
        <v>4</v>
      </c>
      <c r="O103" s="1" t="inlineStr">
        <is>
          <t>Modular support systems - Hilti</t>
        </is>
      </c>
      <c r="P103" t="inlineStr">
        <is>
          <t>Not available</t>
        </is>
      </c>
    </row>
    <row r="104" ht="68.25" customHeight="1">
      <c r="A104" s="1" t="inlineStr">
        <is>
          <t>6.3</t>
        </is>
      </c>
      <c r="B104" s="1" t="inlineStr">
        <is>
          <t>0000-754-012</t>
        </is>
      </c>
      <c r="C104" t="inlineStr"/>
      <c r="D104" s="1" t="inlineStr">
        <is>
          <t>2272104</t>
        </is>
      </c>
      <c r="F104" s="1" t="inlineStr">
        <is>
          <t>Purchased</t>
        </is>
      </c>
      <c r="G104" s="1" t="inlineStr">
        <is>
          <t>Heavy Duty Baseplate - MT-B-GXL 04 OC</t>
        </is>
      </c>
      <c r="H104" s="1" t="inlineStr">
        <is>
          <t>Steel, Galv.</t>
        </is>
      </c>
      <c r="J104" s="1" t="n">
        <v>1</v>
      </c>
      <c r="K104" t="n">
        <v>2</v>
      </c>
      <c r="O104" s="1" t="inlineStr">
        <is>
          <t>Modular support systems - Hilti</t>
        </is>
      </c>
      <c r="P104" t="inlineStr">
        <is>
          <t>Not available</t>
        </is>
      </c>
    </row>
    <row r="105" ht="68.25" customHeight="1">
      <c r="A105" s="1" t="inlineStr">
        <is>
          <t>6.4</t>
        </is>
      </c>
      <c r="B105" s="1" t="inlineStr">
        <is>
          <t>0000-754-030</t>
        </is>
      </c>
      <c r="C105" t="inlineStr"/>
      <c r="F105" s="1" t="inlineStr">
        <is>
          <t>Purchased</t>
        </is>
      </c>
      <c r="G105" s="1" t="inlineStr">
        <is>
          <t>Pipe clamp Heavy-Duty - Ø162-168 - MP-MRI (Sound Insulated)</t>
        </is>
      </c>
      <c r="H105" s="1" t="inlineStr">
        <is>
          <t>Steel, Galv.</t>
        </is>
      </c>
      <c r="J105" s="1" t="n">
        <v>2</v>
      </c>
      <c r="K105" t="n">
        <v>4</v>
      </c>
      <c r="O105" s="1" t="inlineStr">
        <is>
          <t>Mechanical Components</t>
        </is>
      </c>
      <c r="P105" t="inlineStr">
        <is>
          <t>Not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2025-03-26T19:33:25Z</dcterms:created>
  <dcterms:modified xsi:type="dcterms:W3CDTF">2025-03-26T19:33:25Z</dcterms:modified>
  <cp:lastModifiedBy>Jesper Lund Hansen</cp:lastModifiedBy>
</cp:coreProperties>
</file>