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Denne_projektmappe"/>
  <mc:AlternateContent xmlns:mc="http://schemas.openxmlformats.org/markup-compatibility/2006">
    <mc:Choice Requires="x15">
      <x15ac:absPath xmlns:x15ac="http://schemas.microsoft.com/office/spreadsheetml/2010/11/ac" url="C:\Users\Jesper\Documents\Code\"/>
    </mc:Choice>
  </mc:AlternateContent>
  <xr:revisionPtr revIDLastSave="0" documentId="13_ncr:1_{41F401D9-0D8C-457E-951C-BD9FC027FAAF}" xr6:coauthVersionLast="45" xr6:coauthVersionMax="45" xr10:uidLastSave="{00000000-0000-0000-0000-000000000000}"/>
  <bookViews>
    <workbookView xWindow="-120" yWindow="-120" windowWidth="29040" windowHeight="1764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11" i="1" l="1"/>
  <c r="J1504" i="1"/>
  <c r="J1503" i="1"/>
  <c r="J1502" i="1"/>
  <c r="J1500" i="1"/>
  <c r="J1499" i="1"/>
  <c r="J1498" i="1"/>
  <c r="J1497" i="1"/>
  <c r="J1496" i="1"/>
  <c r="J1494" i="1"/>
  <c r="J1493" i="1"/>
  <c r="J1492" i="1"/>
  <c r="J1491" i="1"/>
  <c r="J1490" i="1"/>
  <c r="J1489" i="1"/>
  <c r="J1488" i="1"/>
  <c r="J1473" i="1"/>
  <c r="J1471" i="1"/>
  <c r="J1470" i="1"/>
  <c r="J1469" i="1"/>
  <c r="J1468" i="1"/>
  <c r="J1465" i="1"/>
  <c r="J1464" i="1"/>
  <c r="J1463" i="1"/>
  <c r="J1462" i="1"/>
  <c r="J1448" i="1"/>
  <c r="J1447" i="1"/>
  <c r="J1434" i="1"/>
  <c r="J1433" i="1"/>
  <c r="J1432" i="1"/>
  <c r="J1430" i="1"/>
  <c r="J1429" i="1"/>
  <c r="J1428" i="1"/>
  <c r="J1427" i="1"/>
  <c r="J1426" i="1"/>
  <c r="J1424" i="1"/>
  <c r="J1423" i="1"/>
  <c r="J1422" i="1"/>
  <c r="J1421" i="1"/>
  <c r="J1420" i="1"/>
  <c r="J1419" i="1"/>
  <c r="J1418" i="1"/>
  <c r="J1413" i="1"/>
  <c r="J1411" i="1"/>
  <c r="J1410" i="1"/>
  <c r="J1409" i="1"/>
  <c r="J1408" i="1"/>
  <c r="J1405" i="1"/>
  <c r="J1404" i="1"/>
  <c r="J1403" i="1"/>
  <c r="J1402" i="1"/>
  <c r="J1388" i="1"/>
  <c r="J1387" i="1"/>
  <c r="J1374" i="1"/>
  <c r="J1368" i="1"/>
  <c r="J1367" i="1"/>
  <c r="J1366" i="1"/>
  <c r="J1363" i="1"/>
  <c r="J1362" i="1"/>
  <c r="J1361" i="1"/>
  <c r="J1360" i="1"/>
  <c r="J1359" i="1"/>
  <c r="J1357" i="1"/>
  <c r="J1356" i="1"/>
  <c r="J1355" i="1"/>
  <c r="J1354" i="1"/>
  <c r="J1353" i="1"/>
  <c r="J1352" i="1"/>
  <c r="J1351" i="1"/>
  <c r="J1336" i="1"/>
  <c r="J1334" i="1"/>
  <c r="J1333" i="1"/>
  <c r="J1332" i="1"/>
  <c r="J1331" i="1"/>
  <c r="J1328" i="1"/>
  <c r="J1327" i="1"/>
  <c r="J1326" i="1"/>
  <c r="J1325" i="1"/>
  <c r="J1311" i="1"/>
  <c r="J1310" i="1"/>
  <c r="J1297" i="1"/>
  <c r="J1296" i="1"/>
  <c r="J1295" i="1"/>
  <c r="J1292" i="1"/>
  <c r="J1291" i="1"/>
  <c r="J1290" i="1"/>
  <c r="J1289" i="1"/>
  <c r="J1288" i="1"/>
  <c r="J1286" i="1"/>
  <c r="J1285" i="1"/>
  <c r="J1284" i="1"/>
  <c r="J1283" i="1"/>
  <c r="J1282" i="1"/>
  <c r="J1281" i="1"/>
  <c r="J1280" i="1"/>
  <c r="J1275" i="1"/>
  <c r="J1273" i="1"/>
  <c r="J1272" i="1"/>
  <c r="J1269" i="1"/>
  <c r="J1268" i="1"/>
  <c r="J1265" i="1"/>
  <c r="J1264" i="1"/>
  <c r="J1263" i="1"/>
  <c r="J1262" i="1"/>
  <c r="J1248" i="1"/>
  <c r="J1247" i="1"/>
  <c r="J1244" i="1"/>
  <c r="J1231" i="1"/>
  <c r="J1230" i="1"/>
  <c r="J1229" i="1"/>
  <c r="J1227" i="1"/>
  <c r="J1226" i="1"/>
  <c r="J1225" i="1"/>
  <c r="J1224" i="1"/>
  <c r="J1223" i="1"/>
  <c r="J1221" i="1"/>
  <c r="J1220" i="1"/>
  <c r="J1219" i="1"/>
  <c r="J1218" i="1"/>
  <c r="J1217" i="1"/>
  <c r="J1216" i="1"/>
  <c r="J1215" i="1"/>
  <c r="J1200" i="1"/>
  <c r="J1198" i="1"/>
  <c r="J1197" i="1"/>
  <c r="J1196" i="1"/>
  <c r="J1195" i="1"/>
  <c r="J1192" i="1"/>
  <c r="J1191" i="1"/>
  <c r="J1190" i="1"/>
  <c r="J1189" i="1"/>
  <c r="J1175" i="1"/>
  <c r="J1174" i="1"/>
  <c r="J1160" i="1"/>
  <c r="J1159" i="1"/>
  <c r="J1158" i="1"/>
  <c r="J1156" i="1"/>
  <c r="J1155" i="1"/>
  <c r="J1154" i="1"/>
  <c r="J1153" i="1"/>
  <c r="J1152" i="1"/>
  <c r="J1150" i="1"/>
  <c r="J1149" i="1"/>
  <c r="J1148" i="1"/>
  <c r="J1147" i="1"/>
  <c r="J1146" i="1"/>
  <c r="J1145" i="1"/>
  <c r="J1144" i="1"/>
  <c r="J1139" i="1"/>
  <c r="J1137" i="1"/>
  <c r="J1136" i="1"/>
  <c r="J1135" i="1"/>
  <c r="J1134" i="1"/>
  <c r="J1131" i="1"/>
  <c r="J1130" i="1"/>
  <c r="J1129" i="1"/>
  <c r="J1128" i="1"/>
  <c r="J1114" i="1"/>
  <c r="J1113" i="1"/>
  <c r="J1111" i="1"/>
  <c r="J1106" i="1"/>
  <c r="J1062" i="1"/>
  <c r="J1061" i="1"/>
  <c r="J1054" i="1"/>
  <c r="J1037" i="1"/>
  <c r="J1025" i="1"/>
  <c r="J1024" i="1"/>
  <c r="J1023" i="1"/>
  <c r="J1021" i="1"/>
  <c r="J1020" i="1"/>
  <c r="J1019" i="1"/>
  <c r="J1018" i="1"/>
  <c r="J1017" i="1"/>
  <c r="J1015" i="1"/>
  <c r="J1014" i="1"/>
  <c r="J1013" i="1"/>
  <c r="J1012" i="1"/>
  <c r="J1011" i="1"/>
  <c r="J1010" i="1"/>
  <c r="J1009" i="1"/>
  <c r="J994" i="1"/>
  <c r="J992" i="1"/>
  <c r="J991" i="1"/>
  <c r="J990" i="1"/>
  <c r="J989" i="1"/>
  <c r="J986" i="1"/>
  <c r="J985" i="1"/>
  <c r="J984" i="1"/>
  <c r="J983" i="1"/>
  <c r="J969" i="1"/>
  <c r="J968" i="1"/>
  <c r="J954" i="1"/>
  <c r="J953" i="1"/>
  <c r="J952" i="1"/>
  <c r="J949" i="1"/>
  <c r="J948" i="1"/>
  <c r="J947" i="1"/>
  <c r="J946" i="1"/>
  <c r="J945" i="1"/>
  <c r="J943" i="1"/>
  <c r="J942" i="1"/>
  <c r="J941" i="1"/>
  <c r="J940" i="1"/>
  <c r="J939" i="1"/>
  <c r="J938" i="1"/>
  <c r="J937" i="1"/>
  <c r="J932" i="1"/>
  <c r="J930" i="1"/>
  <c r="J929" i="1"/>
  <c r="J926" i="1"/>
  <c r="J925" i="1"/>
  <c r="J922" i="1"/>
  <c r="J921" i="1"/>
  <c r="J920" i="1"/>
  <c r="J919" i="1"/>
  <c r="J905" i="1"/>
  <c r="J904" i="1"/>
  <c r="J884" i="1"/>
  <c r="J883" i="1"/>
  <c r="J876" i="1"/>
  <c r="J829" i="1"/>
  <c r="J824" i="1"/>
  <c r="J820" i="1"/>
  <c r="J795" i="1"/>
  <c r="J768" i="1"/>
  <c r="J763" i="1"/>
  <c r="J749" i="1"/>
  <c r="J737" i="1"/>
  <c r="J732" i="1"/>
  <c r="J727" i="1"/>
  <c r="J712" i="1"/>
  <c r="J700" i="1"/>
  <c r="J690" i="1"/>
  <c r="J676" i="1"/>
  <c r="J671" i="1"/>
  <c r="J668" i="1"/>
  <c r="J655" i="1"/>
  <c r="J650" i="1"/>
  <c r="J646" i="1"/>
  <c r="J597" i="1"/>
  <c r="J592" i="1"/>
  <c r="J587" i="1"/>
  <c r="J575" i="1"/>
  <c r="J549" i="1"/>
  <c r="J548" i="1"/>
  <c r="J540" i="1"/>
  <c r="J525" i="1"/>
  <c r="J524" i="1"/>
  <c r="J523" i="1"/>
  <c r="J521" i="1"/>
  <c r="J520" i="1"/>
  <c r="J519" i="1"/>
  <c r="J518" i="1"/>
  <c r="J517" i="1"/>
  <c r="J515" i="1"/>
  <c r="J514" i="1"/>
  <c r="J513" i="1"/>
  <c r="J512" i="1"/>
  <c r="J511" i="1"/>
  <c r="J510" i="1"/>
  <c r="J509" i="1"/>
  <c r="J494" i="1"/>
  <c r="J492" i="1"/>
  <c r="J491" i="1"/>
  <c r="J490" i="1"/>
  <c r="J489" i="1"/>
  <c r="J486" i="1"/>
  <c r="J485" i="1"/>
  <c r="J484" i="1"/>
  <c r="J483" i="1"/>
  <c r="J469" i="1"/>
  <c r="J468" i="1"/>
  <c r="J452" i="1"/>
  <c r="J451" i="1"/>
  <c r="J450" i="1"/>
  <c r="J448" i="1"/>
  <c r="J447" i="1"/>
  <c r="J446" i="1"/>
  <c r="J445" i="1"/>
  <c r="J444" i="1"/>
  <c r="J442" i="1"/>
  <c r="J441" i="1"/>
  <c r="J440" i="1"/>
  <c r="J439" i="1"/>
  <c r="J438" i="1"/>
  <c r="J437" i="1"/>
  <c r="J436" i="1"/>
  <c r="J431" i="1"/>
  <c r="J429" i="1"/>
  <c r="J428" i="1"/>
  <c r="J427" i="1"/>
  <c r="J426" i="1"/>
  <c r="J423" i="1"/>
  <c r="J422" i="1"/>
  <c r="J421" i="1"/>
  <c r="J420" i="1"/>
  <c r="J406" i="1"/>
  <c r="J405" i="1"/>
  <c r="J385" i="1"/>
  <c r="J384" i="1"/>
  <c r="J359" i="1"/>
  <c r="J346" i="1"/>
  <c r="J328" i="1"/>
  <c r="J321" i="1"/>
  <c r="J315" i="1"/>
  <c r="J302" i="1"/>
  <c r="J295" i="1"/>
  <c r="J289" i="1"/>
  <c r="J277" i="1"/>
  <c r="J243" i="1"/>
  <c r="J238" i="1"/>
  <c r="J219" i="1"/>
  <c r="J193" i="1"/>
  <c r="J192" i="1"/>
  <c r="J185" i="1"/>
  <c r="J173" i="1"/>
  <c r="J162" i="1"/>
  <c r="J161" i="1"/>
  <c r="J160" i="1"/>
  <c r="J157" i="1"/>
  <c r="J156" i="1"/>
  <c r="J155" i="1"/>
  <c r="J154" i="1"/>
  <c r="J153" i="1"/>
  <c r="J151" i="1"/>
  <c r="J150" i="1"/>
  <c r="J149" i="1"/>
  <c r="J148" i="1"/>
  <c r="J147" i="1"/>
  <c r="J146" i="1"/>
  <c r="J145" i="1"/>
  <c r="J130" i="1"/>
  <c r="J128" i="1"/>
  <c r="J127" i="1"/>
  <c r="J126" i="1"/>
  <c r="J125" i="1"/>
  <c r="J122" i="1"/>
  <c r="J121" i="1"/>
  <c r="J120" i="1"/>
  <c r="J119" i="1"/>
  <c r="J105" i="1"/>
  <c r="J104" i="1"/>
  <c r="J99" i="1"/>
  <c r="J87" i="1"/>
  <c r="J86" i="1"/>
  <c r="J85" i="1"/>
  <c r="J82" i="1"/>
  <c r="J81" i="1"/>
  <c r="J80" i="1"/>
  <c r="J79" i="1"/>
  <c r="J78" i="1"/>
  <c r="J76" i="1"/>
  <c r="J75" i="1"/>
  <c r="J74" i="1"/>
  <c r="J73" i="1"/>
  <c r="J72" i="1"/>
  <c r="J71" i="1"/>
  <c r="J70" i="1"/>
  <c r="J65" i="1"/>
  <c r="J63" i="1"/>
  <c r="J62" i="1"/>
  <c r="J59" i="1"/>
  <c r="J58" i="1"/>
  <c r="J55" i="1"/>
  <c r="J54" i="1"/>
  <c r="J53" i="1"/>
  <c r="J52" i="1"/>
  <c r="J39" i="1"/>
  <c r="J38" i="1"/>
  <c r="J11" i="1"/>
  <c r="J10" i="1"/>
  <c r="J3" i="1"/>
  <c r="J2" i="1"/>
</calcChain>
</file>

<file path=xl/sharedStrings.xml><?xml version="1.0" encoding="utf-8"?>
<sst xmlns="http://schemas.openxmlformats.org/spreadsheetml/2006/main" count="11355" uniqueCount="2605">
  <si>
    <t>Item</t>
  </si>
  <si>
    <t>Part Number</t>
  </si>
  <si>
    <t>Description</t>
  </si>
  <si>
    <t>Title</t>
  </si>
  <si>
    <t>Material</t>
  </si>
  <si>
    <t>Filename</t>
  </si>
  <si>
    <t>BOM Structure</t>
  </si>
  <si>
    <t>QTY</t>
  </si>
  <si>
    <t>REV</t>
  </si>
  <si>
    <t>Drawing on Server</t>
  </si>
  <si>
    <t>1</t>
  </si>
  <si>
    <t>2500-404-006</t>
  </si>
  <si>
    <t>Digester Area</t>
  </si>
  <si>
    <t>Area 04</t>
  </si>
  <si>
    <t>2500-404-006.iam</t>
  </si>
  <si>
    <t>Normal</t>
  </si>
  <si>
    <t>-</t>
  </si>
  <si>
    <t>1.1</t>
  </si>
  <si>
    <t>2500-04-BG062-12</t>
  </si>
  <si>
    <t>Biogas pipe - DN250 - BG</t>
  </si>
  <si>
    <t>Area 04 - Digester 12</t>
  </si>
  <si>
    <t>2500-04-BG062-12.iam</t>
  </si>
  <si>
    <t>1.1.1</t>
  </si>
  <si>
    <t>0000-703-010</t>
  </si>
  <si>
    <t>Collar - DN250/PN6 - EN 1092-1 Typ 37</t>
  </si>
  <si>
    <t>SS 1.4571 - AISI 316Ti</t>
  </si>
  <si>
    <t>Collar DN250 - PN6 EN 1092-1 Typ 37 - 1.4571.ipt</t>
  </si>
  <si>
    <t>Purchased</t>
  </si>
  <si>
    <t>Not available</t>
  </si>
  <si>
    <t>1.1.2</t>
  </si>
  <si>
    <t>0000-703-020</t>
  </si>
  <si>
    <t>Pressed Flange - DN250/PN10 - EN 1092-1 Typ 02</t>
  </si>
  <si>
    <t>SS 1.4301 - AISI 304</t>
  </si>
  <si>
    <t>Pressed Flanges - DN250 PN10 - EN 1092-1 Typ 02 - 1.4301.ipt</t>
  </si>
  <si>
    <t>1.1.3</t>
  </si>
  <si>
    <t>0000-703-001</t>
  </si>
  <si>
    <t>Pipe - DN250-Ø273,0x2,0 L=39475 - EN10217-7</t>
  </si>
  <si>
    <t>2500-04-BG033-12-01.ipt</t>
  </si>
  <si>
    <t>1.1.4</t>
  </si>
  <si>
    <t>0000-702-001</t>
  </si>
  <si>
    <t>Flowtransmitter - DN250 - GD300_HB300 - Esters</t>
  </si>
  <si>
    <t>N/A</t>
  </si>
  <si>
    <t>Flowtransmitter - GD300_HB300 - DN250 - Esters.ipt</t>
  </si>
  <si>
    <t>1.1.5</t>
  </si>
  <si>
    <t>0000-701-062</t>
  </si>
  <si>
    <t>Butterfly Valve Lug - DN250 PN16 - Z014-A</t>
  </si>
  <si>
    <t>Butterfly Valve Lug - DN250 PN16 - Z014-A - EBRO.ipt</t>
  </si>
  <si>
    <t>1.1.6</t>
  </si>
  <si>
    <t>0000-703-030</t>
  </si>
  <si>
    <t>Elbow 90° DN250 Ø273x3,0 - Type 3 R=381 - DIN2605 - 1.4571</t>
  </si>
  <si>
    <t>Elbow 90° DN250 Ø273x3,0 - Type 3 R=381 - DIN2605 - 1.4571.ipt</t>
  </si>
  <si>
    <t>1.1.7</t>
  </si>
  <si>
    <t>0000-342-285</t>
  </si>
  <si>
    <t>Top mounting-Pipe Holder DN250-Ø273</t>
  </si>
  <si>
    <t>0000-342-285.ipt</t>
  </si>
  <si>
    <t>1.1.8</t>
  </si>
  <si>
    <t>0000-342-031</t>
  </si>
  <si>
    <t>Pipe Holder DN250-Ø273</t>
  </si>
  <si>
    <t>0000-342-031.ipt</t>
  </si>
  <si>
    <t>1.1.9</t>
  </si>
  <si>
    <t>0000-322-111</t>
  </si>
  <si>
    <t>EC - DN250-PN10 - 75° - BG</t>
  </si>
  <si>
    <t>0000-322-111.ipt</t>
  </si>
  <si>
    <t>1.1.10</t>
  </si>
  <si>
    <t>Elbow 45° DN250 Ø273x3,0 - Type 3 R=381 - DIN2605 -1.4571</t>
  </si>
  <si>
    <t>Elbow 45° DN250 Ø273x3,0 - Type 3 R=381 - DIN2605 -1.4571.ipt</t>
  </si>
  <si>
    <t>1.1.11</t>
  </si>
  <si>
    <t>0000-703-052</t>
  </si>
  <si>
    <t>Reducer - DN300-DN250x3,0 - EN 10253-3</t>
  </si>
  <si>
    <t>Reducer - DN350-DN250 - EN 10253-3 - 1.4571.ipt</t>
  </si>
  <si>
    <t>1.1.12</t>
  </si>
  <si>
    <t>Collar - DN350/PN10 - EN 1092-1 Typ 37</t>
  </si>
  <si>
    <t>Collar DN350 - PN10 EN 1092-1 Typ 37 - 1.4571.ipt</t>
  </si>
  <si>
    <t>1.1.13</t>
  </si>
  <si>
    <t>Pressed Flange - DN350/PN10 - EN 1092-1 Typ 02</t>
  </si>
  <si>
    <t>Pressed Flanges - DN350 PN10 - EN 1092-1 Typ 02 - 1.4301.ipt</t>
  </si>
  <si>
    <t>1.1.14</t>
  </si>
  <si>
    <t>0000-703-060</t>
  </si>
  <si>
    <t>Welding Nipple - ½'' DN15 - EN 10241</t>
  </si>
  <si>
    <t>Welding Nipple - G½'' DN15 - EN10241 - 1.4571.ipt</t>
  </si>
  <si>
    <t>1.1.15</t>
  </si>
  <si>
    <t>0000-701-001</t>
  </si>
  <si>
    <t>Ball valve - DN15 ½" - manual - Valtor V-106</t>
  </si>
  <si>
    <t>Stainless Steel</t>
  </si>
  <si>
    <t>Ball valve - DN15 - manual - Valtor V-106.ipt</t>
  </si>
  <si>
    <t>1.2</t>
  </si>
  <si>
    <t>2500-04-TW032-12</t>
  </si>
  <si>
    <t>Tech. Water to Digester House and Top - DN32-DN15 - TW</t>
  </si>
  <si>
    <t>2500-04-TW032-12.iam</t>
  </si>
  <si>
    <t>1.2.1</t>
  </si>
  <si>
    <t>0000-710-001</t>
  </si>
  <si>
    <t>PE100 Pipe - DN32-Ø32,0xSDR17 L=20938</t>
  </si>
  <si>
    <t>PE100</t>
  </si>
  <si>
    <t>2500-04-TW032-12-01.ipt</t>
  </si>
  <si>
    <t>1.2.2</t>
  </si>
  <si>
    <t>0000-715-001</t>
  </si>
  <si>
    <t>Pipe - DN15-Ø18,0x1,0 L=1946</t>
  </si>
  <si>
    <t>SS 1.4404 - AISI 316L</t>
  </si>
  <si>
    <t>2500-04-TW032-12-02.ipt</t>
  </si>
  <si>
    <t>1.2.3</t>
  </si>
  <si>
    <t>Pipe - DN15-Ø18,0x1,0 L=3691</t>
  </si>
  <si>
    <t>2500-04-TW032-12-03.ipt</t>
  </si>
  <si>
    <t>1.2.4</t>
  </si>
  <si>
    <t>1.2.5</t>
  </si>
  <si>
    <t>0000-701-058</t>
  </si>
  <si>
    <t>Pneumatic Angle Seat Valves - DN15 - V500</t>
  </si>
  <si>
    <t>Pneumatic Angle Seat Valve - DN15 - V500.ipt</t>
  </si>
  <si>
    <t>1.2.6</t>
  </si>
  <si>
    <t>0000-701-007</t>
  </si>
  <si>
    <t>Check Valve - DN15 - Valtor YSP-800</t>
  </si>
  <si>
    <t>Check Valve - DN15 - Valtor YSP-800.ipt</t>
  </si>
  <si>
    <t>1.3</t>
  </si>
  <si>
    <t>2500-04-PA012-01</t>
  </si>
  <si>
    <t>Presurized Air pipe to top Digester - DN25 - PA</t>
  </si>
  <si>
    <t>2500-04-PA012-01.iam</t>
  </si>
  <si>
    <t>1.3.1</t>
  </si>
  <si>
    <t>Pipe - DN25-Ø28,0x1,2 L=21138</t>
  </si>
  <si>
    <t>2500-04-PA012-01-01.ipt</t>
  </si>
  <si>
    <t>1.4</t>
  </si>
  <si>
    <t>2500-04-AF034-12</t>
  </si>
  <si>
    <t>Anti Foam pipe to top Digester - DN50 - AF</t>
  </si>
  <si>
    <t>2500-04-AF034-12.iam</t>
  </si>
  <si>
    <t>1.4.1</t>
  </si>
  <si>
    <t>Pipe - DN50-Ø54,0x1,5 L=21138</t>
  </si>
  <si>
    <t>2500-04-AF034-12-01.ipt</t>
  </si>
  <si>
    <t>1.4.2</t>
  </si>
  <si>
    <t>0000-715-030</t>
  </si>
  <si>
    <t>Sanpress Elbow 45° - Ø54-DN50 - 435 370</t>
  </si>
  <si>
    <t>SS 1.4401 - AISI 316</t>
  </si>
  <si>
    <t>Sanpress Elbow 45° - DN50 - Stainless Steel.ipt</t>
  </si>
  <si>
    <t>1.4.3</t>
  </si>
  <si>
    <t>Sanpress Elbow 90° - Ø54-DN50 - 435 691</t>
  </si>
  <si>
    <t>Sanpress Elbow 90° - DN50 - Stainless Steel.ipt</t>
  </si>
  <si>
    <t>1.4.4</t>
  </si>
  <si>
    <t>Ball valve - DN25 - manual - Valtor V-106</t>
  </si>
  <si>
    <t>Ball valve - DN20 - manual - Valtor V-106.ipt</t>
  </si>
  <si>
    <t>1.4.5</t>
  </si>
  <si>
    <t>0000-715-061</t>
  </si>
  <si>
    <t>Sanpress Adapter - DN20 - G¾ ET - 438 302</t>
  </si>
  <si>
    <t>Sanpress Adapter - DN20 - G¾ ET - SS.ipt</t>
  </si>
  <si>
    <t>1.4.6</t>
  </si>
  <si>
    <t>0000-715-040</t>
  </si>
  <si>
    <t>Sanpress Tee Reducer - Ø54-DN50_Ø22-DN20 - 435 844</t>
  </si>
  <si>
    <t>Sanpress Tee Reducer - Ø54-DN50_Ø22-DN20 - SS.ipt</t>
  </si>
  <si>
    <t>1.4.7</t>
  </si>
  <si>
    <t>Pipe - DN20-Ø22,0x1,2 L=7006</t>
  </si>
  <si>
    <t>2500-04-AF034-12-02DN20.ipt</t>
  </si>
  <si>
    <t>1.4.8</t>
  </si>
  <si>
    <t>Pipe - DN50-Ø54,0x1,5 L=31445</t>
  </si>
  <si>
    <t>2500-04-AF034-12-02DN50.ipt</t>
  </si>
  <si>
    <t>1.5</t>
  </si>
  <si>
    <t>2500-515-012</t>
  </si>
  <si>
    <t>Digester Foundation</t>
  </si>
  <si>
    <t>Concrete</t>
  </si>
  <si>
    <t>2500-515-012.ipt</t>
  </si>
  <si>
    <t>1.6</t>
  </si>
  <si>
    <t>2500-615-012</t>
  </si>
  <si>
    <t>Digester - Assembly - 9500m³</t>
  </si>
  <si>
    <t>2500-615-012.iam</t>
  </si>
  <si>
    <t>1.6.1</t>
  </si>
  <si>
    <t>2500-615-912</t>
  </si>
  <si>
    <t>Digester 9500m³</t>
  </si>
  <si>
    <t>Area 4 - Digester 12</t>
  </si>
  <si>
    <t>2500-615-912.iam</t>
  </si>
  <si>
    <t>1.6.1.1</t>
  </si>
  <si>
    <t>2500-615-912-002</t>
  </si>
  <si>
    <t>Digester Roof</t>
  </si>
  <si>
    <t>2500-615-912-002.ipt</t>
  </si>
  <si>
    <t>1.6.1.2</t>
  </si>
  <si>
    <t>2500-615-912-003</t>
  </si>
  <si>
    <t>Manhole</t>
  </si>
  <si>
    <t>2500-615-912-003.ipt</t>
  </si>
  <si>
    <t>1.6.1.3</t>
  </si>
  <si>
    <t>2500-615-912-004</t>
  </si>
  <si>
    <t>Insulation and Cladding</t>
  </si>
  <si>
    <t>2500-615-912-004.ipt</t>
  </si>
  <si>
    <t>1.6.1.4</t>
  </si>
  <si>
    <t>2500-615-912-005</t>
  </si>
  <si>
    <t>Platform for inspection</t>
  </si>
  <si>
    <t>2500-615-912-005.ipt</t>
  </si>
  <si>
    <t>1.6.1.5</t>
  </si>
  <si>
    <t>2500-615-912-006</t>
  </si>
  <si>
    <t>Water</t>
  </si>
  <si>
    <t>2500-615-912-006.ipt</t>
  </si>
  <si>
    <t>1.6.1.6</t>
  </si>
  <si>
    <t>2500-615-912-001</t>
  </si>
  <si>
    <t>Digester Tank</t>
  </si>
  <si>
    <t>2500-615-912-001.ipt</t>
  </si>
  <si>
    <t>1.6.2</t>
  </si>
  <si>
    <t>1.6.3</t>
  </si>
  <si>
    <t>0000-702-006</t>
  </si>
  <si>
    <t>Pressure Transmitter - G½ - VEGABAR 82</t>
  </si>
  <si>
    <t>Pressure Transmitter - G½ - VEGABAR 82.ipt</t>
  </si>
  <si>
    <t>1.6.4</t>
  </si>
  <si>
    <t>0000-702-003</t>
  </si>
  <si>
    <t>Pressure Transmitter - G1½ - VEGABAR 82</t>
  </si>
  <si>
    <t>Pressure Transmitter - G1½ - VEGABAR 82.ipt</t>
  </si>
  <si>
    <t>1.6.5</t>
  </si>
  <si>
    <t>Ball valve - DN40 - manual - Valtor V-106</t>
  </si>
  <si>
    <t>Ball valve - DN40 - manual - Valtor V-106.ipt</t>
  </si>
  <si>
    <t>1.6.6</t>
  </si>
  <si>
    <t>0000-702-004</t>
  </si>
  <si>
    <t>Temperature Transmitter - G½-L150 - WIKA - TR10-C</t>
  </si>
  <si>
    <t>Generic</t>
  </si>
  <si>
    <t>Temperature Transmitter - G½-L150 - WIKA - TR10-C.ipt</t>
  </si>
  <si>
    <t>1.6.7</t>
  </si>
  <si>
    <t>0000-703-090</t>
  </si>
  <si>
    <t>Hexagon Cap - ½'' - DIN EN 10241</t>
  </si>
  <si>
    <t>SS 1.4408</t>
  </si>
  <si>
    <t>Hexagon Cap - ½''.ipt</t>
  </si>
  <si>
    <t>1.6.8</t>
  </si>
  <si>
    <t>0000-301-038</t>
  </si>
  <si>
    <t>TC- Flange DN40 - 1½'' L=200- BM</t>
  </si>
  <si>
    <t>0000-301-038.ipt</t>
  </si>
  <si>
    <t>1.6.9</t>
  </si>
  <si>
    <t>0000-301-037</t>
  </si>
  <si>
    <t>TC- Socket DN15-½'' L=140- BM</t>
  </si>
  <si>
    <t>0000-301-037.ipt</t>
  </si>
  <si>
    <t>1.6.10</t>
  </si>
  <si>
    <t>0000-301-001</t>
  </si>
  <si>
    <t>TC - Nipple DN15 - ½" L=40 - BG</t>
  </si>
  <si>
    <t>0000-301-001-A.ipt</t>
  </si>
  <si>
    <t>1.6.11</t>
  </si>
  <si>
    <t>0000-342-022</t>
  </si>
  <si>
    <t>Pipe holder foot L=400</t>
  </si>
  <si>
    <t>0000-342-022.ipt</t>
  </si>
  <si>
    <t>1.6.12</t>
  </si>
  <si>
    <t>0000-700-021</t>
  </si>
  <si>
    <t>Camera - MiniZoom</t>
  </si>
  <si>
    <t>Camera - MiniZoom.ipt</t>
  </si>
  <si>
    <t>1.6.13</t>
  </si>
  <si>
    <t>Light - SGL FKEL</t>
  </si>
  <si>
    <t>Light - SGL FKEL.ipt</t>
  </si>
  <si>
    <t>1.6.14</t>
  </si>
  <si>
    <t>0000-310-005</t>
  </si>
  <si>
    <t>Sightglass w.Wiper - DN200 PN0 - Welded</t>
  </si>
  <si>
    <t>Sight Glass</t>
  </si>
  <si>
    <t>0000-310-005-A.ipt</t>
  </si>
  <si>
    <t>1.6.15</t>
  </si>
  <si>
    <t>0000-342-034</t>
  </si>
  <si>
    <t>Pipe holder foot L=300</t>
  </si>
  <si>
    <t>0000-342-034.ipt</t>
  </si>
  <si>
    <t>1.6.16</t>
  </si>
  <si>
    <t>0000-701-051</t>
  </si>
  <si>
    <t>Ball valve Manual - DN100 - Valtor - Pekos 02 TTT</t>
  </si>
  <si>
    <t>Ball valve - DN100 Manual - Pekos 02 TTT.ipt</t>
  </si>
  <si>
    <t>1.6.17</t>
  </si>
  <si>
    <t>0000-703-022</t>
  </si>
  <si>
    <t>Flange - DN100/PN10 - DIN 2527</t>
  </si>
  <si>
    <t>Flange - DN100_PN10 - DIN 2527 - 1.4301.ipt</t>
  </si>
  <si>
    <t>1.6.18</t>
  </si>
  <si>
    <t>0000-314-504</t>
  </si>
  <si>
    <t>Agitator Drive</t>
  </si>
  <si>
    <t>Digester Agitator</t>
  </si>
  <si>
    <t>0000-314-504-A.ipt</t>
  </si>
  <si>
    <t>1.6.19</t>
  </si>
  <si>
    <t>0000-314-300</t>
  </si>
  <si>
    <t>Agitator L=19152</t>
  </si>
  <si>
    <t>0000-314-300.ipt</t>
  </si>
  <si>
    <t>1.6.20</t>
  </si>
  <si>
    <t>0000-701-055</t>
  </si>
  <si>
    <t>P/V relief valve - DN150 - Typ V-511</t>
  </si>
  <si>
    <t>Pressure - vacuum relief valve - DN150 - Typ V-511 - Valwo.ipt</t>
  </si>
  <si>
    <t>1.6.21</t>
  </si>
  <si>
    <t>0000-301-071</t>
  </si>
  <si>
    <t>TC- Flange - DN50-PN10 - L170x15° - BG</t>
  </si>
  <si>
    <t>0000-301-071-B.ipt</t>
  </si>
  <si>
    <t>1.6.22</t>
  </si>
  <si>
    <t>0000-701-003</t>
  </si>
  <si>
    <t>Knife Gate Valve - DN100-PN10 - WB14 - Stafsjö</t>
  </si>
  <si>
    <t>Knife Gate Valve - DN100-PN10 - WB14 - Stafsjö.ipt</t>
  </si>
  <si>
    <t>1.6.23</t>
  </si>
  <si>
    <t>Knife Gate Valve - DN150-PN10 - WB14 - Stafsjö</t>
  </si>
  <si>
    <t>Knife Gate Valve - DN150-PN10 - WB14 - Stafsjö.ipt</t>
  </si>
  <si>
    <t>1.6.24</t>
  </si>
  <si>
    <t>0000-703-003</t>
  </si>
  <si>
    <t>Knife Gate Valve - DN80-PN10 - WB14 - Stafsjö</t>
  </si>
  <si>
    <t>Knife Gate Valve - DN80-PN10 - WB14 - Stafsjö.ipt</t>
  </si>
  <si>
    <t>1.6.25</t>
  </si>
  <si>
    <t>Knife Gate Valve - DN300-PN10 - WB14 - Stafsjö</t>
  </si>
  <si>
    <t>Knife Gate Valve - DN300-PN10 - WB14 - Stafsjö.ipt</t>
  </si>
  <si>
    <t>1.6.26</t>
  </si>
  <si>
    <t>0000-315-003</t>
  </si>
  <si>
    <t>Trap DN500 - pressure = 35 mbar_vacuum = -3 mbar</t>
  </si>
  <si>
    <t>0000-315-003-A.ipt</t>
  </si>
  <si>
    <t>1.6.27</t>
  </si>
  <si>
    <t>0000-301-120</t>
  </si>
  <si>
    <t>TC- Flange Elbow DN100 PN10 L=450 - BM</t>
  </si>
  <si>
    <t>0000-301-120.ipt</t>
  </si>
  <si>
    <t>1.6.28</t>
  </si>
  <si>
    <t>0000-321-106</t>
  </si>
  <si>
    <t>Biomass - Straight Connection - DN100x6m</t>
  </si>
  <si>
    <t>0000-321-106.ipt</t>
  </si>
  <si>
    <t>1.6.29</t>
  </si>
  <si>
    <t>0000-342-270</t>
  </si>
  <si>
    <t>DN100 Pipeholder for bottom mounting</t>
  </si>
  <si>
    <t>0000-342-270-305.ipt</t>
  </si>
  <si>
    <t>1.6.30</t>
  </si>
  <si>
    <t>0000-301-119</t>
  </si>
  <si>
    <t>TC- Flange DN100 PN10 L=330 - BM</t>
  </si>
  <si>
    <t>0000-301-119.ipt</t>
  </si>
  <si>
    <t>1.6.31</t>
  </si>
  <si>
    <t>0000-321-103-A</t>
  </si>
  <si>
    <t>Outlet pipe DN100 - Biomass</t>
  </si>
  <si>
    <t>Straight Connection</t>
  </si>
  <si>
    <t>0000-321-103-A.ipt</t>
  </si>
  <si>
    <t>1.6.32</t>
  </si>
  <si>
    <t>0000-301-122</t>
  </si>
  <si>
    <t>TC- Flange DN125 PN10 L=330 - BM</t>
  </si>
  <si>
    <t>0000-301-122.ipt</t>
  </si>
  <si>
    <t>1.6.33</t>
  </si>
  <si>
    <t>Flange - DN150/PN10 - DIN 2527</t>
  </si>
  <si>
    <t>Flange - DN150_PN10 - DIN 2527 - 1.4571.ipt</t>
  </si>
  <si>
    <t>1.6.34</t>
  </si>
  <si>
    <t>0000-321-109</t>
  </si>
  <si>
    <t>Biomass - Straight Connection - DN125x6m</t>
  </si>
  <si>
    <t>0000-321-109.ipt</t>
  </si>
  <si>
    <t>1.6.35</t>
  </si>
  <si>
    <t>0000-342-274</t>
  </si>
  <si>
    <t>DN125 Pipeholder for bottom mounting</t>
  </si>
  <si>
    <t>0000-342-274.ipt</t>
  </si>
  <si>
    <t>1.6.36</t>
  </si>
  <si>
    <t>0000-301-123</t>
  </si>
  <si>
    <t>TC- Flange Elbow DN200 PN10 L=450 - BM</t>
  </si>
  <si>
    <t>0000-301-123.ipt</t>
  </si>
  <si>
    <t>1.6.37</t>
  </si>
  <si>
    <t>0000-301-124</t>
  </si>
  <si>
    <t>TC- Flange DN200 PN10 L=330 - BM</t>
  </si>
  <si>
    <t>0000-301-124.ipt</t>
  </si>
  <si>
    <t>1.6.38</t>
  </si>
  <si>
    <t>0000-321-157</t>
  </si>
  <si>
    <t>Biomass - Straigth Connection - DN200x6m</t>
  </si>
  <si>
    <t>0000-321-157.ipt</t>
  </si>
  <si>
    <t>1.6.39</t>
  </si>
  <si>
    <t>0000-342-272</t>
  </si>
  <si>
    <t>DN200 Pipeholder for bottom mounting</t>
  </si>
  <si>
    <t>0000-342-272.ipt</t>
  </si>
  <si>
    <t>1.6.40</t>
  </si>
  <si>
    <t>0000-751-029</t>
  </si>
  <si>
    <t>Cable tray B=300 L=37823 mm</t>
  </si>
  <si>
    <t>Pump container</t>
  </si>
  <si>
    <t>Steel</t>
  </si>
  <si>
    <t>2500-615-912-007.ipt</t>
  </si>
  <si>
    <t>1.6.41</t>
  </si>
  <si>
    <t>0000-315-005-A</t>
  </si>
  <si>
    <t>Central flange 5200 - DN250 assembly</t>
  </si>
  <si>
    <t>Digester</t>
  </si>
  <si>
    <t>0000-315-005-A.ipt</t>
  </si>
  <si>
    <t>1.6.42</t>
  </si>
  <si>
    <t>0000-321-158-A</t>
  </si>
  <si>
    <t>Outlet Pipe DN200 - Biomass</t>
  </si>
  <si>
    <t>0000-321-158-A.ipt</t>
  </si>
  <si>
    <t>1.6.43</t>
  </si>
  <si>
    <t>0000-321-108-A</t>
  </si>
  <si>
    <t>Outlet pipe DN125 - Biomass</t>
  </si>
  <si>
    <t>0000-321-108-A.ipt</t>
  </si>
  <si>
    <t>1.6.44</t>
  </si>
  <si>
    <t>0000-700-065</t>
  </si>
  <si>
    <t>GM - Diffusor Nozzle - DN250 - 3431224</t>
  </si>
  <si>
    <t>C:\Users\bnv.LANDIA\Desktop\Bigadan\3431224.stp</t>
  </si>
  <si>
    <t>GM - Diffusor Nozzle - DN250 - 3431224.ipt</t>
  </si>
  <si>
    <t>1.6.45</t>
  </si>
  <si>
    <t>GM - Gas Pipe Nozzle - DN80 - 3431345</t>
  </si>
  <si>
    <t>C:\Users\bnv.LANDIA\Desktop\Bigadan\3431345.stp</t>
  </si>
  <si>
    <t>GM - Gas Pipe Nozzle - DN80 - 3431345.ipt</t>
  </si>
  <si>
    <t>1.6.46</t>
  </si>
  <si>
    <t>GM - Mixing Nozzle - DN150 - 3431222</t>
  </si>
  <si>
    <t>C:\Users\bnv.LANDIA\Desktop\Bigadan\3431222.stp</t>
  </si>
  <si>
    <t>GM - Mixing Nozzle - DN150 - 3431222.ipt</t>
  </si>
  <si>
    <t>1.6.47</t>
  </si>
  <si>
    <t>GM - Diffusor - DN250 - 7514093</t>
  </si>
  <si>
    <t>GM - Diffusor - DN250 - 7514093.ipt</t>
  </si>
  <si>
    <t>1.6.48</t>
  </si>
  <si>
    <t>GM - Mixing Nozzle - DN150 - 7514082</t>
  </si>
  <si>
    <t>GM - Mixer - DN150 - 7514082.ipt</t>
  </si>
  <si>
    <t>1.6.49</t>
  </si>
  <si>
    <t>Flange - DN150_PN10 - DIN 2527 - 1.4301.ipt</t>
  </si>
  <si>
    <t>1.6.50</t>
  </si>
  <si>
    <t>Flange - DN300/PN10 - DIN 2527</t>
  </si>
  <si>
    <t>Flange - DN300_PN10 - DIN 2527 - 1.4301.ipt</t>
  </si>
  <si>
    <t>1.6.51</t>
  </si>
  <si>
    <t>GM - Pump Inlet Nozzle - DN300 - 3431238</t>
  </si>
  <si>
    <t>C:\Users\bnv.LANDIA\Desktop\Bigadan 2\3431238.stp</t>
  </si>
  <si>
    <t>GM - Pump Inlet Nozzle - DN300 - 3431238.ipt</t>
  </si>
  <si>
    <t>1.6.52</t>
  </si>
  <si>
    <t>Flange - DN80/PN10 - DIN 2527</t>
  </si>
  <si>
    <t>Flange - DN80_PN16 - DIN 2527 - 1.4301</t>
  </si>
  <si>
    <t>Flange - DN80_PN10 - DIN 2527 - 1.4571.ipt</t>
  </si>
  <si>
    <t>1.6.53</t>
  </si>
  <si>
    <t>Flange - DN200/PN10 - DIN 2527</t>
  </si>
  <si>
    <t>Flange - DN200_PN10 - DIN 2527 - 1.4301.ipt</t>
  </si>
  <si>
    <t>1.6.54</t>
  </si>
  <si>
    <t>Ball valve - DN200_PN16 Manuel - Pekos 02 TTT-PI</t>
  </si>
  <si>
    <t>Ball valve - DN200_PN16 Manuel - Pekos 02 TTT-PI.ipt</t>
  </si>
  <si>
    <t>1.6.55</t>
  </si>
  <si>
    <t>0000-311-001</t>
  </si>
  <si>
    <t>DN 50 Nozzle Pipe</t>
  </si>
  <si>
    <t>0000-311-001.ipt</t>
  </si>
  <si>
    <t>1.7</t>
  </si>
  <si>
    <t>2500-515-011</t>
  </si>
  <si>
    <t>2500-515-011.ipt</t>
  </si>
  <si>
    <t>1.8</t>
  </si>
  <si>
    <t>2500-504-013</t>
  </si>
  <si>
    <t>Digester house 6 Foundation</t>
  </si>
  <si>
    <t>2500-504-013.ipt</t>
  </si>
  <si>
    <t>1.9</t>
  </si>
  <si>
    <t>2500-615-Ladder01</t>
  </si>
  <si>
    <t>2500-615-Ladder01.iam</t>
  </si>
  <si>
    <t>1.9.1</t>
  </si>
  <si>
    <t>2500-615-Ladder03</t>
  </si>
  <si>
    <t>2500-615-Ladder03.ipt</t>
  </si>
  <si>
    <t>1.10</t>
  </si>
  <si>
    <t>2500-615-011</t>
  </si>
  <si>
    <t>Area 04 - Digester 11</t>
  </si>
  <si>
    <t>2500-615-011.iam</t>
  </si>
  <si>
    <t>1.10.1</t>
  </si>
  <si>
    <t>2500-615-911</t>
  </si>
  <si>
    <t>Area 4 - Digester 11</t>
  </si>
  <si>
    <t>2500-615-911.iam</t>
  </si>
  <si>
    <t>1.10.1.1</t>
  </si>
  <si>
    <t>2500-615-911-002</t>
  </si>
  <si>
    <t>2500-615-911-002.ipt</t>
  </si>
  <si>
    <t>1.10.1.2</t>
  </si>
  <si>
    <t>2500-615-911-003</t>
  </si>
  <si>
    <t>2500-615-911-003.ipt</t>
  </si>
  <si>
    <t>1.10.1.3</t>
  </si>
  <si>
    <t>2500-615-911-004</t>
  </si>
  <si>
    <t>2500-615-911-004.ipt</t>
  </si>
  <si>
    <t>1.10.1.4</t>
  </si>
  <si>
    <t>2500-615-911-005</t>
  </si>
  <si>
    <t>2500-615-911-005.ipt</t>
  </si>
  <si>
    <t>1.10.1.5</t>
  </si>
  <si>
    <t>2500-615-911-006</t>
  </si>
  <si>
    <t>2500-615-911-006.ipt</t>
  </si>
  <si>
    <t>1.10.1.6</t>
  </si>
  <si>
    <t>2500-615-911-001</t>
  </si>
  <si>
    <t>2500-615-911-001.ipt</t>
  </si>
  <si>
    <t>1.10.2</t>
  </si>
  <si>
    <t>1.10.3</t>
  </si>
  <si>
    <t>1.10.4</t>
  </si>
  <si>
    <t>1.10.5</t>
  </si>
  <si>
    <t>1.10.6</t>
  </si>
  <si>
    <t>1.10.7</t>
  </si>
  <si>
    <t>1.10.8</t>
  </si>
  <si>
    <t>Flange - DN50/PN10 - DIN 2527</t>
  </si>
  <si>
    <t>Flange - DN50_PN10 - DIN 2527 - 1.4301</t>
  </si>
  <si>
    <t>Flange - DN50_PN10 - DIN 2527 - 1.4571.ipt</t>
  </si>
  <si>
    <t>1.10.9</t>
  </si>
  <si>
    <t>1.10.10</t>
  </si>
  <si>
    <t>1.10.11</t>
  </si>
  <si>
    <t>1.10.12</t>
  </si>
  <si>
    <t>1.10.13</t>
  </si>
  <si>
    <t>1.10.14</t>
  </si>
  <si>
    <t>1.10.15</t>
  </si>
  <si>
    <t>1.10.16</t>
  </si>
  <si>
    <t>1.10.17</t>
  </si>
  <si>
    <t>1.10.18</t>
  </si>
  <si>
    <t>1.10.19</t>
  </si>
  <si>
    <t>1.10.20</t>
  </si>
  <si>
    <t>1.10.21</t>
  </si>
  <si>
    <t>1.10.22</t>
  </si>
  <si>
    <t>1.10.23</t>
  </si>
  <si>
    <t>1.10.24</t>
  </si>
  <si>
    <t>1.10.25</t>
  </si>
  <si>
    <t>1.10.26</t>
  </si>
  <si>
    <t>1.10.27</t>
  </si>
  <si>
    <t>1.10.28</t>
  </si>
  <si>
    <t>1.10.29</t>
  </si>
  <si>
    <t>1.10.30</t>
  </si>
  <si>
    <t>1.10.31</t>
  </si>
  <si>
    <t>1.10.32</t>
  </si>
  <si>
    <t>1.10.33</t>
  </si>
  <si>
    <t>1.10.34</t>
  </si>
  <si>
    <t>1.10.35</t>
  </si>
  <si>
    <t>1.10.36</t>
  </si>
  <si>
    <t>1.10.37</t>
  </si>
  <si>
    <t>1.10.38</t>
  </si>
  <si>
    <t>1.10.39</t>
  </si>
  <si>
    <t>1.10.40</t>
  </si>
  <si>
    <t>1.10.41</t>
  </si>
  <si>
    <t>1.10.42</t>
  </si>
  <si>
    <t>1.10.43</t>
  </si>
  <si>
    <t>1.10.44</t>
  </si>
  <si>
    <t>1.10.45</t>
  </si>
  <si>
    <t>1.10.46</t>
  </si>
  <si>
    <t>1.10.47</t>
  </si>
  <si>
    <t>1.10.48</t>
  </si>
  <si>
    <t>1.10.49</t>
  </si>
  <si>
    <t>Cable tray 50x200 L=37823 mm</t>
  </si>
  <si>
    <t>2500-615-911-007.ipt</t>
  </si>
  <si>
    <t>1.10.50</t>
  </si>
  <si>
    <t>1.10.51</t>
  </si>
  <si>
    <t>1.10.52</t>
  </si>
  <si>
    <t>1.10.53</t>
  </si>
  <si>
    <t>1.10.54</t>
  </si>
  <si>
    <t>1.10.55</t>
  </si>
  <si>
    <t>1.11</t>
  </si>
  <si>
    <t>2500-503-012</t>
  </si>
  <si>
    <t>Gas-Mix Pump Foundation - 5400 x 1500</t>
  </si>
  <si>
    <t>2500-503-012.ipt</t>
  </si>
  <si>
    <t>1.12</t>
  </si>
  <si>
    <t>0000-700-002</t>
  </si>
  <si>
    <t>Pump - DN100-SS - MPTK-I 80-18,5kW-3000rpm</t>
  </si>
  <si>
    <t>Pump - DN100-SS - MPTK-I 80-18,5kW-3000rpm.ipt</t>
  </si>
  <si>
    <t>1.13</t>
  </si>
  <si>
    <t>Pump - DN100-SS - MPTK-I 105-18kW-1500rpm</t>
  </si>
  <si>
    <t>Pump - DN100-SS - MPTK-I 105-18kW-1500rpm.ipt</t>
  </si>
  <si>
    <t>1.14</t>
  </si>
  <si>
    <t>2500-04-STR-01-001</t>
  </si>
  <si>
    <t>2500-04-STR-01-001.ipt</t>
  </si>
  <si>
    <t>1.15</t>
  </si>
  <si>
    <t>2500-04-STR-01-01</t>
  </si>
  <si>
    <t>Wood (Birch)</t>
  </si>
  <si>
    <t>2500-04-STR-01-01.ipt</t>
  </si>
  <si>
    <t>1.16</t>
  </si>
  <si>
    <t>2500-04-STR-02</t>
  </si>
  <si>
    <t>2500-04-STR-02.ipt</t>
  </si>
  <si>
    <t>1.17</t>
  </si>
  <si>
    <t>2500-621-011</t>
  </si>
  <si>
    <t>2500-621-011.iam</t>
  </si>
  <si>
    <t>1.17.1</t>
  </si>
  <si>
    <t>0000-316-011</t>
  </si>
  <si>
    <t>4 HEX Water-Biomass Ver. 02</t>
  </si>
  <si>
    <t>0000-316-011.ipt</t>
  </si>
  <si>
    <t>1.17.2</t>
  </si>
  <si>
    <t>0000-703-075</t>
  </si>
  <si>
    <t>Elbow 90° DN10 G⅜ - DIN EN 10241</t>
  </si>
  <si>
    <t>Elbow 90° DN10 G⅜ - DIN EN 10241.ipt</t>
  </si>
  <si>
    <t>1.17.3</t>
  </si>
  <si>
    <t>Ball valve - DN10 - manual - Valtor V-106</t>
  </si>
  <si>
    <t>Ball valve - DN10 - manual - Valtor V-106.ipt</t>
  </si>
  <si>
    <t>1.17.4</t>
  </si>
  <si>
    <t>0000-701-011</t>
  </si>
  <si>
    <t>Air Relief Valve - G⅜ - Flexvent - Flamco</t>
  </si>
  <si>
    <t>Air Relief Valve - G⅜ - Flexvent - Flamco.ipt</t>
  </si>
  <si>
    <t>1.17.5</t>
  </si>
  <si>
    <t>0000-703-062</t>
  </si>
  <si>
    <t>Hexagon Nipple - G⅜ - DIN EN 10241</t>
  </si>
  <si>
    <t>Hexagon Nipple - DIN EN 10241 - G⅜ - 1.4408.ipt</t>
  </si>
  <si>
    <t>1.18</t>
  </si>
  <si>
    <t>2500-647-004</t>
  </si>
  <si>
    <t>Drainage Well</t>
  </si>
  <si>
    <t>Receiving Hall</t>
  </si>
  <si>
    <t>2500-647-004.iam</t>
  </si>
  <si>
    <t>1.18.1</t>
  </si>
  <si>
    <t>2500-647-904</t>
  </si>
  <si>
    <t>Concreate Well</t>
  </si>
  <si>
    <t>Ø1500</t>
  </si>
  <si>
    <t>2500-647-904.ipt</t>
  </si>
  <si>
    <t>1.18.2</t>
  </si>
  <si>
    <t>Check Valve - DN50 - Valtor YSP-800</t>
  </si>
  <si>
    <t>Check Valve - DN50 - Valtor YSP-800.ipt</t>
  </si>
  <si>
    <t>1.18.3</t>
  </si>
  <si>
    <t>2500-702-021 - VegaWell-04</t>
  </si>
  <si>
    <t>VegaWell 52</t>
  </si>
  <si>
    <t>2500-702-021 - VegaWell-04.ipt</t>
  </si>
  <si>
    <t>1.18.4</t>
  </si>
  <si>
    <t>2500-647-104</t>
  </si>
  <si>
    <t>Bracket for Pedestal</t>
  </si>
  <si>
    <t>Submerged Pump</t>
  </si>
  <si>
    <t>2500-647-104.ipt</t>
  </si>
  <si>
    <t>1.18.5</t>
  </si>
  <si>
    <t>0000-700-042</t>
  </si>
  <si>
    <t>Submerged Pump - MF 354 - Sulzer</t>
  </si>
  <si>
    <t>700-042 - Submerged Pump - MF 354 - Sulzer.ipt</t>
  </si>
  <si>
    <t>1.18.6</t>
  </si>
  <si>
    <t>2500-700-042 - Guide Rail-04</t>
  </si>
  <si>
    <t>Guide Rail</t>
  </si>
  <si>
    <t>2500-700-042 - Guide Rail-04.ipt</t>
  </si>
  <si>
    <t>1.19</t>
  </si>
  <si>
    <t>2500-04-BG061-11</t>
  </si>
  <si>
    <t>Area 04 Digester 11</t>
  </si>
  <si>
    <t>2500-04-BG061-11.iam</t>
  </si>
  <si>
    <t>1.19.1</t>
  </si>
  <si>
    <t>1.19.2</t>
  </si>
  <si>
    <t>1.19.3</t>
  </si>
  <si>
    <t>Pipe - DN250-Ø273,0x2,0 L=31367 - EN10217-7</t>
  </si>
  <si>
    <t>2500-04-BG033-11-01.ipt</t>
  </si>
  <si>
    <t>1.19.4</t>
  </si>
  <si>
    <t>1.19.5</t>
  </si>
  <si>
    <t>1.19.6</t>
  </si>
  <si>
    <t>1.19.7</t>
  </si>
  <si>
    <t>1.19.8</t>
  </si>
  <si>
    <t>1.19.9</t>
  </si>
  <si>
    <t>1.19.10</t>
  </si>
  <si>
    <t>1.19.11</t>
  </si>
  <si>
    <t>1.19.12</t>
  </si>
  <si>
    <t>1.19.13</t>
  </si>
  <si>
    <t>1.19.14</t>
  </si>
  <si>
    <t>1.19.15</t>
  </si>
  <si>
    <t>1.20</t>
  </si>
  <si>
    <t>2500-04-Pipe-Post-1</t>
  </si>
  <si>
    <t>2500-04-Pipe-Post-1.iam</t>
  </si>
  <si>
    <t>1.20.1</t>
  </si>
  <si>
    <t>2500-04-HW207-01</t>
  </si>
  <si>
    <t>From Pasteurization - DN100 - BM</t>
  </si>
  <si>
    <t>2500-04-HW207-01.iam</t>
  </si>
  <si>
    <t>1.20.1.1</t>
  </si>
  <si>
    <t>0000-703-102</t>
  </si>
  <si>
    <t>Pipe - DN65-Ø76,1x2,9 L=37224</t>
  </si>
  <si>
    <t>CS 1.0345 - P235GH</t>
  </si>
  <si>
    <t>2500-04-HW207-01-01.ipt</t>
  </si>
  <si>
    <t>1.20.1.2</t>
  </si>
  <si>
    <t>0000-703-050</t>
  </si>
  <si>
    <t>Reducer - DN100-DN65 - EN 10253-4</t>
  </si>
  <si>
    <t>Reducer - DN100-DN65 - EN 10253-4 - 1.4301.ipt</t>
  </si>
  <si>
    <t>1.20.1.3</t>
  </si>
  <si>
    <t>Pressed Flange - DN100/PN10 - EN 1092-1 Typ 02</t>
  </si>
  <si>
    <t>Pressed Flanges - DN100 PN10 - EN 1092-1 Typ 02 - 1.4301.ipt</t>
  </si>
  <si>
    <t>1.20.1.4</t>
  </si>
  <si>
    <t>Collar - DN100/PN10 - EN 1092-1 Typ 37</t>
  </si>
  <si>
    <t>Collar DN100 - PN10 EN 1092-1 Typ 37 - 1.4301.ipt</t>
  </si>
  <si>
    <t>1.20.1.5</t>
  </si>
  <si>
    <t>Collar - DN65/PN10 - EN 1092-1 Typ 37</t>
  </si>
  <si>
    <t>Collar DN65 - PN10 EN 1092-1 Typ 37 - 1.4301.ipt</t>
  </si>
  <si>
    <t>1.20.1.6</t>
  </si>
  <si>
    <t>Pressed Flange - DN65/PN10 - EN 1092-1 Typ 02</t>
  </si>
  <si>
    <t>Pressed Flanges - DN65 PN10 - EN 1092-1 Typ 02 - 1.4301.ipt</t>
  </si>
  <si>
    <t>1.20.1.7</t>
  </si>
  <si>
    <t>0000-701-009</t>
  </si>
  <si>
    <t>Automatic Valve - DN65 - ARI STEVI 440 + PREMIO 2,2kN</t>
  </si>
  <si>
    <t>Automatic Valve - DN65 - ARI STEVI 440 + PREMIO 2,2kN.ipt</t>
  </si>
  <si>
    <t>1.20.1.8</t>
  </si>
  <si>
    <t>0000-701-013</t>
  </si>
  <si>
    <t>Ball Valve - DN65 flange - Broen Ballomax</t>
  </si>
  <si>
    <t>Ball Valve - DN65 flange - Broen Ballomax.ipt</t>
  </si>
  <si>
    <t>1.20.1.9</t>
  </si>
  <si>
    <t>0000-703-065</t>
  </si>
  <si>
    <t>Socket - ½'' - DIN EN 10241</t>
  </si>
  <si>
    <t>Socket - ½'' - DIN EN 10241 - 1.4571.ipt</t>
  </si>
  <si>
    <t>1.20.1.10</t>
  </si>
  <si>
    <t>0000-702-012</t>
  </si>
  <si>
    <t>Temperature Transmitter - TRC6 - L=100 - Baumer</t>
  </si>
  <si>
    <t>Temperature Transmitter - Baumer - TRC6 - 100mm.ipt</t>
  </si>
  <si>
    <t>1.20.1.11</t>
  </si>
  <si>
    <t>Elbow 45° DN65 Ø76,1x2,0 - Type 3 R=95 - DIN2605 - 1.4571</t>
  </si>
  <si>
    <t>Elbow 45° DN65 Ø76,1x2,0 - Type 3 R=95 - DIN2605 - 1.4571.ipt</t>
  </si>
  <si>
    <t>1.20.1.12</t>
  </si>
  <si>
    <t>Elbow 90° DN65 Ø76,1x2,0 - Type 3 R=95 - DIN2605 - 1.4301</t>
  </si>
  <si>
    <t>Elbow 90° DN65 Ø76,1x2,0 - Type 3 R=95 - DIN2605 - 1.4301.ipt</t>
  </si>
  <si>
    <t>1.20.1.13</t>
  </si>
  <si>
    <t>Welding Nipple - ½'' DN15-L80</t>
  </si>
  <si>
    <t>Welding Nipple - G½'' DN15-L80 - 1.4571.ipt</t>
  </si>
  <si>
    <t>1.20.1.14</t>
  </si>
  <si>
    <t>0000-702-028</t>
  </si>
  <si>
    <t>Manometer - MIT3-G¼ - Baumer</t>
  </si>
  <si>
    <t>Manometer - Baumer - MIT3 - G¼.ipt</t>
  </si>
  <si>
    <t>1.20.1.15</t>
  </si>
  <si>
    <t>Socket - ¼'' - DIN EN 10241</t>
  </si>
  <si>
    <t>Socket - ¼'' - DIN EN 10241 - 1.4571.ipt</t>
  </si>
  <si>
    <t>1.20.1.16</t>
  </si>
  <si>
    <t>Welding Nipple - ¼'' DN8 - EN10241</t>
  </si>
  <si>
    <t>Welding Nipple - G¼_DN8 - EN10241 - 1.4571.ipt</t>
  </si>
  <si>
    <t>1.20.1.17</t>
  </si>
  <si>
    <t>0000-342-021</t>
  </si>
  <si>
    <t>Pipe holder foot L=200</t>
  </si>
  <si>
    <t>0000-342-021.iam</t>
  </si>
  <si>
    <t>1.20.1.17.1</t>
  </si>
  <si>
    <t>Square tube - 60x60x3xL200</t>
  </si>
  <si>
    <t>0000-342-021-001.ipt</t>
  </si>
  <si>
    <t>1.20.1.17.2</t>
  </si>
  <si>
    <t>0000-703-004</t>
  </si>
  <si>
    <t>Sheet plate 150x150x6</t>
  </si>
  <si>
    <t>0000-342-020-001.ipt</t>
  </si>
  <si>
    <t>1.20.1.17.3</t>
  </si>
  <si>
    <t>0000-750-002</t>
  </si>
  <si>
    <t>Nut - M16 - ISO 4032 - A2</t>
  </si>
  <si>
    <t>SS A2</t>
  </si>
  <si>
    <t>Nut - M16 - ISO 4032 - A2.ipt</t>
  </si>
  <si>
    <t>1.20.1.17.4</t>
  </si>
  <si>
    <t>0000-750-001</t>
  </si>
  <si>
    <t>Bolt - M16x80 - ISO4017 - A2</t>
  </si>
  <si>
    <t>Bolt - M16x80 - ISO4017 - A2.ipt</t>
  </si>
  <si>
    <t>1.20.1.18</t>
  </si>
  <si>
    <t>0000-342-018</t>
  </si>
  <si>
    <t>Pipe Holder DN60-Ø76,1</t>
  </si>
  <si>
    <t>0000-342-018.ipt</t>
  </si>
  <si>
    <t>1.20.1.19</t>
  </si>
  <si>
    <t>2500-04-STR-02-19</t>
  </si>
  <si>
    <t>2500-04-STR-02-19.iam</t>
  </si>
  <si>
    <t>1.20.1.19.1</t>
  </si>
  <si>
    <t>2500-04-STR-02-039</t>
  </si>
  <si>
    <t>2500-04-STR-02-039.ipt</t>
  </si>
  <si>
    <t>1.20.1.19.2</t>
  </si>
  <si>
    <t>2500-04-STR-02-038</t>
  </si>
  <si>
    <t>2500-04-STR-02-038.ipt</t>
  </si>
  <si>
    <t>1.20.2</t>
  </si>
  <si>
    <t>2500-04-BM024-01</t>
  </si>
  <si>
    <t>2500-04-BM024-01.iam</t>
  </si>
  <si>
    <t>1.20.2.1</t>
  </si>
  <si>
    <t>Ball valve Manual with indicator - DN100 - Pekos 02 TTT/PI</t>
  </si>
  <si>
    <t>Ball valve - DN100 Manual - Pekos 02 TTT-PI.ipt</t>
  </si>
  <si>
    <t>1.20.2.2</t>
  </si>
  <si>
    <t>Pipe - DN100-Ø114,3x2,6 L=32040 - EN10217-7</t>
  </si>
  <si>
    <t>2500-04-BM024-01-01.ipt</t>
  </si>
  <si>
    <t>1.20.2.3</t>
  </si>
  <si>
    <t>1.20.2.4</t>
  </si>
  <si>
    <t>1.20.2.5</t>
  </si>
  <si>
    <t>Elbow 60° DN100 Ø114,3x2,6 - Type 3 R=152 - DIN2605 - 1.4301</t>
  </si>
  <si>
    <t>Elbow 60° DN100 Ø114,3x2,6 - Type 3 R=152 - DIN2605 - 1.4301.ipt</t>
  </si>
  <si>
    <t>1.20.2.6</t>
  </si>
  <si>
    <t>Elbow 90° DN100 Ø114,3x2,6 - Type 3 R=152 - DIN2605 - 1.4301</t>
  </si>
  <si>
    <t>Elbow 90° DN100 Ø114,3x2,6 - Type 3 R=152 - DIN2605 - 1.4301.ipt</t>
  </si>
  <si>
    <t>1.20.2.7</t>
  </si>
  <si>
    <t>0000-703-040</t>
  </si>
  <si>
    <t>Tee Equal - DN100 Ø114,3x2,6 - EN10523-4</t>
  </si>
  <si>
    <t>Tee Equal - DN100 Ø114,3x2,6 - EN10523-4 - 1.4301.ipt</t>
  </si>
  <si>
    <t>1.20.2.8</t>
  </si>
  <si>
    <t>0000-701-052</t>
  </si>
  <si>
    <t>Ball Valve - DN100 Automatic - PEKOS 02 TTT / RC200-DA / PI</t>
  </si>
  <si>
    <t>Ball Valve - DN100 Automatic - PEKOS 02 TTT-PI-RC200-DA.ipt</t>
  </si>
  <si>
    <t>1.20.2.9</t>
  </si>
  <si>
    <t>0000-750-016</t>
  </si>
  <si>
    <t>Compensator - DN100 - Type 50 NBR</t>
  </si>
  <si>
    <t>Compensator - DN100 - Type 50.ipt</t>
  </si>
  <si>
    <t>1.20.2.10</t>
  </si>
  <si>
    <t>1.20.2.10.1</t>
  </si>
  <si>
    <t>1.20.2.10.2</t>
  </si>
  <si>
    <t>1.20.2.10.3</t>
  </si>
  <si>
    <t>1.20.2.10.4</t>
  </si>
  <si>
    <t>1.20.2.11</t>
  </si>
  <si>
    <t>0000-342-028</t>
  </si>
  <si>
    <t>Pipe Holder DN100-Ø114,3x421</t>
  </si>
  <si>
    <t>0000-342-028.ipt</t>
  </si>
  <si>
    <t>1.20.2.12</t>
  </si>
  <si>
    <t>1.20.2.13</t>
  </si>
  <si>
    <t>Socket - 1½'' - DIN EN 10241</t>
  </si>
  <si>
    <t>Socket - 1½ - DN40 - DIN EN 10241 - 1.4571.ipt</t>
  </si>
  <si>
    <t>1.20.2.14</t>
  </si>
  <si>
    <t>Welding Nipple - 1½'' DN40 - EN 10241</t>
  </si>
  <si>
    <t>Welding Nipple - G1½_DN40 - EN 10241 - 1.4571.ipt</t>
  </si>
  <si>
    <t>1.20.2.15</t>
  </si>
  <si>
    <t>1.20.2.16</t>
  </si>
  <si>
    <t>1.20.2.17</t>
  </si>
  <si>
    <t>Welding Nipple - ½'' DN15-L100</t>
  </si>
  <si>
    <t>Welding Nipple - G½'' DN15-L100 - 1.4571.ipt</t>
  </si>
  <si>
    <t>1.20.2.18</t>
  </si>
  <si>
    <t>0000-341-005</t>
  </si>
  <si>
    <t>Pipe Support - 100x100 L=2500</t>
  </si>
  <si>
    <t>0000-341-005.iam</t>
  </si>
  <si>
    <t>1.20.2.18.1</t>
  </si>
  <si>
    <t>0000-703-104</t>
  </si>
  <si>
    <t>Holder foot 250x250x8</t>
  </si>
  <si>
    <t>Foot plate</t>
  </si>
  <si>
    <t>S 235</t>
  </si>
  <si>
    <t>0000-341-005-001.ipt</t>
  </si>
  <si>
    <t>1.20.2.18.2</t>
  </si>
  <si>
    <t>0000-703-103</t>
  </si>
  <si>
    <t>Square pipe - EN10210-2 - 100x100x4</t>
  </si>
  <si>
    <t>EN10210-2 100x100x4</t>
  </si>
  <si>
    <t>0000-341-005-003.ipt</t>
  </si>
  <si>
    <t>2500,000 mm</t>
  </si>
  <si>
    <t>1.20.2.18.3</t>
  </si>
  <si>
    <t>Cover plate - 96x96x3</t>
  </si>
  <si>
    <t>Cover plate</t>
  </si>
  <si>
    <t>0000-341-005-002.ipt</t>
  </si>
  <si>
    <t>1.20.2.19</t>
  </si>
  <si>
    <t>0000-342-032</t>
  </si>
  <si>
    <t>Pipe Holder DN100-Ø114</t>
  </si>
  <si>
    <t>0000-342-032.ipt</t>
  </si>
  <si>
    <t>1.20.2.20</t>
  </si>
  <si>
    <t>1.20.2.20.1</t>
  </si>
  <si>
    <t>1.20.2.20.2</t>
  </si>
  <si>
    <t>1.20.2.21</t>
  </si>
  <si>
    <t>0000-343-004</t>
  </si>
  <si>
    <t>Support Bracket for Pipe Holders - 350</t>
  </si>
  <si>
    <t>0000-343-004.iam</t>
  </si>
  <si>
    <t>1.20.2.21.1</t>
  </si>
  <si>
    <t>0000-343-002</t>
  </si>
  <si>
    <t>0000-343-002.iam</t>
  </si>
  <si>
    <t>1.20.2.21.1.1</t>
  </si>
  <si>
    <t>Sheet 8mm</t>
  </si>
  <si>
    <t>0000-343-003</t>
  </si>
  <si>
    <t>0000-343-003.ipt</t>
  </si>
  <si>
    <t>160,0 mm</t>
  </si>
  <si>
    <t>1.20.2.21.1.2</t>
  </si>
  <si>
    <t>Sheet 5mm</t>
  </si>
  <si>
    <t>0000-343-002-001.ipt</t>
  </si>
  <si>
    <t>1.20.2.21.2</t>
  </si>
  <si>
    <t>0000-750-003</t>
  </si>
  <si>
    <t>Washer - M12 - DIN125-1A - FZV</t>
  </si>
  <si>
    <t>Washer - M12 - DIN125-1A - FZV.ipt</t>
  </si>
  <si>
    <t>1.20.2.21.3</t>
  </si>
  <si>
    <t>Nut - M12 - EN 24032 - FZV</t>
  </si>
  <si>
    <t>Nut - M12 - EN 24032</t>
  </si>
  <si>
    <t>Nut - M12 - EN 24032 - FZV.ipt</t>
  </si>
  <si>
    <t>1.20.2.21.4</t>
  </si>
  <si>
    <t>0000-750-004</t>
  </si>
  <si>
    <t>Threaded Bar - M12x160 - DIN 975 - 8.8 - FZV</t>
  </si>
  <si>
    <t>Threaded Rod 8.8 - FZV</t>
  </si>
  <si>
    <t>Threaded Bar - M12x160 - DIN 975 - 8.8 - FZV.ipt</t>
  </si>
  <si>
    <t>1.20.2.22</t>
  </si>
  <si>
    <t>0000-342-011</t>
  </si>
  <si>
    <t>Pipe Holder M16-DN100-Ø114</t>
  </si>
  <si>
    <t>Pipe Holder</t>
  </si>
  <si>
    <t>0000-342-011.iam</t>
  </si>
  <si>
    <t>1.20.2.22.1</t>
  </si>
  <si>
    <t>0000-750-025</t>
  </si>
  <si>
    <t>DIN 3567 - DN100 - Pipe Clamp Form A</t>
  </si>
  <si>
    <t>DIN 3567 - DN100 - Pipe Clamp Form A.ipt</t>
  </si>
  <si>
    <t>1.20.2.22.2</t>
  </si>
  <si>
    <t>Threaded Bar - M16x250 - DIN 975 - A2</t>
  </si>
  <si>
    <t>Thread Bar SS A2</t>
  </si>
  <si>
    <t>Threaded Bar - M16x250 - DIN 975 - A2.ipt</t>
  </si>
  <si>
    <t>1.20.2.22.3</t>
  </si>
  <si>
    <t>1.20.2.22.4</t>
  </si>
  <si>
    <t>Washer - M16 - ISO 7089 - A2</t>
  </si>
  <si>
    <t>Washer - M16 - ISO 7089 - A2.ipt</t>
  </si>
  <si>
    <t>1.20.2.22.5</t>
  </si>
  <si>
    <t>Bolt - M16x50 - ISO4017 - A2</t>
  </si>
  <si>
    <t>Bolt - M16x50 - ISO4017 - A2.ipt</t>
  </si>
  <si>
    <t>1.20.2.23</t>
  </si>
  <si>
    <t>0000-342-016</t>
  </si>
  <si>
    <t>Pipe Holder M12-DN65-Ø76</t>
  </si>
  <si>
    <t>0000-342-016.iam</t>
  </si>
  <si>
    <t>1.20.2.23.1</t>
  </si>
  <si>
    <t>1.20.2.23.2</t>
  </si>
  <si>
    <t>DIN 3567 - DN65 - Pipe Clamp Form A</t>
  </si>
  <si>
    <t>DIN 3567 - DN65 - Pipe Clamp Form A.ipt</t>
  </si>
  <si>
    <t>1.20.2.23.3</t>
  </si>
  <si>
    <t>Bolt - M12x40 - ISO4017 - A2</t>
  </si>
  <si>
    <t>Bolt - M12x40 - ISO4017 - A2.ipt</t>
  </si>
  <si>
    <t>1.20.2.23.4</t>
  </si>
  <si>
    <t>Washer - M12 - ISO 7089 - A2</t>
  </si>
  <si>
    <t>Washer - M12 - ISO 7089 - A2.ipt</t>
  </si>
  <si>
    <t>1.20.2.23.5</t>
  </si>
  <si>
    <t>Nut - M12 - ISO 4032 - A2</t>
  </si>
  <si>
    <t>Nut - M12 - ISO 4032 - A2.ipt</t>
  </si>
  <si>
    <t>1.20.2.24</t>
  </si>
  <si>
    <t>0000-342-027</t>
  </si>
  <si>
    <t>Pipe Holder DN100-Ø114,3x321</t>
  </si>
  <si>
    <t>0000-342-027.iam</t>
  </si>
  <si>
    <t>Inseparable</t>
  </si>
  <si>
    <t>1.20.2.24.1</t>
  </si>
  <si>
    <t>Sheet metal t=4mm</t>
  </si>
  <si>
    <t>0000-342-024-001.ipt</t>
  </si>
  <si>
    <t>1.20.2.24.2</t>
  </si>
  <si>
    <t>1.20.2.24.3</t>
  </si>
  <si>
    <t>1.20.2.24.4</t>
  </si>
  <si>
    <t>1.20.2.24.5</t>
  </si>
  <si>
    <t>1.20.2.25</t>
  </si>
  <si>
    <t>Ball valve - DN50 - manual - Valtor V-106</t>
  </si>
  <si>
    <t>Ball valve - DN50 - manual - Valtor V-106.ipt</t>
  </si>
  <si>
    <t>1.20.2.26</t>
  </si>
  <si>
    <t>0000-321-017</t>
  </si>
  <si>
    <t>SC-MPTK-105 - DN100_PN10 - BM</t>
  </si>
  <si>
    <t>0000-321-017.ipt</t>
  </si>
  <si>
    <t>1.20.3</t>
  </si>
  <si>
    <t>2500-04-BM011-01</t>
  </si>
  <si>
    <t>From Industry Tank - DN100 - BM</t>
  </si>
  <si>
    <t>2500-04-BM011-01.iam</t>
  </si>
  <si>
    <t>1.20.3.1</t>
  </si>
  <si>
    <t>1.20.3.2</t>
  </si>
  <si>
    <t>1.20.3.3</t>
  </si>
  <si>
    <t>1.20.3.4</t>
  </si>
  <si>
    <t>1.20.3.5</t>
  </si>
  <si>
    <t>1.20.3.6</t>
  </si>
  <si>
    <t>1.20.3.7</t>
  </si>
  <si>
    <t>1.20.3.8</t>
  </si>
  <si>
    <t>0000-702-002</t>
  </si>
  <si>
    <t>Sensor - DN100 PN16 - MAG 3100 - Siemens</t>
  </si>
  <si>
    <t>Sensor - DN100 PN16 - MAG 3100 - Siemens.ipt</t>
  </si>
  <si>
    <t>1.20.3.9</t>
  </si>
  <si>
    <t>Pipe - DN100-Ø114,3x2,6 L=4957 - EN10217-7</t>
  </si>
  <si>
    <t>2500-04-BM011-01-01.ipt</t>
  </si>
  <si>
    <t>1.20.3.10</t>
  </si>
  <si>
    <t>0000-321-015</t>
  </si>
  <si>
    <t>SC-MPTK-80 - DN100_PN10 - BM</t>
  </si>
  <si>
    <t>0000-321-015.ipt</t>
  </si>
  <si>
    <t>1.20.3.11</t>
  </si>
  <si>
    <t>Pipe - DN125-Ø139,7x2,6 L=14832 - EN10217-7</t>
  </si>
  <si>
    <t>2500-04-BM011-01-02.ipt</t>
  </si>
  <si>
    <t>1.20.3.12</t>
  </si>
  <si>
    <t>Elbow 90° DN125 Ø139,7x2,6 - Type 3 R=190,5 - EN10253-4</t>
  </si>
  <si>
    <t>Elbow 90° DN125 Ø139,7x2,6 - Type 3 R=190,5 - EN10253-4 - 1.4301.ipt</t>
  </si>
  <si>
    <t>1.20.3.13</t>
  </si>
  <si>
    <t>Pressed Flange - DN125/PN10 - EN 1092-1 Typ 02</t>
  </si>
  <si>
    <t>Pressed Flanges - DN125 PN10 - EN 1092-1 Typ 02 - 1.4301.ipt</t>
  </si>
  <si>
    <t>1.20.3.14</t>
  </si>
  <si>
    <t>Collar - DN125/PN10 - EN 1092-1 Typ 37</t>
  </si>
  <si>
    <t>Collar DN125 - PN10 EN 1092-1 Typ 37 - 1.4301.ipt</t>
  </si>
  <si>
    <t>1.20.3.15</t>
  </si>
  <si>
    <t>Ball valve Manual with indicator - DN125/PN16 - Pekos 02 TTT/PI</t>
  </si>
  <si>
    <t>Ball valve - DN125 Manual - Pekos 02 TTT-PI.ipt</t>
  </si>
  <si>
    <t>1.20.3.16</t>
  </si>
  <si>
    <t>Reducer - DN125-DN100 - EN 10253-4</t>
  </si>
  <si>
    <t>Reducer - DN125-DN100 - EN 10253-4 - 1.4301.ipt</t>
  </si>
  <si>
    <t>1.20.3.17</t>
  </si>
  <si>
    <t>1.20.3.17.1</t>
  </si>
  <si>
    <t>1.20.3.17.2</t>
  </si>
  <si>
    <t>1.20.3.17.3</t>
  </si>
  <si>
    <t>1.20.3.17.4</t>
  </si>
  <si>
    <t>1.20.3.18</t>
  </si>
  <si>
    <t>0000-342-035</t>
  </si>
  <si>
    <t>Side mounting - Pipe Holder DN125</t>
  </si>
  <si>
    <t>0000-342-035.ipt</t>
  </si>
  <si>
    <t>1.20.3.19</t>
  </si>
  <si>
    <t>1.20.3.20</t>
  </si>
  <si>
    <t>1.20.3.21</t>
  </si>
  <si>
    <t>1.20.4</t>
  </si>
  <si>
    <t>2500-04-BM012-01</t>
  </si>
  <si>
    <t>2500-04-BM012-01.iam</t>
  </si>
  <si>
    <t>1.20.4.1</t>
  </si>
  <si>
    <t>1.20.4.2</t>
  </si>
  <si>
    <t>1.20.4.3</t>
  </si>
  <si>
    <t>1.20.4.4</t>
  </si>
  <si>
    <t>1.20.4.5</t>
  </si>
  <si>
    <t>1.20.4.6</t>
  </si>
  <si>
    <t>1.20.4.7</t>
  </si>
  <si>
    <t>1.20.4.8</t>
  </si>
  <si>
    <t>1.20.4.9</t>
  </si>
  <si>
    <t>Pipe - DN100-Ø114,3x2,6 L=5049 - EN10217-7</t>
  </si>
  <si>
    <t>2500-04-BM012-01-01.ipt</t>
  </si>
  <si>
    <t>1.20.4.10</t>
  </si>
  <si>
    <t>1.20.4.11</t>
  </si>
  <si>
    <t>Pipe - DN125-Ø139,7x2,6 L=11553 - EN10217-7</t>
  </si>
  <si>
    <t>2500-04-BM012-01-02.ipt</t>
  </si>
  <si>
    <t>1.20.4.12</t>
  </si>
  <si>
    <t>1.20.4.13</t>
  </si>
  <si>
    <t>1.20.4.14</t>
  </si>
  <si>
    <t>1.20.4.15</t>
  </si>
  <si>
    <t>1.20.4.16</t>
  </si>
  <si>
    <t>1.20.4.17</t>
  </si>
  <si>
    <t>1.20.4.17.1</t>
  </si>
  <si>
    <t>1.20.4.17.2</t>
  </si>
  <si>
    <t>1.20.4.17.3</t>
  </si>
  <si>
    <t>1.20.4.17.4</t>
  </si>
  <si>
    <t>1.20.4.18</t>
  </si>
  <si>
    <t>1.20.4.19</t>
  </si>
  <si>
    <t>1.20.4.20</t>
  </si>
  <si>
    <t>1.20.4.21</t>
  </si>
  <si>
    <t>1.20.5</t>
  </si>
  <si>
    <t>2500-04-BM015-01</t>
  </si>
  <si>
    <t>To Solid Intake - DN150 - BM</t>
  </si>
  <si>
    <t>2500-04-BM015-01.iam</t>
  </si>
  <si>
    <t>1.20.5.1</t>
  </si>
  <si>
    <t>Pipe - DN125-Ø139,7x2,6 L=10047 - EN10217-7</t>
  </si>
  <si>
    <t>2500-04-BM015-01-01.ipt</t>
  </si>
  <si>
    <t>1.20.5.2</t>
  </si>
  <si>
    <t>1.20.5.3</t>
  </si>
  <si>
    <t>1.20.5.4</t>
  </si>
  <si>
    <t>1.20.5.5</t>
  </si>
  <si>
    <t>1.20.5.6</t>
  </si>
  <si>
    <t>Ball valve Automatic- DN125/PN16 - Pekos 02 TTT/RC200-DA/PI</t>
  </si>
  <si>
    <t>Ball Valve - DN125 Automatic- Pekos 02 TTT-PI RC200-DA.ipt</t>
  </si>
  <si>
    <t>1.20.5.7</t>
  </si>
  <si>
    <t>1.20.5.8</t>
  </si>
  <si>
    <t>Compensator - DN125 - Type 50 NBR</t>
  </si>
  <si>
    <t>Compensator - DN125 - Type 50.ipt</t>
  </si>
  <si>
    <t>1.20.5.9</t>
  </si>
  <si>
    <t>1.20.5.9.1</t>
  </si>
  <si>
    <t>1.20.5.9.2</t>
  </si>
  <si>
    <t>1.20.5.9.3</t>
  </si>
  <si>
    <t>1.20.5.9.4</t>
  </si>
  <si>
    <t>1.20.6</t>
  </si>
  <si>
    <t>2500-04-BM017-01</t>
  </si>
  <si>
    <t>2500-04-BM017-01.iam</t>
  </si>
  <si>
    <t>1.20.6.1</t>
  </si>
  <si>
    <t>Pipe - DN125-Ø139,7x2,6 L=8867 - EN10217-7</t>
  </si>
  <si>
    <t>2500-04-BM017-01-01.ipt</t>
  </si>
  <si>
    <t>1.20.6.2</t>
  </si>
  <si>
    <t>1.20.6.3</t>
  </si>
  <si>
    <t>1.20.6.4</t>
  </si>
  <si>
    <t>1.20.6.5</t>
  </si>
  <si>
    <t>1.20.6.6</t>
  </si>
  <si>
    <t>1.20.6.7</t>
  </si>
  <si>
    <t>1.20.6.8</t>
  </si>
  <si>
    <t>1.20.6.8.1</t>
  </si>
  <si>
    <t>1.20.6.8.2</t>
  </si>
  <si>
    <t>1.20.6.8.3</t>
  </si>
  <si>
    <t>1.20.6.8.4</t>
  </si>
  <si>
    <t>1.20.6.9</t>
  </si>
  <si>
    <t>1.21</t>
  </si>
  <si>
    <t>2500-04-TW032-11</t>
  </si>
  <si>
    <t>2500-04-TW032-11.iam</t>
  </si>
  <si>
    <t>1.21.1</t>
  </si>
  <si>
    <t>2500-04-TW032-11-01.ipt</t>
  </si>
  <si>
    <t>1.21.2</t>
  </si>
  <si>
    <t>2500-04-TW032-11-02.ipt</t>
  </si>
  <si>
    <t>1.21.3</t>
  </si>
  <si>
    <t>2500-04-TW032-11-03.ipt</t>
  </si>
  <si>
    <t>1.21.4</t>
  </si>
  <si>
    <t>1.21.5</t>
  </si>
  <si>
    <t>1.21.6</t>
  </si>
  <si>
    <t>1.22</t>
  </si>
  <si>
    <t>2500-04-PA011-01</t>
  </si>
  <si>
    <t>2500-04-PA011-01.iam</t>
  </si>
  <si>
    <t>1.22.1</t>
  </si>
  <si>
    <t>2500-04-PA011-01-01.ipt</t>
  </si>
  <si>
    <t>1.23</t>
  </si>
  <si>
    <t>2500-04-AF034-11</t>
  </si>
  <si>
    <t>2500-04-AF034-11.iam</t>
  </si>
  <si>
    <t>1.23.1</t>
  </si>
  <si>
    <t>2500-04-AF034-11-01.ipt</t>
  </si>
  <si>
    <t>2</t>
  </si>
  <si>
    <t>2500-404-005</t>
  </si>
  <si>
    <t>2500-404-005.iam</t>
  </si>
  <si>
    <t>2.1</t>
  </si>
  <si>
    <t>2500-04-BG060-10</t>
  </si>
  <si>
    <t>2500-04-BG060-10.iam</t>
  </si>
  <si>
    <t>2.1.1</t>
  </si>
  <si>
    <t>2.1.2</t>
  </si>
  <si>
    <t>2.1.3</t>
  </si>
  <si>
    <t>Pipe - DN250-Ø273,0x2,0 L=43707 - EN10217-7</t>
  </si>
  <si>
    <t>2500-04-BG033-10-01.ipt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</si>
  <si>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</si>
  <si>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</si>
  <si>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</si>
  <si>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</si>
  <si>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</si>
  <si>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</si>
  <si>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</si>
  <si>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</si>
  <si>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</si>
  <si>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</si>
  <si>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</si>
  <si>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</si>
  <si>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2.2</t>
  </si>
  <si>
    <t>2500-04-TW032-10</t>
  </si>
  <si>
    <t>2500-04-TW032-10.iam</t>
  </si>
  <si>
    <t>2.2.1</t>
  </si>
  <si>
    <t>2500-04-TW032-10-01.ipt</t>
  </si>
  <si>
    <t>2.2.2</t>
  </si>
  <si>
    <t>Pipe - DN15-Ø18,0x1,0 L=2045</t>
  </si>
  <si>
    <t>2500-04-TW032-10-02.ipt</t>
  </si>
  <si>
    <t>2.2.3</t>
  </si>
  <si>
    <t>2500-04-TW032-10-03.ipt</t>
  </si>
  <si>
    <t>2.2.4</t>
  </si>
  <si>
    <t>2.2.5</t>
  </si>
  <si>
    <t>2.2.6</t>
  </si>
  <si>
    <t>2.3</t>
  </si>
  <si>
    <t>2500-04-PA010-01</t>
  </si>
  <si>
    <t>2500-04-PA010-01.iam</t>
  </si>
  <si>
    <t>2.3.1</t>
  </si>
  <si>
    <t>2500-04-PA010-01-01.ipt</t>
  </si>
  <si>
    <t>2.4</t>
  </si>
  <si>
    <t>2500-04-AF034-10</t>
  </si>
  <si>
    <t>2500-04-AF034-10.iam</t>
  </si>
  <si>
    <t>2.4.1</t>
  </si>
  <si>
    <t>2500-04-AF034-10-01.ipt</t>
  </si>
  <si>
    <t>2.5</t>
  </si>
  <si>
    <t>2500-515-010</t>
  </si>
  <si>
    <t>2500-515-010.ipt</t>
  </si>
  <si>
    <t>2.6</t>
  </si>
  <si>
    <t>2500-615-010</t>
  </si>
  <si>
    <t>Area 04 - Digester 10</t>
  </si>
  <si>
    <t>2500-615-010.iam</t>
  </si>
  <si>
    <t>2.6.1</t>
  </si>
  <si>
    <t>2500-615-910</t>
  </si>
  <si>
    <t>Area 4 - Digester 10</t>
  </si>
  <si>
    <t>2500-615-910.iam</t>
  </si>
  <si>
    <t>2.6.1.1</t>
  </si>
  <si>
    <t>2500-615-910-002</t>
  </si>
  <si>
    <t>2500-615-910-002.ipt</t>
  </si>
  <si>
    <t>2.6.1.2</t>
  </si>
  <si>
    <t>2500-615-910-003</t>
  </si>
  <si>
    <t>2500-615-910-003.ipt</t>
  </si>
  <si>
    <t>2.6.1.3</t>
  </si>
  <si>
    <t>2500-615-910-004</t>
  </si>
  <si>
    <t>2500-615-910-004.ipt</t>
  </si>
  <si>
    <t>2.6.1.4</t>
  </si>
  <si>
    <t>2500-615-910-005</t>
  </si>
  <si>
    <t>2500-615-910-005.ipt</t>
  </si>
  <si>
    <t>2.6.1.5</t>
  </si>
  <si>
    <t>2500-615-910-006</t>
  </si>
  <si>
    <t>2500-615-910-006.ipt</t>
  </si>
  <si>
    <t>2.6.1.6</t>
  </si>
  <si>
    <t>2500-615-910-001</t>
  </si>
  <si>
    <t>2500-615-910-001.ipt</t>
  </si>
  <si>
    <t>2.6.2</t>
  </si>
  <si>
    <t>2.6.3</t>
  </si>
  <si>
    <t>2.6.4</t>
  </si>
  <si>
    <t>2.6.5</t>
  </si>
  <si>
    <t>2.6.6</t>
  </si>
  <si>
    <t>2.6.7</t>
  </si>
  <si>
    <t>2.6.8</t>
  </si>
  <si>
    <t>2.6.9</t>
  </si>
  <si>
    <t>2.6.10</t>
  </si>
  <si>
    <t>2.6.11</t>
  </si>
  <si>
    <t>2.6.12</t>
  </si>
  <si>
    <t>2.6.13</t>
  </si>
  <si>
    <t>2.6.14</t>
  </si>
  <si>
    <t>2.6.15</t>
  </si>
  <si>
    <t>2.6.16</t>
  </si>
  <si>
    <t>2.6.17</t>
  </si>
  <si>
    <t>2.6.18</t>
  </si>
  <si>
    <t>2.6.19</t>
  </si>
  <si>
    <t>2.6.20</t>
  </si>
  <si>
    <t>2.6.21</t>
  </si>
  <si>
    <t>2.6.22</t>
  </si>
  <si>
    <t>2.6.23</t>
  </si>
  <si>
    <t>2.6.24</t>
  </si>
  <si>
    <t>2.6.25</t>
  </si>
  <si>
    <t>2.6.26</t>
  </si>
  <si>
    <t>2.6.27</t>
  </si>
  <si>
    <t>2.6.28</t>
  </si>
  <si>
    <t>2.6.29</t>
  </si>
  <si>
    <t>2.6.30</t>
  </si>
  <si>
    <t>2.6.31</t>
  </si>
  <si>
    <t>2.6.32</t>
  </si>
  <si>
    <t>2.6.33</t>
  </si>
  <si>
    <t>2.6.34</t>
  </si>
  <si>
    <t>2.6.35</t>
  </si>
  <si>
    <t>2.6.36</t>
  </si>
  <si>
    <t>2.6.37</t>
  </si>
  <si>
    <t>2.6.38</t>
  </si>
  <si>
    <t>2.6.39</t>
  </si>
  <si>
    <t>2.6.40</t>
  </si>
  <si>
    <t>2.6.41</t>
  </si>
  <si>
    <t>2.6.42</t>
  </si>
  <si>
    <t>2.6.43</t>
  </si>
  <si>
    <t>2.6.44</t>
  </si>
  <si>
    <t>2.6.45</t>
  </si>
  <si>
    <t>2.6.46</t>
  </si>
  <si>
    <t>2.6.47</t>
  </si>
  <si>
    <t>2.6.48</t>
  </si>
  <si>
    <t>2.6.49</t>
  </si>
  <si>
    <t>2.6.50</t>
  </si>
  <si>
    <t>2.6.51</t>
  </si>
  <si>
    <t>2.6.52</t>
  </si>
  <si>
    <t>2500-615-910-007</t>
  </si>
  <si>
    <t>2500-615-910-007.ipt</t>
  </si>
  <si>
    <t>2.6.53</t>
  </si>
  <si>
    <t>2.6.54</t>
  </si>
  <si>
    <t>2.7</t>
  </si>
  <si>
    <t>2500-515-009</t>
  </si>
  <si>
    <t>2500-515-009.ipt</t>
  </si>
  <si>
    <t>2.8</t>
  </si>
  <si>
    <t>2.9</t>
  </si>
  <si>
    <t>2500-615-009</t>
  </si>
  <si>
    <t>Area 04 - Digester 9</t>
  </si>
  <si>
    <t>2500-615-009.iam</t>
  </si>
  <si>
    <t>2.9.1</t>
  </si>
  <si>
    <t>2500-615-909</t>
  </si>
  <si>
    <t>Area 4 - Digester 9</t>
  </si>
  <si>
    <t>2500-615-909.iam</t>
  </si>
  <si>
    <t>2.9.1.1</t>
  </si>
  <si>
    <t>2500-615-909-002</t>
  </si>
  <si>
    <t>2500-615-909-002.ipt</t>
  </si>
  <si>
    <t>2.9.1.2</t>
  </si>
  <si>
    <t>2500-615-909-003</t>
  </si>
  <si>
    <t>2500-615-909-003.ipt</t>
  </si>
  <si>
    <t>2.9.1.3</t>
  </si>
  <si>
    <t>2500-615-909-004</t>
  </si>
  <si>
    <t>2500-615-909-004.ipt</t>
  </si>
  <si>
    <t>2.9.1.4</t>
  </si>
  <si>
    <t>2500-615-909-005</t>
  </si>
  <si>
    <t>2500-615-909-005.ipt</t>
  </si>
  <si>
    <t>2.9.1.5</t>
  </si>
  <si>
    <t>2500-615-909-006</t>
  </si>
  <si>
    <t>2500-615-909-006.ipt</t>
  </si>
  <si>
    <t>2.9.1.6</t>
  </si>
  <si>
    <t>2500-615-909-001</t>
  </si>
  <si>
    <t>2500-615-909-001.ipt</t>
  </si>
  <si>
    <t>2.9.2</t>
  </si>
  <si>
    <t>2.9.3</t>
  </si>
  <si>
    <t>2.9.4</t>
  </si>
  <si>
    <t>2.9.5</t>
  </si>
  <si>
    <t>2.9.6</t>
  </si>
  <si>
    <t>2.9.7</t>
  </si>
  <si>
    <t>2.9.8</t>
  </si>
  <si>
    <t>2.9.9</t>
  </si>
  <si>
    <t>2.9.10</t>
  </si>
  <si>
    <t>2.9.11</t>
  </si>
  <si>
    <t>2.9.12</t>
  </si>
  <si>
    <t>2.9.13</t>
  </si>
  <si>
    <t>2.9.14</t>
  </si>
  <si>
    <t>2.9.15</t>
  </si>
  <si>
    <t>2.9.16</t>
  </si>
  <si>
    <t>2.9.17</t>
  </si>
  <si>
    <t>2.9.18</t>
  </si>
  <si>
    <t>2.9.19</t>
  </si>
  <si>
    <t>2.9.20</t>
  </si>
  <si>
    <t>2.9.21</t>
  </si>
  <si>
    <t>2.9.22</t>
  </si>
  <si>
    <t>2.9.23</t>
  </si>
  <si>
    <t>2.9.24</t>
  </si>
  <si>
    <t>2.9.25</t>
  </si>
  <si>
    <t>2.9.26</t>
  </si>
  <si>
    <t>2.9.27</t>
  </si>
  <si>
    <t>2.9.28</t>
  </si>
  <si>
    <t>2.9.29</t>
  </si>
  <si>
    <t>2.9.30</t>
  </si>
  <si>
    <t>2.9.31</t>
  </si>
  <si>
    <t>2.9.32</t>
  </si>
  <si>
    <t>2.9.33</t>
  </si>
  <si>
    <t>2.9.34</t>
  </si>
  <si>
    <t>2.9.35</t>
  </si>
  <si>
    <t>2.9.36</t>
  </si>
  <si>
    <t>2.9.37</t>
  </si>
  <si>
    <t>2.9.38</t>
  </si>
  <si>
    <t>2.9.39</t>
  </si>
  <si>
    <t>2.9.40</t>
  </si>
  <si>
    <t>2.9.41</t>
  </si>
  <si>
    <t>2.9.42</t>
  </si>
  <si>
    <t>2.9.43</t>
  </si>
  <si>
    <t>2.9.44</t>
  </si>
  <si>
    <t>2.9.45</t>
  </si>
  <si>
    <t>2.9.46</t>
  </si>
  <si>
    <t>2.9.47</t>
  </si>
  <si>
    <t>2.9.48</t>
  </si>
  <si>
    <t>2.9.49</t>
  </si>
  <si>
    <t>2.9.50</t>
  </si>
  <si>
    <t>2.9.51</t>
  </si>
  <si>
    <t>2.9.52</t>
  </si>
  <si>
    <t>2500-615-909-007</t>
  </si>
  <si>
    <t>2500-615-909-007.ipt</t>
  </si>
  <si>
    <t>2.9.53</t>
  </si>
  <si>
    <t>2.9.54</t>
  </si>
  <si>
    <t>2.10</t>
  </si>
  <si>
    <t>2500-503-010</t>
  </si>
  <si>
    <t>2500-503-010.ipt</t>
  </si>
  <si>
    <t>2.11</t>
  </si>
  <si>
    <t>2.12</t>
  </si>
  <si>
    <t>2.13</t>
  </si>
  <si>
    <t>2.14</t>
  </si>
  <si>
    <t>2.15</t>
  </si>
  <si>
    <t>2.16</t>
  </si>
  <si>
    <t>2500-621-010</t>
  </si>
  <si>
    <t>2500-621-010.iam</t>
  </si>
  <si>
    <t>2.16.1</t>
  </si>
  <si>
    <t>2.16.2</t>
  </si>
  <si>
    <t>2.16.3</t>
  </si>
  <si>
    <t>2.16.4</t>
  </si>
  <si>
    <t>2.16.5</t>
  </si>
  <si>
    <t>0000-316-010</t>
  </si>
  <si>
    <t>4 HEX Water-Biomass Ver. 01</t>
  </si>
  <si>
    <t>0000-316-010.ipt</t>
  </si>
  <si>
    <t>2.17</t>
  </si>
  <si>
    <t>2500-04-BG059-09</t>
  </si>
  <si>
    <t>2500-04-BG059-09.iam</t>
  </si>
  <si>
    <t>2.17.1</t>
  </si>
  <si>
    <t>2.17.2</t>
  </si>
  <si>
    <t>2.17.3</t>
  </si>
  <si>
    <t>Pipe - DN250-Ø273,0x2,0 L=32356 - EN10217-7</t>
  </si>
  <si>
    <t>2500-04-BG033-09-01.ipt</t>
  </si>
  <si>
    <t>2.17.4</t>
  </si>
  <si>
    <t>2.17.5</t>
  </si>
  <si>
    <t>2.17.6</t>
  </si>
  <si>
    <t>2.17.7</t>
  </si>
  <si>
    <t>2.17.8</t>
  </si>
  <si>
    <t>2.17.9</t>
  </si>
  <si>
    <t>2.17.10</t>
  </si>
  <si>
    <t>2.17.11</t>
  </si>
  <si>
    <t>2.17.12</t>
  </si>
  <si>
    <t>2.17.13</t>
  </si>
  <si>
    <t>2.17.14</t>
  </si>
  <si>
    <t>2.17.15</t>
  </si>
  <si>
    <t>2.18</t>
  </si>
  <si>
    <t>2500-04-Pipe-Dige-2</t>
  </si>
  <si>
    <t>2500-04-Pipe-Dige-2.iam</t>
  </si>
  <si>
    <t>2.18.1</t>
  </si>
  <si>
    <t>2500-04-HW206-01</t>
  </si>
  <si>
    <t>2500-04-HW206-01.iam</t>
  </si>
  <si>
    <t>2.18.1.1</t>
  </si>
  <si>
    <t>Pipe - DN65-Ø76,1x2,9 L=27206</t>
  </si>
  <si>
    <t>2500-04-HW206-01-01.ipt</t>
  </si>
  <si>
    <t>2.18.1.2</t>
  </si>
  <si>
    <t>2.18.1.3</t>
  </si>
  <si>
    <t>2.18.1.4</t>
  </si>
  <si>
    <t>2.18.1.5</t>
  </si>
  <si>
    <t>2.18.1.6</t>
  </si>
  <si>
    <t>2.18.1.7</t>
  </si>
  <si>
    <t>2.18.1.8</t>
  </si>
  <si>
    <t>2.18.1.9</t>
  </si>
  <si>
    <t>2.18.1.10</t>
  </si>
  <si>
    <t>2.18.1.11</t>
  </si>
  <si>
    <t>2.18.1.12</t>
  </si>
  <si>
    <t>2.18.1.13</t>
  </si>
  <si>
    <t>2.18.1.14</t>
  </si>
  <si>
    <t>2.18.1.15</t>
  </si>
  <si>
    <t>2.18.1.16</t>
  </si>
  <si>
    <t>2.18.1.17</t>
  </si>
  <si>
    <t>2.18.1.17.1</t>
  </si>
  <si>
    <t>2.18.1.17.2</t>
  </si>
  <si>
    <t>2.18.1.17.3</t>
  </si>
  <si>
    <t>2.18.1.17.4</t>
  </si>
  <si>
    <t>2.18.1.18</t>
  </si>
  <si>
    <t>2.18.2</t>
  </si>
  <si>
    <t>2500-04-BM023-01</t>
  </si>
  <si>
    <t>2500-04-BM023-01.iam</t>
  </si>
  <si>
    <t>2.18.2.1</t>
  </si>
  <si>
    <t>Pipe - DN100-Ø114,3x2,6 L=45006 - EN10217-7</t>
  </si>
  <si>
    <t>2500-04-BM023-01-01.ipt</t>
  </si>
  <si>
    <t>2.18.2.2</t>
  </si>
  <si>
    <t>2.18.2.3</t>
  </si>
  <si>
    <t>2.18.2.4</t>
  </si>
  <si>
    <t>2.18.2.5</t>
  </si>
  <si>
    <t>2.18.2.6</t>
  </si>
  <si>
    <t>2.18.2.7</t>
  </si>
  <si>
    <t>2.18.2.8</t>
  </si>
  <si>
    <t>2.18.2.9</t>
  </si>
  <si>
    <t>2.18.2.10</t>
  </si>
  <si>
    <t>2.18.2.11</t>
  </si>
  <si>
    <t>2.18.2.11.1</t>
  </si>
  <si>
    <t>2.18.2.11.2</t>
  </si>
  <si>
    <t>2.18.2.11.3</t>
  </si>
  <si>
    <t>2.18.2.11.4</t>
  </si>
  <si>
    <t>2.18.2.12</t>
  </si>
  <si>
    <t>2.18.2.12.1</t>
  </si>
  <si>
    <t>2.18.2.12.2</t>
  </si>
  <si>
    <t>2.18.2.12.3</t>
  </si>
  <si>
    <t>2.18.2.12.4</t>
  </si>
  <si>
    <t>2.18.2.12.5</t>
  </si>
  <si>
    <t>2.18.2.13</t>
  </si>
  <si>
    <t>2.18.2.14</t>
  </si>
  <si>
    <t>2.18.2.15</t>
  </si>
  <si>
    <t>2.18.2.16</t>
  </si>
  <si>
    <t>2.18.2.17</t>
  </si>
  <si>
    <t>2.18.2.18</t>
  </si>
  <si>
    <t>2.18.2.19</t>
  </si>
  <si>
    <t>2.18.2.19.1</t>
  </si>
  <si>
    <t>2.18.2.19.2</t>
  </si>
  <si>
    <t>2.18.2.19.3</t>
  </si>
  <si>
    <t>2.18.2.20</t>
  </si>
  <si>
    <t>2.18.2.20.1</t>
  </si>
  <si>
    <t>2.18.2.20.1.1</t>
  </si>
  <si>
    <t>2.18.2.20.1.2</t>
  </si>
  <si>
    <t>2.18.2.20.2</t>
  </si>
  <si>
    <t>2.18.2.20.3</t>
  </si>
  <si>
    <t>2.18.2.20.4</t>
  </si>
  <si>
    <t>2.18.2.21</t>
  </si>
  <si>
    <t>2.18.2.21.1</t>
  </si>
  <si>
    <t>2.18.2.21.2</t>
  </si>
  <si>
    <t>2.18.2.21.3</t>
  </si>
  <si>
    <t>2.18.2.21.4</t>
  </si>
  <si>
    <t>2.18.2.21.5</t>
  </si>
  <si>
    <t>2.18.2.22</t>
  </si>
  <si>
    <t>2.18.2.22.1</t>
  </si>
  <si>
    <t>2.18.2.22.2</t>
  </si>
  <si>
    <t>2.18.2.22.3</t>
  </si>
  <si>
    <t>2.18.2.22.4</t>
  </si>
  <si>
    <t>2.18.2.22.5</t>
  </si>
  <si>
    <t>2.18.2.23</t>
  </si>
  <si>
    <t>2.18.2.24</t>
  </si>
  <si>
    <t>2.18.2.25</t>
  </si>
  <si>
    <t>0000-342-020</t>
  </si>
  <si>
    <t>Pipe holder foot L=100</t>
  </si>
  <si>
    <t>0000-342-020.iam</t>
  </si>
  <si>
    <t>2.18.2.25.1</t>
  </si>
  <si>
    <t>Square tube - 60x60x3 L=100</t>
  </si>
  <si>
    <t>0000-342-020-002.ipt</t>
  </si>
  <si>
    <t>2.18.2.25.2</t>
  </si>
  <si>
    <t>2.18.2.25.3</t>
  </si>
  <si>
    <t>2.18.2.25.4</t>
  </si>
  <si>
    <t>2.18.2.26</t>
  </si>
  <si>
    <t>2.18.3</t>
  </si>
  <si>
    <t>2500-04-BM002-01</t>
  </si>
  <si>
    <t>2500-04-BM002-01.iam</t>
  </si>
  <si>
    <t>2.18.3.1</t>
  </si>
  <si>
    <t>Pipe - DN100-Ø114,3x2,6 L=25601 - EN10217-7</t>
  </si>
  <si>
    <t>2500-04-BM002-01-01.ipt</t>
  </si>
  <si>
    <t>2.18.3.2</t>
  </si>
  <si>
    <t>2.18.3.3</t>
  </si>
  <si>
    <t>2.18.3.4</t>
  </si>
  <si>
    <t>2.18.3.5</t>
  </si>
  <si>
    <t>2.18.3.6</t>
  </si>
  <si>
    <t>2.18.3.7</t>
  </si>
  <si>
    <t>2.18.3.8</t>
  </si>
  <si>
    <t>2.18.3.9</t>
  </si>
  <si>
    <t>2.18.3.10</t>
  </si>
  <si>
    <t>2.18.3.10.1</t>
  </si>
  <si>
    <t>2.18.3.10.2</t>
  </si>
  <si>
    <t>2.18.3.10.3</t>
  </si>
  <si>
    <t>2.18.3.10.4</t>
  </si>
  <si>
    <t>2.18.3.11</t>
  </si>
  <si>
    <t>2.18.3.11.1</t>
  </si>
  <si>
    <t>2.18.3.11.2</t>
  </si>
  <si>
    <t>2.18.3.11.3</t>
  </si>
  <si>
    <t>2.18.3.11.4</t>
  </si>
  <si>
    <t>2.18.3.11.5</t>
  </si>
  <si>
    <t>2.18.3.12</t>
  </si>
  <si>
    <t>2.18.4</t>
  </si>
  <si>
    <t>2500-04-BM003-01</t>
  </si>
  <si>
    <t>2500-04-BM003-01.iam</t>
  </si>
  <si>
    <t>2.18.4.1</t>
  </si>
  <si>
    <t>Pipe - DN100-Ø114,3x2,6 L=25339 - EN10217-7</t>
  </si>
  <si>
    <t>2500-04-BM003-01-01.ipt</t>
  </si>
  <si>
    <t>2.18.4.2</t>
  </si>
  <si>
    <t>2.18.4.3</t>
  </si>
  <si>
    <t>2.18.4.4</t>
  </si>
  <si>
    <t>2.18.4.5</t>
  </si>
  <si>
    <t>2.18.4.6</t>
  </si>
  <si>
    <t>2.18.4.7</t>
  </si>
  <si>
    <t>2.18.4.8</t>
  </si>
  <si>
    <t>2.18.4.9</t>
  </si>
  <si>
    <t>2.18.4.9.1</t>
  </si>
  <si>
    <t>2.18.4.9.2</t>
  </si>
  <si>
    <t>2.18.4.9.3</t>
  </si>
  <si>
    <t>2.18.4.9.4</t>
  </si>
  <si>
    <t>2.18.4.10</t>
  </si>
  <si>
    <t>2.18.4.10.1</t>
  </si>
  <si>
    <t>2.18.4.10.2</t>
  </si>
  <si>
    <t>2.18.4.10.3</t>
  </si>
  <si>
    <t>2.18.4.10.4</t>
  </si>
  <si>
    <t>2.18.4.10.5</t>
  </si>
  <si>
    <t>2.18.4.11</t>
  </si>
  <si>
    <t>2.18.5</t>
  </si>
  <si>
    <t>2500-04-BM012-02</t>
  </si>
  <si>
    <t>2500-04-BM012-02.iam</t>
  </si>
  <si>
    <t>2.18.5.1</t>
  </si>
  <si>
    <t>2.18.5.2</t>
  </si>
  <si>
    <t>2.18.5.3</t>
  </si>
  <si>
    <t>2.18.5.4</t>
  </si>
  <si>
    <t>Pipe - DN125-Ø139,7x2,6 L=9451 - EN10217-7</t>
  </si>
  <si>
    <t>2500-04-BM012-02-01.ipt</t>
  </si>
  <si>
    <t>2.18.5.5</t>
  </si>
  <si>
    <t>2.18.5.6</t>
  </si>
  <si>
    <t>2.18.5.7</t>
  </si>
  <si>
    <t>2.18.5.7.1</t>
  </si>
  <si>
    <t>2.18.5.7.2</t>
  </si>
  <si>
    <t>2.18.5.7.3</t>
  </si>
  <si>
    <t>2.18.5.7.4</t>
  </si>
  <si>
    <t>2.18.5.8</t>
  </si>
  <si>
    <t>2.18.5.9</t>
  </si>
  <si>
    <t>2.18.5.10</t>
  </si>
  <si>
    <t>Tee Equal - DN125 Ø139,7x2,6 - EN10523-4</t>
  </si>
  <si>
    <t>Tee Equal - DN125 Ø139,7x2,6 - EN10523-4 - 1.4301.ipt</t>
  </si>
  <si>
    <t>2.18.6</t>
  </si>
  <si>
    <t>2500-04-BM004-02</t>
  </si>
  <si>
    <t>2500-04-BM004-02.iam</t>
  </si>
  <si>
    <t>2.18.6.1</t>
  </si>
  <si>
    <t>Pipe - DN200-Ø219,1x2,6 L=18703 - EN10217-7</t>
  </si>
  <si>
    <t>2500-04-BM004-02-01.ipt</t>
  </si>
  <si>
    <t>2.18.6.2</t>
  </si>
  <si>
    <t>2.18.6.2.1</t>
  </si>
  <si>
    <t>2.18.6.2.2</t>
  </si>
  <si>
    <t>2.18.6.2.3</t>
  </si>
  <si>
    <t>2.18.6.2.4</t>
  </si>
  <si>
    <t>2.18.6.3</t>
  </si>
  <si>
    <t>Collar - DN200/PN10 - EN 1092-1 Typ 37</t>
  </si>
  <si>
    <t>Collar DN200 - PN10 EN 1092-1 Typ 37 - 1.4301.ipt</t>
  </si>
  <si>
    <t>2.18.6.4</t>
  </si>
  <si>
    <t>Pressed Flange - DN200/PN10 - EN 1092-1 Typ 02</t>
  </si>
  <si>
    <t>Pressed Flanges - DN200 PN10 - EN 1092-1 Typ 02 - 1.4301.ipt</t>
  </si>
  <si>
    <t>2.18.6.5</t>
  </si>
  <si>
    <t>2.18.6.6</t>
  </si>
  <si>
    <t>Tee Equal - DN200 Ø219,1x3 - EN10523-4</t>
  </si>
  <si>
    <t>Tee Equal - DN200 Ø219,1x3,0- EN10523-4 - 1.4301.ipt</t>
  </si>
  <si>
    <t>2.18.6.7</t>
  </si>
  <si>
    <t>Elbow 90° DN200 Ø219,1x2,6 - Type 3 R=305 - DIN2605 - 1.4301</t>
  </si>
  <si>
    <t>Elbow 90° DN200 Ø219,1x2,6 - Type 3 R=305 - DIN2605 - 1.4301.ipt</t>
  </si>
  <si>
    <t>2.18.6.8</t>
  </si>
  <si>
    <t>Compensator - DN200 - Type 50 NBR</t>
  </si>
  <si>
    <t>Compensator - DN200 - Type 50.ipt</t>
  </si>
  <si>
    <t>2.18.6.9</t>
  </si>
  <si>
    <t>0000-701-020</t>
  </si>
  <si>
    <t>Auto Knife Gate Valve - DN200-PN10 - WB14 -  FRSC160-215</t>
  </si>
  <si>
    <t>Automatic Knife Gate Valve - DN200-PN10 - WB14E - FRSC160-215 - Stafsjö.ipt</t>
  </si>
  <si>
    <t>2.18.6.10</t>
  </si>
  <si>
    <t>0000-342-033</t>
  </si>
  <si>
    <t>Pipe Holder DN200-Ø219</t>
  </si>
  <si>
    <t>0000-342-033.ipt</t>
  </si>
  <si>
    <t>2.18.7</t>
  </si>
  <si>
    <t>2500-04-BM005-02</t>
  </si>
  <si>
    <t>2500-04-BM005-02.iam</t>
  </si>
  <si>
    <t>2.18.7.1</t>
  </si>
  <si>
    <t>Pipe - DN200-Ø219,1x2,6 L=24352 - EN10217-7</t>
  </si>
  <si>
    <t>2500-04-BM005-02-01.ipt</t>
  </si>
  <si>
    <t>2.18.7.2</t>
  </si>
  <si>
    <t>2.18.7.3</t>
  </si>
  <si>
    <t>2.18.7.4</t>
  </si>
  <si>
    <t>2.18.7.5</t>
  </si>
  <si>
    <t>2.18.7.6</t>
  </si>
  <si>
    <t>2.18.7.7</t>
  </si>
  <si>
    <t>0000-342-030</t>
  </si>
  <si>
    <t>0000-342-030.iam</t>
  </si>
  <si>
    <t>2.18.7.7.1</t>
  </si>
  <si>
    <t>2.18.7.7.2</t>
  </si>
  <si>
    <t>DIN 3567 - DN200 - Pipe Clamp Form A</t>
  </si>
  <si>
    <t>DIN 3567 - DN200 - Pipe Clamp Form A.ipt</t>
  </si>
  <si>
    <t>2.18.7.7.3</t>
  </si>
  <si>
    <t>2.18.7.7.4</t>
  </si>
  <si>
    <t>2.18.7.7.5</t>
  </si>
  <si>
    <t>2.18.7.8</t>
  </si>
  <si>
    <t>Elbow 45° DN200 Ø219,1x2,0 - Type 3 R=305 - DIN2605 - 1.4301</t>
  </si>
  <si>
    <t>Elbow 45° DN200 Ø219,1x2,0 - Type 3 R=305 - DIN2605 - 1.4301.ipt</t>
  </si>
  <si>
    <t>2.18.7.9</t>
  </si>
  <si>
    <t>2.18.7.9.1</t>
  </si>
  <si>
    <t>2.18.7.9.2</t>
  </si>
  <si>
    <t>2.18.7.9.3</t>
  </si>
  <si>
    <t>2.18.7.9.4</t>
  </si>
  <si>
    <t>2.18.7.10</t>
  </si>
  <si>
    <t>2.18.7.11</t>
  </si>
  <si>
    <t>2.18.7.12</t>
  </si>
  <si>
    <t>2.18.8</t>
  </si>
  <si>
    <t>2500-04-BM006-02</t>
  </si>
  <si>
    <t>2500-04-BM006-02.iam</t>
  </si>
  <si>
    <t>2.18.8.1</t>
  </si>
  <si>
    <t>Pipe - DN200-Ø219,1x2,6 L=18985 - EN10217-7</t>
  </si>
  <si>
    <t>2500-04-BM006-02-01.ipt</t>
  </si>
  <si>
    <t>2.18.8.2</t>
  </si>
  <si>
    <t>2.18.8.2.1</t>
  </si>
  <si>
    <t>2.18.8.2.2</t>
  </si>
  <si>
    <t>2.18.8.2.3</t>
  </si>
  <si>
    <t>2.18.8.2.4</t>
  </si>
  <si>
    <t>2.18.8.3</t>
  </si>
  <si>
    <t>2.18.8.4</t>
  </si>
  <si>
    <t>2.18.8.5</t>
  </si>
  <si>
    <t>2.18.8.6</t>
  </si>
  <si>
    <t>2.18.8.7</t>
  </si>
  <si>
    <t>2.18.8.8</t>
  </si>
  <si>
    <t>2.18.8.9</t>
  </si>
  <si>
    <t>2.18.8.10</t>
  </si>
  <si>
    <t>2.18.9</t>
  </si>
  <si>
    <t>2500-04-BM007-02</t>
  </si>
  <si>
    <t>2500-04-BM007-02.iam</t>
  </si>
  <si>
    <t>2.18.9.1</t>
  </si>
  <si>
    <t>Pipe - DN200-Ø219,1x2,6 L=24545 - EN10217-7</t>
  </si>
  <si>
    <t>2500-04-BM007-02-01.ipt</t>
  </si>
  <si>
    <t>2.18.9.2</t>
  </si>
  <si>
    <t>2.18.9.3</t>
  </si>
  <si>
    <t>2.18.9.4</t>
  </si>
  <si>
    <t>2.18.9.5</t>
  </si>
  <si>
    <t>2.18.9.6</t>
  </si>
  <si>
    <t>2.18.9.7</t>
  </si>
  <si>
    <t>2.18.9.7.1</t>
  </si>
  <si>
    <t>2.18.9.7.2</t>
  </si>
  <si>
    <t>2.18.9.7.3</t>
  </si>
  <si>
    <t>2.18.9.7.4</t>
  </si>
  <si>
    <t>2.18.9.7.5</t>
  </si>
  <si>
    <t>2.18.9.8</t>
  </si>
  <si>
    <t>2.18.9.8.1</t>
  </si>
  <si>
    <t>2.18.9.8.2</t>
  </si>
  <si>
    <t>2.18.9.8.3</t>
  </si>
  <si>
    <t>2.18.9.8.4</t>
  </si>
  <si>
    <t>2.18.9.9</t>
  </si>
  <si>
    <t>2.18.9.10</t>
  </si>
  <si>
    <t>2.18.9.11</t>
  </si>
  <si>
    <t>2.18.10</t>
  </si>
  <si>
    <t>2500-04-BM008-02</t>
  </si>
  <si>
    <t>2500-04-BM008-02.iam</t>
  </si>
  <si>
    <t>2.18.10.1</t>
  </si>
  <si>
    <t>Pipe - DN65-Ø76,1x2,6 L=11377 - EN10217-7</t>
  </si>
  <si>
    <t>2500-04-BM008-02-01.ipt</t>
  </si>
  <si>
    <t>2.18.10.2</t>
  </si>
  <si>
    <t>2.18.10.3</t>
  </si>
  <si>
    <t>2.18.10.4</t>
  </si>
  <si>
    <t>2.18.10.5</t>
  </si>
  <si>
    <t>2.18.10.6</t>
  </si>
  <si>
    <t>Ball Valve - DN65 Automatic - PEKOS 02-PI-RC230</t>
  </si>
  <si>
    <t>Ball Valve - DN65 Automatic - PEKOS 02-PI-RC230.ipt</t>
  </si>
  <si>
    <t>2.18.11</t>
  </si>
  <si>
    <t>2500-04-BM012-03</t>
  </si>
  <si>
    <t>2500-04-BM012-03.iam</t>
  </si>
  <si>
    <t>2.18.11.1</t>
  </si>
  <si>
    <t>2.18.11.2</t>
  </si>
  <si>
    <t>2.18.11.3</t>
  </si>
  <si>
    <t>Pipe - DN125-Ø139,7x2,6 L=10529 - EN10217-7</t>
  </si>
  <si>
    <t>2500-04-BM012-03-01.ipt</t>
  </si>
  <si>
    <t>2.18.12</t>
  </si>
  <si>
    <t>2500-04-HW201-02</t>
  </si>
  <si>
    <t>2500-04-HW201-02.iam</t>
  </si>
  <si>
    <t>2.18.12.1</t>
  </si>
  <si>
    <t>Pipe - DN125-Ø139,7x2,0 L=20929</t>
  </si>
  <si>
    <t>2500-04-HW201-02-01.ipt</t>
  </si>
  <si>
    <t>2.18.12.2</t>
  </si>
  <si>
    <t>2.18.12.3</t>
  </si>
  <si>
    <t>2.18.12.4</t>
  </si>
  <si>
    <t>2.18.12.5</t>
  </si>
  <si>
    <t>2.18.13</t>
  </si>
  <si>
    <t>2500-04-BM013-02</t>
  </si>
  <si>
    <t>2500-04-BM013-02.iam</t>
  </si>
  <si>
    <t>2.18.13.1</t>
  </si>
  <si>
    <t>Pipe - DN125-Ø139,7x2,6 L=6926 - EN10217-7</t>
  </si>
  <si>
    <t>2500-04-BM013-02-01.ipt</t>
  </si>
  <si>
    <t>2.18.13.2</t>
  </si>
  <si>
    <t>2.18.13.3</t>
  </si>
  <si>
    <t>2.18.13.4</t>
  </si>
  <si>
    <t>2.18.13.5</t>
  </si>
  <si>
    <t>2.18.13.6</t>
  </si>
  <si>
    <t>2.18.13.7</t>
  </si>
  <si>
    <t>2.18.13.7.1</t>
  </si>
  <si>
    <t>2.18.13.7.2</t>
  </si>
  <si>
    <t>2.18.13.7.3</t>
  </si>
  <si>
    <t>2.18.13.7.4</t>
  </si>
  <si>
    <t>2.18.13.8</t>
  </si>
  <si>
    <t>2.18.13.9</t>
  </si>
  <si>
    <t>2.18.13.10</t>
  </si>
  <si>
    <t>2.18.14</t>
  </si>
  <si>
    <t>2500-04-BM011-03</t>
  </si>
  <si>
    <t>2500-04-BM011-03.iam</t>
  </si>
  <si>
    <t>2.18.14.1</t>
  </si>
  <si>
    <t>2.18.14.2</t>
  </si>
  <si>
    <t>2.18.14.3</t>
  </si>
  <si>
    <t>2500-04-BM011-03-01.ipt</t>
  </si>
  <si>
    <t>2.18.15</t>
  </si>
  <si>
    <t>2500-04-BM009-02</t>
  </si>
  <si>
    <t>2500-04-BM009-02.iam</t>
  </si>
  <si>
    <t>2.18.15.1</t>
  </si>
  <si>
    <t>2.18.15.2</t>
  </si>
  <si>
    <t>2.18.15.3</t>
  </si>
  <si>
    <t>2.18.15.4</t>
  </si>
  <si>
    <t>2.18.15.5</t>
  </si>
  <si>
    <t>2.18.15.6</t>
  </si>
  <si>
    <t>Pipe - DN65-Ø76,1x2,6 L=10972 - EN10217-7</t>
  </si>
  <si>
    <t>2500-04-BM009-02-01.ipt</t>
  </si>
  <si>
    <t>2.18.16</t>
  </si>
  <si>
    <t>2500-04-BM010-01</t>
  </si>
  <si>
    <t>2500-04-BM010-01.iam</t>
  </si>
  <si>
    <t>2.18.16.1</t>
  </si>
  <si>
    <t>Pipe - DN100-Ø114,3x2,6 L=26499 - EN10217-7</t>
  </si>
  <si>
    <t>2500-04-BM010-01-01.ipt</t>
  </si>
  <si>
    <t>2.18.16.2</t>
  </si>
  <si>
    <t>2.18.16.3</t>
  </si>
  <si>
    <t>2.18.16.4</t>
  </si>
  <si>
    <t>2.18.16.5</t>
  </si>
  <si>
    <t>2.18.16.6</t>
  </si>
  <si>
    <t>2.18.16.7</t>
  </si>
  <si>
    <t>2.18.16.8</t>
  </si>
  <si>
    <t>2.18.16.9</t>
  </si>
  <si>
    <t>2.18.16.10</t>
  </si>
  <si>
    <t>2.18.16.10.1</t>
  </si>
  <si>
    <t>2.18.16.10.2</t>
  </si>
  <si>
    <t>2.18.16.10.3</t>
  </si>
  <si>
    <t>2.18.16.10.4</t>
  </si>
  <si>
    <t>2.18.16.11</t>
  </si>
  <si>
    <t>2.18.16.11.1</t>
  </si>
  <si>
    <t>2.18.16.11.2</t>
  </si>
  <si>
    <t>2.18.16.11.3</t>
  </si>
  <si>
    <t>2.18.16.11.4</t>
  </si>
  <si>
    <t>2.18.16.11.5</t>
  </si>
  <si>
    <t>2.18.16.12</t>
  </si>
  <si>
    <t>2.18.17</t>
  </si>
  <si>
    <t>2500-04-BM001-01</t>
  </si>
  <si>
    <t>2500-04-BM001-01.iam</t>
  </si>
  <si>
    <t>2.18.17.1</t>
  </si>
  <si>
    <t>2.18.17.2</t>
  </si>
  <si>
    <t>2.18.17.3</t>
  </si>
  <si>
    <t>2500-04-BM001-01-01.ipt</t>
  </si>
  <si>
    <t>2.18.18</t>
  </si>
  <si>
    <t>2500-04-BM013-01</t>
  </si>
  <si>
    <t>2500-04-BM013-01.iam</t>
  </si>
  <si>
    <t>2.18.18.1</t>
  </si>
  <si>
    <t>Pipe - DN125-Ø139,7x2,6 L=10400 - EN10217-7</t>
  </si>
  <si>
    <t>2500-04-BM013-01-01.ipt</t>
  </si>
  <si>
    <t>2.18.18.2</t>
  </si>
  <si>
    <t>2.18.18.3</t>
  </si>
  <si>
    <t>2.18.19</t>
  </si>
  <si>
    <t>2500-04-BM015-02</t>
  </si>
  <si>
    <t>2500-04-BM015-02.iam</t>
  </si>
  <si>
    <t>2.18.19.1</t>
  </si>
  <si>
    <t>2.18.19.2</t>
  </si>
  <si>
    <t>2.18.19.3</t>
  </si>
  <si>
    <t>2500-04-BM015-01-02.ipt</t>
  </si>
  <si>
    <t>2.18.20</t>
  </si>
  <si>
    <t>2500-04-BM017-02</t>
  </si>
  <si>
    <t>2500-04-BM017-02.iam</t>
  </si>
  <si>
    <t>2.18.20.1</t>
  </si>
  <si>
    <t>2.18.20.2</t>
  </si>
  <si>
    <t>2.18.20.3</t>
  </si>
  <si>
    <t>2500-04-BM017-01-02.ipt</t>
  </si>
  <si>
    <t>2.18.21</t>
  </si>
  <si>
    <t>2500-04-BM014-01</t>
  </si>
  <si>
    <t>2500-04-BM014-01.iam</t>
  </si>
  <si>
    <t>2.18.21.1</t>
  </si>
  <si>
    <t>2.18.21.2</t>
  </si>
  <si>
    <t>2.18.21.3</t>
  </si>
  <si>
    <t>2500-04-BM014-01-01.ipt</t>
  </si>
  <si>
    <t>2.18.22</t>
  </si>
  <si>
    <t>2500-04-BM016-01</t>
  </si>
  <si>
    <t>2500-04-BM016-01.iam</t>
  </si>
  <si>
    <t>2.18.22.1</t>
  </si>
  <si>
    <t>2.18.22.2</t>
  </si>
  <si>
    <t>2.18.22.3</t>
  </si>
  <si>
    <t>2500-04-BM016-01-01.ipt</t>
  </si>
  <si>
    <t>2.18.23</t>
  </si>
  <si>
    <t>2500-04-BM018-01</t>
  </si>
  <si>
    <t>2500-04-BM018-01.iam</t>
  </si>
  <si>
    <t>2.18.23.1</t>
  </si>
  <si>
    <t>2.18.23.2</t>
  </si>
  <si>
    <t>2.18.23.3</t>
  </si>
  <si>
    <t>2500-04-BM018-01-01.ipt</t>
  </si>
  <si>
    <t>2.19</t>
  </si>
  <si>
    <t>2500-04-TW032-09</t>
  </si>
  <si>
    <t>2500-04-TW032-09.iam</t>
  </si>
  <si>
    <t>2.19.1</t>
  </si>
  <si>
    <t>2500-04-TW032-09-01.ipt</t>
  </si>
  <si>
    <t>2.19.2</t>
  </si>
  <si>
    <t>2500-04-TW032-09-02.ipt</t>
  </si>
  <si>
    <t>2.19.3</t>
  </si>
  <si>
    <t>2500-04-TW032-09-03.ipt</t>
  </si>
  <si>
    <t>2.19.4</t>
  </si>
  <si>
    <t>2.19.5</t>
  </si>
  <si>
    <t>2.19.6</t>
  </si>
  <si>
    <t>2.20</t>
  </si>
  <si>
    <t>2500-04-PA009-01</t>
  </si>
  <si>
    <t>2500-04-PA009-01.iam</t>
  </si>
  <si>
    <t>2.20.1</t>
  </si>
  <si>
    <t>2500-04-PA009-01-01.ipt</t>
  </si>
  <si>
    <t>2.21</t>
  </si>
  <si>
    <t>2500-04-AF034-09</t>
  </si>
  <si>
    <t>2500-04-AF034-09.iam</t>
  </si>
  <si>
    <t>2.21.1</t>
  </si>
  <si>
    <t>2500-04-AF034-09-01.ipt</t>
  </si>
  <si>
    <t>3</t>
  </si>
  <si>
    <t>2500-404-004</t>
  </si>
  <si>
    <t>2500-404-004.iam</t>
  </si>
  <si>
    <t>3.1</t>
  </si>
  <si>
    <t>2500-04-BG058-08</t>
  </si>
  <si>
    <t>Area 04 - Digester 8</t>
  </si>
  <si>
    <t>2500-04-BG058-08.iam</t>
  </si>
  <si>
    <t>3.1.1</t>
  </si>
  <si>
    <t>3.1.2</t>
  </si>
  <si>
    <t>3.1.3</t>
  </si>
  <si>
    <t>Pipe - DN250-Ø273,0x2,0 L=39109 - EN10217-7</t>
  </si>
  <si>
    <t>2500-04-BG058-08-01.ipt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</si>
  <si>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</si>
  <si>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</si>
  <si>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</si>
  <si>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</si>
  <si>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</si>
  <si>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</si>
  <si>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</si>
  <si>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</si>
  <si>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</si>
  <si>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</si>
  <si>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</si>
  <si>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</si>
  <si>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3.2</t>
  </si>
  <si>
    <t>2500-04-TW032-08</t>
  </si>
  <si>
    <t>2500-04-TW032-08.iam</t>
  </si>
  <si>
    <t>3.2.1</t>
  </si>
  <si>
    <t>2500-04-TW032-08-01.ipt</t>
  </si>
  <si>
    <t>3.2.2</t>
  </si>
  <si>
    <t>2500-04-TW032-08-02.ipt</t>
  </si>
  <si>
    <t>3.2.3</t>
  </si>
  <si>
    <t>2500-04-TW032-08-03.ipt</t>
  </si>
  <si>
    <t>3.2.4</t>
  </si>
  <si>
    <t>3.2.5</t>
  </si>
  <si>
    <t>3.2.6</t>
  </si>
  <si>
    <t>3.3</t>
  </si>
  <si>
    <t>2500-04-PA008-01</t>
  </si>
  <si>
    <t>2500-04-PA008-01.iam</t>
  </si>
  <si>
    <t>3.3.1</t>
  </si>
  <si>
    <t>2500-04-PA008-01-01</t>
  </si>
  <si>
    <t>2500-04-PA008-01-01.ipt</t>
  </si>
  <si>
    <t>3.4</t>
  </si>
  <si>
    <t>2500-04-AF034-08</t>
  </si>
  <si>
    <t>2500-04-AF034-08.iam</t>
  </si>
  <si>
    <t>3.4.1</t>
  </si>
  <si>
    <t>2500-04-AF034-08-01</t>
  </si>
  <si>
    <t>2500-04-AF034-08-01.ipt</t>
  </si>
  <si>
    <t>3.5</t>
  </si>
  <si>
    <t>2500-515-008</t>
  </si>
  <si>
    <t>2500-515-008.ipt</t>
  </si>
  <si>
    <t>3.6</t>
  </si>
  <si>
    <t>2500-615-008</t>
  </si>
  <si>
    <t>2500-615-008.iam</t>
  </si>
  <si>
    <t>3.6.1</t>
  </si>
  <si>
    <t>2500-615-908</t>
  </si>
  <si>
    <t>Area 4 - Digester 8</t>
  </si>
  <si>
    <t>2500-615-908.iam</t>
  </si>
  <si>
    <t>3.6.1.1</t>
  </si>
  <si>
    <t>2500-615-908-002</t>
  </si>
  <si>
    <t>2500-615-908-002.ipt</t>
  </si>
  <si>
    <t>3.6.1.2</t>
  </si>
  <si>
    <t>2500-615-908-003</t>
  </si>
  <si>
    <t>2500-615-908-003.ipt</t>
  </si>
  <si>
    <t>3.6.1.3</t>
  </si>
  <si>
    <t>2500-615-908-004</t>
  </si>
  <si>
    <t>2500-615-908-004.ipt</t>
  </si>
  <si>
    <t>3.6.1.4</t>
  </si>
  <si>
    <t>2500-615-908-005</t>
  </si>
  <si>
    <t>2500-615-908-005.ipt</t>
  </si>
  <si>
    <t>3.6.1.5</t>
  </si>
  <si>
    <t>2500-615-908-006</t>
  </si>
  <si>
    <t>2500-615-908-006.ipt</t>
  </si>
  <si>
    <t>3.6.1.6</t>
  </si>
  <si>
    <t>2500-615-908-001</t>
  </si>
  <si>
    <t>2500-615-908-001.ipt</t>
  </si>
  <si>
    <t>3.6.2</t>
  </si>
  <si>
    <t>3.6.3</t>
  </si>
  <si>
    <t>3.6.4</t>
  </si>
  <si>
    <t>3.6.5</t>
  </si>
  <si>
    <t>3.6.6</t>
  </si>
  <si>
    <t>3.6.7</t>
  </si>
  <si>
    <t>3.6.8</t>
  </si>
  <si>
    <t>3.6.9</t>
  </si>
  <si>
    <t>3.6.10</t>
  </si>
  <si>
    <t>3.6.11</t>
  </si>
  <si>
    <t>3.6.12</t>
  </si>
  <si>
    <t>3.6.13</t>
  </si>
  <si>
    <t>3.6.14</t>
  </si>
  <si>
    <t>3.6.15</t>
  </si>
  <si>
    <t>3.6.16</t>
  </si>
  <si>
    <t>3.6.17</t>
  </si>
  <si>
    <t>3.6.18</t>
  </si>
  <si>
    <t>3.6.19</t>
  </si>
  <si>
    <t>3.6.20</t>
  </si>
  <si>
    <t>3.6.21</t>
  </si>
  <si>
    <t>3.6.22</t>
  </si>
  <si>
    <t>3.6.23</t>
  </si>
  <si>
    <t>3.6.24</t>
  </si>
  <si>
    <t>3.6.25</t>
  </si>
  <si>
    <t>3.6.26</t>
  </si>
  <si>
    <t>3.6.27</t>
  </si>
  <si>
    <t>3.6.28</t>
  </si>
  <si>
    <t>3.6.29</t>
  </si>
  <si>
    <t>3.6.30</t>
  </si>
  <si>
    <t>3.6.31</t>
  </si>
  <si>
    <t>3.6.32</t>
  </si>
  <si>
    <t>3.6.33</t>
  </si>
  <si>
    <t>3.6.34</t>
  </si>
  <si>
    <t>3.6.35</t>
  </si>
  <si>
    <t>3.6.36</t>
  </si>
  <si>
    <t>3.6.37</t>
  </si>
  <si>
    <t>3.6.38</t>
  </si>
  <si>
    <t>3.6.39</t>
  </si>
  <si>
    <t>3.6.40</t>
  </si>
  <si>
    <t>3.6.41</t>
  </si>
  <si>
    <t>2500-615-908-007</t>
  </si>
  <si>
    <t>2500-615-908-007.ipt</t>
  </si>
  <si>
    <t>3.6.42</t>
  </si>
  <si>
    <t>3.6.43</t>
  </si>
  <si>
    <t>3.6.44</t>
  </si>
  <si>
    <t>3.6.45</t>
  </si>
  <si>
    <t>3.6.46</t>
  </si>
  <si>
    <t>3.6.47</t>
  </si>
  <si>
    <t>3.6.48</t>
  </si>
  <si>
    <t>3.6.49</t>
  </si>
  <si>
    <t>3.6.50</t>
  </si>
  <si>
    <t>3.6.51</t>
  </si>
  <si>
    <t>3.6.52</t>
  </si>
  <si>
    <t>3.6.53</t>
  </si>
  <si>
    <t>3.6.54</t>
  </si>
  <si>
    <t>3.6.55</t>
  </si>
  <si>
    <t>3.7</t>
  </si>
  <si>
    <t>2500-515-007</t>
  </si>
  <si>
    <t>2500-515-007.ipt</t>
  </si>
  <si>
    <t>3.8</t>
  </si>
  <si>
    <t>3.9</t>
  </si>
  <si>
    <t>2500-615-007</t>
  </si>
  <si>
    <t>Area 04 - Digester 7</t>
  </si>
  <si>
    <t>2500-615-007.iam</t>
  </si>
  <si>
    <t>3.9.1</t>
  </si>
  <si>
    <t>2500-615-907</t>
  </si>
  <si>
    <t>Area 4 - Digester 7</t>
  </si>
  <si>
    <t>2500-615-907.iam</t>
  </si>
  <si>
    <t>3.9.1.1</t>
  </si>
  <si>
    <t>2500-615-907-002</t>
  </si>
  <si>
    <t>2500-615-907-002.ipt</t>
  </si>
  <si>
    <t>3.9.1.2</t>
  </si>
  <si>
    <t>2500-615-907-003</t>
  </si>
  <si>
    <t>2500-615-907-003.ipt</t>
  </si>
  <si>
    <t>3.9.1.3</t>
  </si>
  <si>
    <t>2500-615-907-004</t>
  </si>
  <si>
    <t>2500-615-907-004.ipt</t>
  </si>
  <si>
    <t>3.9.1.4</t>
  </si>
  <si>
    <t>2500-615-907-005</t>
  </si>
  <si>
    <t>2500-615-907-005.ipt</t>
  </si>
  <si>
    <t>3.9.1.5</t>
  </si>
  <si>
    <t>2500-615-907-006</t>
  </si>
  <si>
    <t>2500-615-907-006.ipt</t>
  </si>
  <si>
    <t>3.9.1.6</t>
  </si>
  <si>
    <t>2500-615-907-001</t>
  </si>
  <si>
    <t>2500-615-907-001.ipt</t>
  </si>
  <si>
    <t>3.9.2</t>
  </si>
  <si>
    <t>3.9.3</t>
  </si>
  <si>
    <t>3.9.4</t>
  </si>
  <si>
    <t>3.9.5</t>
  </si>
  <si>
    <t>3.9.6</t>
  </si>
  <si>
    <t>3.9.7</t>
  </si>
  <si>
    <t>3.9.8</t>
  </si>
  <si>
    <t>3.9.9</t>
  </si>
  <si>
    <t>3.9.10</t>
  </si>
  <si>
    <t>3.9.11</t>
  </si>
  <si>
    <t>3.9.12</t>
  </si>
  <si>
    <t>3.9.13</t>
  </si>
  <si>
    <t>3.9.14</t>
  </si>
  <si>
    <t>3.9.15</t>
  </si>
  <si>
    <t>3.9.16</t>
  </si>
  <si>
    <t>3.9.17</t>
  </si>
  <si>
    <t>3.9.18</t>
  </si>
  <si>
    <t>3.9.19</t>
  </si>
  <si>
    <t>3.9.20</t>
  </si>
  <si>
    <t>3.9.21</t>
  </si>
  <si>
    <t>3.9.22</t>
  </si>
  <si>
    <t>3.9.23</t>
  </si>
  <si>
    <t>3.9.24</t>
  </si>
  <si>
    <t>3.9.25</t>
  </si>
  <si>
    <t>3.9.26</t>
  </si>
  <si>
    <t>3.9.27</t>
  </si>
  <si>
    <t>3.9.28</t>
  </si>
  <si>
    <t>3.9.29</t>
  </si>
  <si>
    <t>3.9.30</t>
  </si>
  <si>
    <t>3.9.31</t>
  </si>
  <si>
    <t>3.9.32</t>
  </si>
  <si>
    <t>3.9.33</t>
  </si>
  <si>
    <t>3.9.34</t>
  </si>
  <si>
    <t>3.9.35</t>
  </si>
  <si>
    <t>3.9.36</t>
  </si>
  <si>
    <t>3.9.37</t>
  </si>
  <si>
    <t>3.9.38</t>
  </si>
  <si>
    <t>3.9.39</t>
  </si>
  <si>
    <t>3.9.40</t>
  </si>
  <si>
    <t>3.9.41</t>
  </si>
  <si>
    <t>3.9.42</t>
  </si>
  <si>
    <t>3.9.43</t>
  </si>
  <si>
    <t>3.9.44</t>
  </si>
  <si>
    <t>3.9.45</t>
  </si>
  <si>
    <t>3.9.46</t>
  </si>
  <si>
    <t>3.9.47</t>
  </si>
  <si>
    <t>3.9.48</t>
  </si>
  <si>
    <t>3.9.49</t>
  </si>
  <si>
    <t>3.9.50</t>
  </si>
  <si>
    <t>3.9.51</t>
  </si>
  <si>
    <t>3.9.52</t>
  </si>
  <si>
    <t>3.9.53</t>
  </si>
  <si>
    <t>3.9.54</t>
  </si>
  <si>
    <t>3.9.55</t>
  </si>
  <si>
    <t>2500-615-907-007</t>
  </si>
  <si>
    <t>2500-615-907-007.ipt</t>
  </si>
  <si>
    <t>3.10</t>
  </si>
  <si>
    <t>3.11</t>
  </si>
  <si>
    <t>3.12</t>
  </si>
  <si>
    <t>3.13</t>
  </si>
  <si>
    <t>3.14</t>
  </si>
  <si>
    <t>3.15</t>
  </si>
  <si>
    <t>3.16</t>
  </si>
  <si>
    <t>2500-621-009</t>
  </si>
  <si>
    <t>2500-621-009.iam</t>
  </si>
  <si>
    <t>3.16.1</t>
  </si>
  <si>
    <t>3.16.2</t>
  </si>
  <si>
    <t>3.16.3</t>
  </si>
  <si>
    <t>3.16.4</t>
  </si>
  <si>
    <t>3.16.5</t>
  </si>
  <si>
    <t>3.17</t>
  </si>
  <si>
    <t>2500-647-005</t>
  </si>
  <si>
    <t>2500-647-005.iam</t>
  </si>
  <si>
    <t>3.17.1</t>
  </si>
  <si>
    <t>2500-647-905</t>
  </si>
  <si>
    <t>2500-647-905.ipt</t>
  </si>
  <si>
    <t>3.17.2</t>
  </si>
  <si>
    <t>3.17.3</t>
  </si>
  <si>
    <t>2500-702-021 - VegaWell-05</t>
  </si>
  <si>
    <t>2500-702-021 - VegaWell-05.ipt</t>
  </si>
  <si>
    <t>3.17.4</t>
  </si>
  <si>
    <t>2500-647-105</t>
  </si>
  <si>
    <t>2500-647-105.ipt</t>
  </si>
  <si>
    <t>3.17.5</t>
  </si>
  <si>
    <t>3.17.6</t>
  </si>
  <si>
    <t>2500-700-042 - Guide Rail-05</t>
  </si>
  <si>
    <t>2500-700-042 - Guide Rail-05.ipt</t>
  </si>
  <si>
    <t>3.18</t>
  </si>
  <si>
    <t>ANI-0015-66-3000-P1001V(667)</t>
  </si>
  <si>
    <t>ANI-0015-66-3000-P1001V(667).ipt</t>
  </si>
  <si>
    <t>3.19</t>
  </si>
  <si>
    <t>ANI-0015-62-2500-V(495)</t>
  </si>
  <si>
    <t>ANI-0015-62-2500-V(495).ipt</t>
  </si>
  <si>
    <t>3.20</t>
  </si>
  <si>
    <t>ANI-0015-62-1200-V(388)</t>
  </si>
  <si>
    <t>ANI-0015-62-1200-V(388).ipt</t>
  </si>
  <si>
    <t>3.21</t>
  </si>
  <si>
    <t>ANI-0015-63-350-V(62)</t>
  </si>
  <si>
    <t>ANI-0015-63-350-V(62).ipt</t>
  </si>
  <si>
    <t>3.22</t>
  </si>
  <si>
    <t>ANI-0015-P6225(161)</t>
  </si>
  <si>
    <t>ANI-0015-P6225(161).ipt</t>
  </si>
  <si>
    <t>3.23</t>
  </si>
  <si>
    <t>2500-04-BG057-07</t>
  </si>
  <si>
    <t>Area 04 Digester 7</t>
  </si>
  <si>
    <t>2500-04-BG057-07.iam</t>
  </si>
  <si>
    <t>3.23.1</t>
  </si>
  <si>
    <t>3.23.2</t>
  </si>
  <si>
    <t>3.23.3</t>
  </si>
  <si>
    <t>2500-04-BG057-07-01.ipt</t>
  </si>
  <si>
    <t>3.23.4</t>
  </si>
  <si>
    <t>3.23.5</t>
  </si>
  <si>
    <t>3.23.6</t>
  </si>
  <si>
    <t>3.23.7</t>
  </si>
  <si>
    <t>3.23.8</t>
  </si>
  <si>
    <t>3.23.9</t>
  </si>
  <si>
    <t>3.23.10</t>
  </si>
  <si>
    <t>3.23.11</t>
  </si>
  <si>
    <t>3.23.12</t>
  </si>
  <si>
    <t>3.23.13</t>
  </si>
  <si>
    <t>3.23.14</t>
  </si>
  <si>
    <t>3.23.15</t>
  </si>
  <si>
    <t>3.24</t>
  </si>
  <si>
    <t>2500-04-TW032-07</t>
  </si>
  <si>
    <t>2500-04-TW032-07.iam</t>
  </si>
  <si>
    <t>3.24.1</t>
  </si>
  <si>
    <t>2500-04-TW032-07-01.ipt</t>
  </si>
  <si>
    <t>3.24.2</t>
  </si>
  <si>
    <t>2500-04-TW032-07-02.ipt</t>
  </si>
  <si>
    <t>3.24.3</t>
  </si>
  <si>
    <t>2500-04-TW032-07-03.ipt</t>
  </si>
  <si>
    <t>3.24.4</t>
  </si>
  <si>
    <t>3.24.5</t>
  </si>
  <si>
    <t>3.24.6</t>
  </si>
  <si>
    <t>3.25</t>
  </si>
  <si>
    <t>2500-04-PA007-01</t>
  </si>
  <si>
    <t>2500-04-PA007-01.iam</t>
  </si>
  <si>
    <t>3.25.1</t>
  </si>
  <si>
    <t>2500-04-PA007-01-01</t>
  </si>
  <si>
    <t>2500-04-PA007-01-01.ipt</t>
  </si>
  <si>
    <t>3.26</t>
  </si>
  <si>
    <t>2500-04-AF034-07</t>
  </si>
  <si>
    <t>2500-04-AF034-07.iam</t>
  </si>
  <si>
    <t>3.26.1</t>
  </si>
  <si>
    <t>2500-04-AF034-07-01</t>
  </si>
  <si>
    <t>2500-04-AF034-07-01.ipt</t>
  </si>
  <si>
    <t>3.27</t>
  </si>
  <si>
    <t>2500-04-Pipe-Dige-3</t>
  </si>
  <si>
    <t>2500-04-Pipe-Dige-3.iam</t>
  </si>
  <si>
    <t>3.27.1</t>
  </si>
  <si>
    <t>2500-04-BM039-12bb</t>
  </si>
  <si>
    <t>From Solid Intake - DN150 - BM</t>
  </si>
  <si>
    <t>2500-04-BM039-12bb.iam</t>
  </si>
  <si>
    <t>3.27.1.1</t>
  </si>
  <si>
    <t>Pipe - DN200-Ø219,1x2,6 L=73190 - EN10217-7</t>
  </si>
  <si>
    <t>2500-04-BM039-12-01bb.ipt</t>
  </si>
  <si>
    <t>3.27.2</t>
  </si>
  <si>
    <t>2500-04-BM039-12-tempbb</t>
  </si>
  <si>
    <t>2500-04-BM039-12-tempbb.iam</t>
  </si>
  <si>
    <t>3.27.2.1</t>
  </si>
  <si>
    <t>Pipe - DN100-Ø114,3x2,6 L=63878 - EN10217-7</t>
  </si>
  <si>
    <t>2500-04-BM039-12-01tempbb.ipt</t>
  </si>
  <si>
    <t>3.27.3</t>
  </si>
  <si>
    <t>Pipe - DN125-Ø139,7x2,6 L=4726 - EN10217-7</t>
  </si>
  <si>
    <t>2500-04-BM012-02-01bb.ipt</t>
  </si>
  <si>
    <t>3.27.4</t>
  </si>
  <si>
    <t>2500-04-HW207-01aa</t>
  </si>
  <si>
    <t>2500-04-HW207-01aa.iam</t>
  </si>
  <si>
    <t>3.27.4.1</t>
  </si>
  <si>
    <t>Pipe - DN65-Ø76,1x2,9 L=18630</t>
  </si>
  <si>
    <t>2500-04-HW207-01-01aa.ipt</t>
  </si>
  <si>
    <t>3.27.4.2</t>
  </si>
  <si>
    <t>3.27.4.3</t>
  </si>
  <si>
    <t>3.27.4.4</t>
  </si>
  <si>
    <t>3.27.4.5</t>
  </si>
  <si>
    <t>3.27.4.6</t>
  </si>
  <si>
    <t>3.27.4.7</t>
  </si>
  <si>
    <t>3.27.4.8</t>
  </si>
  <si>
    <t>3.27.5</t>
  </si>
  <si>
    <t>2500-04-BM024-01aa</t>
  </si>
  <si>
    <t>2500-04-BM024-01aa.iam</t>
  </si>
  <si>
    <t>3.27.5.1</t>
  </si>
  <si>
    <t>3.27.5.2</t>
  </si>
  <si>
    <t>Pipe - DN100-Ø114,3x2,6 L=42126 - EN10217-7</t>
  </si>
  <si>
    <t>2500-04-BM024-01-01aa.ipt</t>
  </si>
  <si>
    <t>3.27.5.3</t>
  </si>
  <si>
    <t>3.27.5.4</t>
  </si>
  <si>
    <t>3.27.5.5</t>
  </si>
  <si>
    <t>3.27.5.6</t>
  </si>
  <si>
    <t>3.27.5.7</t>
  </si>
  <si>
    <t>3.27.5.8</t>
  </si>
  <si>
    <t>3.27.5.9</t>
  </si>
  <si>
    <t>3.27.5.10</t>
  </si>
  <si>
    <t>3.27.5.10.1</t>
  </si>
  <si>
    <t>3.27.5.10.2</t>
  </si>
  <si>
    <t>3.27.5.10.3</t>
  </si>
  <si>
    <t>3.27.5.10.4</t>
  </si>
  <si>
    <t>3.27.5.11</t>
  </si>
  <si>
    <t>4</t>
  </si>
  <si>
    <t>2500-515-002</t>
  </si>
  <si>
    <t>2500-515-002.ipt</t>
  </si>
  <si>
    <t>5</t>
  </si>
  <si>
    <t>2500-615-002</t>
  </si>
  <si>
    <t>Area 04 - Digester 2</t>
  </si>
  <si>
    <t>2500-615-002.iam</t>
  </si>
  <si>
    <t>5.1</t>
  </si>
  <si>
    <t>2500-615-902</t>
  </si>
  <si>
    <t>Area 4 - Digester 2</t>
  </si>
  <si>
    <t>2500-615-902.iam</t>
  </si>
  <si>
    <t>5.1.1</t>
  </si>
  <si>
    <t>2500-615-902-002</t>
  </si>
  <si>
    <t>2500-615-902-002.ipt</t>
  </si>
  <si>
    <t>5.1.2</t>
  </si>
  <si>
    <t>2500-615-902-003</t>
  </si>
  <si>
    <t>2500-615-902-003.ipt</t>
  </si>
  <si>
    <t>5.1.3</t>
  </si>
  <si>
    <t>2500-615-902-004</t>
  </si>
  <si>
    <t>2500-615-902-004.ipt</t>
  </si>
  <si>
    <t>5.1.4</t>
  </si>
  <si>
    <t>2500-615-902-005</t>
  </si>
  <si>
    <t>2500-615-902-005.ipt</t>
  </si>
  <si>
    <t>5.1.5</t>
  </si>
  <si>
    <t>2500-615-902-006</t>
  </si>
  <si>
    <t>2500-615-902-006.ipt</t>
  </si>
  <si>
    <t>5.1.6</t>
  </si>
  <si>
    <t>2500-615-902-001</t>
  </si>
  <si>
    <t>2500-615-902-001.ipt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</si>
  <si>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</si>
  <si>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</si>
  <si>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</si>
  <si>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</si>
  <si>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</si>
  <si>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</si>
  <si>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</si>
  <si>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</si>
  <si>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</si>
  <si>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</si>
  <si>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</si>
  <si>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</si>
  <si>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</si>
  <si>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</si>
  <si>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</si>
  <si>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</si>
  <si>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</si>
  <si>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</si>
  <si>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</si>
  <si>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</si>
  <si>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</si>
  <si>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</si>
  <si>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</si>
  <si>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</si>
  <si>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</si>
  <si>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</si>
  <si>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</si>
  <si>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</si>
  <si>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</si>
  <si>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</si>
  <si>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</si>
  <si>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</si>
  <si>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</si>
  <si>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</si>
  <si>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</si>
  <si>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</si>
  <si>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5.38</t>
  </si>
  <si>
    <t>5.39</t>
  </si>
  <si>
    <t>5.40</t>
  </si>
  <si>
    <t>5.41</t>
  </si>
  <si>
    <t>5.42</t>
  </si>
  <si>
    <t>5.43</t>
  </si>
  <si>
    <t>5.44</t>
  </si>
  <si>
    <t>5.45</t>
  </si>
  <si>
    <t>5.46</t>
  </si>
  <si>
    <t>5.47</t>
  </si>
  <si>
    <t>5.48</t>
  </si>
  <si>
    <t>5.49</t>
  </si>
  <si>
    <t>5.50</t>
  </si>
  <si>
    <t>5.51</t>
  </si>
  <si>
    <t>5.52</t>
  </si>
  <si>
    <t>2500-615-902-007</t>
  </si>
  <si>
    <t>2500-615-902-007.ipt</t>
  </si>
  <si>
    <t>6</t>
  </si>
  <si>
    <t>2500-515-001</t>
  </si>
  <si>
    <t>2500-515-001.ipt</t>
  </si>
  <si>
    <t>7</t>
  </si>
  <si>
    <t>8</t>
  </si>
  <si>
    <t>2500-615-001</t>
  </si>
  <si>
    <t>Area 04 - Digester 1</t>
  </si>
  <si>
    <t>2500-615-001.iam</t>
  </si>
  <si>
    <t>8.1</t>
  </si>
  <si>
    <t>2500-615-901</t>
  </si>
  <si>
    <t>Area 4 - Digester 1</t>
  </si>
  <si>
    <t>2500-615-901.iam</t>
  </si>
  <si>
    <t>8.1.1</t>
  </si>
  <si>
    <t>2500-615-901-002</t>
  </si>
  <si>
    <t>2500-615-901-002.ipt</t>
  </si>
  <si>
    <t>8.1.2</t>
  </si>
  <si>
    <t>2500-615-901-003</t>
  </si>
  <si>
    <t>2500-615-901-003.ipt</t>
  </si>
  <si>
    <t>8.1.3</t>
  </si>
  <si>
    <t>2500-615-901-004</t>
  </si>
  <si>
    <t>2500-615-901-004.ipt</t>
  </si>
  <si>
    <t>8.1.4</t>
  </si>
  <si>
    <t>2500-615-901-005</t>
  </si>
  <si>
    <t>2500-615-901-005.ipt</t>
  </si>
  <si>
    <t>8.1.5</t>
  </si>
  <si>
    <t>2500-615-901-006</t>
  </si>
  <si>
    <t>2500-615-901-006.ipt</t>
  </si>
  <si>
    <t>8.1.6</t>
  </si>
  <si>
    <t>2500-615-901-001</t>
  </si>
  <si>
    <t>2500-615-901-001.ipt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</si>
  <si>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</si>
  <si>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</si>
  <si>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</si>
  <si>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</si>
  <si>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</si>
  <si>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</si>
  <si>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</si>
  <si>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</si>
  <si>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</si>
  <si>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</si>
  <si>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8.12</t>
  </si>
  <si>
    <t>8.13</t>
  </si>
  <si>
    <t>8.14</t>
  </si>
  <si>
    <t>8.15</t>
  </si>
  <si>
    <t>8.16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</si>
  <si>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</si>
  <si>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</si>
  <si>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</si>
  <si>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</si>
  <si>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</si>
  <si>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</si>
  <si>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</si>
  <si>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</si>
  <si>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</si>
  <si>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</si>
  <si>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</si>
  <si>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</si>
  <si>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</si>
  <si>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</si>
  <si>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</si>
  <si>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</si>
  <si>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</si>
  <si>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</si>
  <si>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</si>
  <si>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</si>
  <si>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</si>
  <si>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8.38</t>
  </si>
  <si>
    <t>8.39</t>
  </si>
  <si>
    <t>8.40</t>
  </si>
  <si>
    <t>8.41</t>
  </si>
  <si>
    <t>8.42</t>
  </si>
  <si>
    <t>8.43</t>
  </si>
  <si>
    <t>8.44</t>
  </si>
  <si>
    <t>8.45</t>
  </si>
  <si>
    <t>8.46</t>
  </si>
  <si>
    <t>8.47</t>
  </si>
  <si>
    <t>8.48</t>
  </si>
  <si>
    <t>8.49</t>
  </si>
  <si>
    <t>8.50</t>
  </si>
  <si>
    <t>8.51</t>
  </si>
  <si>
    <t>8.52</t>
  </si>
  <si>
    <t>2500-615-901-007</t>
  </si>
  <si>
    <t>2500-615-901-007.ipt</t>
  </si>
  <si>
    <t>9</t>
  </si>
  <si>
    <t>10</t>
  </si>
  <si>
    <t>11</t>
  </si>
  <si>
    <t>12</t>
  </si>
  <si>
    <t>13</t>
  </si>
  <si>
    <t>14</t>
  </si>
  <si>
    <t>15</t>
  </si>
  <si>
    <t>2500-621-006</t>
  </si>
  <si>
    <t>2500-621-006.iam</t>
  </si>
  <si>
    <t>15.1</t>
  </si>
  <si>
    <t>15.2</t>
  </si>
  <si>
    <t>15.3</t>
  </si>
  <si>
    <t>15.4</t>
  </si>
  <si>
    <t>15.5</t>
  </si>
  <si>
    <t>16</t>
  </si>
  <si>
    <t>2500-615-Ladder04</t>
  </si>
  <si>
    <t>2500-615-Ladder04.ipt</t>
  </si>
  <si>
    <t>17</t>
  </si>
  <si>
    <t>2500-515-004</t>
  </si>
  <si>
    <t>2500-515-004.ipt</t>
  </si>
  <si>
    <t>18</t>
  </si>
  <si>
    <t>2500-615-004</t>
  </si>
  <si>
    <t>Area 04 - Digester 4</t>
  </si>
  <si>
    <t>2500-615-004.iam</t>
  </si>
  <si>
    <t>18.1</t>
  </si>
  <si>
    <t>2500-615-904</t>
  </si>
  <si>
    <t>Area 4 - Digester 4</t>
  </si>
  <si>
    <t>2500-615-904.iam</t>
  </si>
  <si>
    <t>18.1.1</t>
  </si>
  <si>
    <t>2500-615-904-002</t>
  </si>
  <si>
    <t>2500-615-904-002.ipt</t>
  </si>
  <si>
    <t>18.1.2</t>
  </si>
  <si>
    <t>2500-615-904-003</t>
  </si>
  <si>
    <t>2500-615-904-003.ipt</t>
  </si>
  <si>
    <t>18.1.3</t>
  </si>
  <si>
    <t>2500-615-904-004</t>
  </si>
  <si>
    <t>2500-615-904-004.ipt</t>
  </si>
  <si>
    <t>18.1.4</t>
  </si>
  <si>
    <t>2500-615-904-005</t>
  </si>
  <si>
    <t>2500-615-904-005.ipt</t>
  </si>
  <si>
    <t>18.1.5</t>
  </si>
  <si>
    <t>2500-615-904-006</t>
  </si>
  <si>
    <t>2500-615-904-006.ipt</t>
  </si>
  <si>
    <t>18.1.6</t>
  </si>
  <si>
    <t>2500-615-904-001</t>
  </si>
  <si>
    <t>2500-615-904-001.ipt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</si>
  <si>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</si>
  <si>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</si>
  <si>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</si>
  <si>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</si>
  <si>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</si>
  <si>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</si>
  <si>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</si>
  <si>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</si>
  <si>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</si>
  <si>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</si>
  <si>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</si>
  <si>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</si>
  <si>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</si>
  <si>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</si>
  <si>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</si>
  <si>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</si>
  <si>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18.18</t>
  </si>
  <si>
    <t>18.19</t>
  </si>
  <si>
    <t>18.20</t>
  </si>
  <si>
    <t>18.21</t>
  </si>
  <si>
    <t>18.22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</si>
  <si>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</si>
  <si>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</si>
  <si>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</si>
  <si>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</si>
  <si>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</si>
  <si>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</si>
  <si>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</si>
  <si>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</si>
  <si>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18.31</t>
  </si>
  <si>
    <t>18.32</t>
  </si>
  <si>
    <t>18.33</t>
  </si>
  <si>
    <t>18.34</t>
  </si>
  <si>
    <t>18.35</t>
  </si>
  <si>
    <t>18.36</t>
  </si>
  <si>
    <t>18.37</t>
  </si>
  <si>
    <t>18.38</t>
  </si>
  <si>
    <t>18.39</t>
  </si>
  <si>
    <t>18.40</t>
  </si>
  <si>
    <t>18.41</t>
  </si>
  <si>
    <t>2500-615-904-007</t>
  </si>
  <si>
    <t>2500-615-904-007.ipt</t>
  </si>
  <si>
    <t>18.42</t>
  </si>
  <si>
    <t>18.43</t>
  </si>
  <si>
    <t>18.44</t>
  </si>
  <si>
    <t>18.45</t>
  </si>
  <si>
    <t>18.46</t>
  </si>
  <si>
    <t>18.47</t>
  </si>
  <si>
    <t>18.48</t>
  </si>
  <si>
    <t>18.49</t>
  </si>
  <si>
    <t>18.50</t>
  </si>
  <si>
    <t>18.51</t>
  </si>
  <si>
    <t>18.52</t>
  </si>
  <si>
    <t>18.53</t>
  </si>
  <si>
    <t>18.54</t>
  </si>
  <si>
    <t>18.55</t>
  </si>
  <si>
    <t>19</t>
  </si>
  <si>
    <t>2500-515-003</t>
  </si>
  <si>
    <t>2500-515-003.ipt</t>
  </si>
  <si>
    <t>20</t>
  </si>
  <si>
    <t>2500-615-003</t>
  </si>
  <si>
    <t>Area 04 - Digester 3</t>
  </si>
  <si>
    <t>2500-615-003.iam</t>
  </si>
  <si>
    <t>20.1</t>
  </si>
  <si>
    <t>2500-615-903</t>
  </si>
  <si>
    <t>Area 4 - Digester 3</t>
  </si>
  <si>
    <t>2500-615-903.iam</t>
  </si>
  <si>
    <t>20.1.1</t>
  </si>
  <si>
    <t>2500-615-903-002</t>
  </si>
  <si>
    <t>2500-615-903-002.ipt</t>
  </si>
  <si>
    <t>20.1.2</t>
  </si>
  <si>
    <t>2500-615-903-003</t>
  </si>
  <si>
    <t>2500-615-903-003.ipt</t>
  </si>
  <si>
    <t>20.1.3</t>
  </si>
  <si>
    <t>2500-615-903-004</t>
  </si>
  <si>
    <t>2500-615-903-004.ipt</t>
  </si>
  <si>
    <t>20.1.4</t>
  </si>
  <si>
    <t>2500-615-903-005</t>
  </si>
  <si>
    <t>2500-615-903-005.ipt</t>
  </si>
  <si>
    <t>20.1.5</t>
  </si>
  <si>
    <t>2500-615-903-006</t>
  </si>
  <si>
    <t>2500-615-903-006.ipt</t>
  </si>
  <si>
    <t>20.1.6</t>
  </si>
  <si>
    <t>2500-615-903-001</t>
  </si>
  <si>
    <t>2500-615-903-001.ipt</t>
  </si>
  <si>
    <t>20.2</t>
  </si>
  <si>
    <t>20.3</t>
  </si>
  <si>
    <t>20.4</t>
  </si>
  <si>
    <t>20.5</t>
  </si>
  <si>
    <t>20.6</t>
  </si>
  <si>
    <t>20.7</t>
  </si>
  <si>
    <t>20.8</t>
  </si>
  <si>
    <t>20.9</t>
  </si>
  <si>
    <t>20.10</t>
  </si>
  <si>
    <t>20.11</t>
  </si>
  <si>
    <t>20.12</t>
  </si>
  <si>
    <t>20.13</t>
  </si>
  <si>
    <t>20.14</t>
  </si>
  <si>
    <t>20.15</t>
  </si>
  <si>
    <t>20.16</t>
  </si>
  <si>
    <t>20.17</t>
  </si>
  <si>
    <t>20.18</t>
  </si>
  <si>
    <t>20.19</t>
  </si>
  <si>
    <t>20.20</t>
  </si>
  <si>
    <t>20.21</t>
  </si>
  <si>
    <t>20.22</t>
  </si>
  <si>
    <t>20.23</t>
  </si>
  <si>
    <t>20.24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</si>
  <si>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</si>
  <si>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</si>
  <si>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</si>
  <si>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</si>
  <si>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</si>
  <si>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</si>
  <si>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</si>
  <si>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</si>
  <si>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</si>
  <si>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</si>
  <si>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</si>
  <si>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</si>
  <si>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</si>
  <si>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20.38</t>
  </si>
  <si>
    <t>20.39</t>
  </si>
  <si>
    <t>20.40</t>
  </si>
  <si>
    <t>20.41</t>
  </si>
  <si>
    <t>20.42</t>
  </si>
  <si>
    <t>20.43</t>
  </si>
  <si>
    <t>20.44</t>
  </si>
  <si>
    <t>20.45</t>
  </si>
  <si>
    <t>20.46</t>
  </si>
  <si>
    <t>20.47</t>
  </si>
  <si>
    <t>20.48</t>
  </si>
  <si>
    <t>20.49</t>
  </si>
  <si>
    <t>2500-615-903-007</t>
  </si>
  <si>
    <t>2500-615-903-007.ipt</t>
  </si>
  <si>
    <t>20.50</t>
  </si>
  <si>
    <t>20.51</t>
  </si>
  <si>
    <t>20.52</t>
  </si>
  <si>
    <t>20.53</t>
  </si>
  <si>
    <t>20.54</t>
  </si>
  <si>
    <t>20.55</t>
  </si>
  <si>
    <t>21</t>
  </si>
  <si>
    <t>22</t>
  </si>
  <si>
    <t>2500-621-007</t>
  </si>
  <si>
    <t>2500-621-007.iam</t>
  </si>
  <si>
    <t>22.1</t>
  </si>
  <si>
    <t>22.2</t>
  </si>
  <si>
    <t>22.3</t>
  </si>
  <si>
    <t>22.4</t>
  </si>
  <si>
    <t>22.5</t>
  </si>
  <si>
    <t>23</t>
  </si>
  <si>
    <t>2500-647-006</t>
  </si>
  <si>
    <t>2500-647-006.iam</t>
  </si>
  <si>
    <t>23.1</t>
  </si>
  <si>
    <t>2500-647-906</t>
  </si>
  <si>
    <t>2500-647-906.ipt</t>
  </si>
  <si>
    <t>23.2</t>
  </si>
  <si>
    <t>23.3</t>
  </si>
  <si>
    <t>2500-702-021 - VegaWell-06</t>
  </si>
  <si>
    <t>2500-702-021 - VegaWell-06.ipt</t>
  </si>
  <si>
    <t>23.4</t>
  </si>
  <si>
    <t>2500-647-106</t>
  </si>
  <si>
    <t>2500-647-106.ipt</t>
  </si>
  <si>
    <t>23.5</t>
  </si>
  <si>
    <t>23.6</t>
  </si>
  <si>
    <t>2500-700-042 - Guide Rail-06</t>
  </si>
  <si>
    <t>2500-700-042 - Guide Rail-06.ipt</t>
  </si>
  <si>
    <t>24</t>
  </si>
  <si>
    <t>2500-515-006</t>
  </si>
  <si>
    <t>2500-515-006.ipt</t>
  </si>
  <si>
    <t>25</t>
  </si>
  <si>
    <t>2500-615-006</t>
  </si>
  <si>
    <t>Area 04 - Digester 6</t>
  </si>
  <si>
    <t>2500-615-006.iam</t>
  </si>
  <si>
    <t>25.1</t>
  </si>
  <si>
    <t>2500-615-906</t>
  </si>
  <si>
    <t>Area 4 - Digester 6</t>
  </si>
  <si>
    <t>2500-615-906.iam</t>
  </si>
  <si>
    <t>25.1.1</t>
  </si>
  <si>
    <t>2500-615-906-002</t>
  </si>
  <si>
    <t>2500-615-906-002.ipt</t>
  </si>
  <si>
    <t>25.1.2</t>
  </si>
  <si>
    <t>2500-615-906-003</t>
  </si>
  <si>
    <t>2500-615-906-003.ipt</t>
  </si>
  <si>
    <t>25.1.3</t>
  </si>
  <si>
    <t>2500-615-906-004</t>
  </si>
  <si>
    <t>2500-615-906-004.ipt</t>
  </si>
  <si>
    <t>25.1.4</t>
  </si>
  <si>
    <t>2500-615-906-005</t>
  </si>
  <si>
    <t>2500-615-906-005.ipt</t>
  </si>
  <si>
    <t>25.1.5</t>
  </si>
  <si>
    <t>2500-615-906-006</t>
  </si>
  <si>
    <t>2500-615-906-006.ipt</t>
  </si>
  <si>
    <t>25.1.6</t>
  </si>
  <si>
    <t>2500-615-906-001</t>
  </si>
  <si>
    <t>2500-615-906-001.ipt</t>
  </si>
  <si>
    <t>25.2</t>
  </si>
  <si>
    <t>25.3</t>
  </si>
  <si>
    <t>25.4</t>
  </si>
  <si>
    <t>25.5</t>
  </si>
  <si>
    <t>25.6</t>
  </si>
  <si>
    <t>25.7</t>
  </si>
  <si>
    <t>25.8</t>
  </si>
  <si>
    <t>25.9</t>
  </si>
  <si>
    <t>25.10</t>
  </si>
  <si>
    <t>25.11</t>
  </si>
  <si>
    <t>25.12</t>
  </si>
  <si>
    <t>25.13</t>
  </si>
  <si>
    <t>25.14</t>
  </si>
  <si>
    <t>25.15</t>
  </si>
  <si>
    <t>25.16</t>
  </si>
  <si>
    <t>25.17</t>
  </si>
  <si>
    <t>25.18</t>
  </si>
  <si>
    <t>25.19</t>
  </si>
  <si>
    <t>25.20</t>
  </si>
  <si>
    <t>25.21</t>
  </si>
  <si>
    <t>25.22</t>
  </si>
  <si>
    <t>25.23</t>
  </si>
  <si>
    <t>25.24</t>
  </si>
  <si>
    <t>25.25</t>
  </si>
  <si>
    <t>25.26</t>
  </si>
  <si>
    <t>25.27</t>
  </si>
  <si>
    <t>25.28</t>
  </si>
  <si>
    <t>25.29</t>
  </si>
  <si>
    <t>25.30</t>
  </si>
  <si>
    <t>25.31</t>
  </si>
  <si>
    <t>25.32</t>
  </si>
  <si>
    <t>25.33</t>
  </si>
  <si>
    <t>25.34</t>
  </si>
  <si>
    <t>25.35</t>
  </si>
  <si>
    <t>25.36</t>
  </si>
  <si>
    <t>25.37</t>
  </si>
  <si>
    <t>25.38</t>
  </si>
  <si>
    <t>25.39</t>
  </si>
  <si>
    <t>25.40</t>
  </si>
  <si>
    <t>25.41</t>
  </si>
  <si>
    <t>25.42</t>
  </si>
  <si>
    <t>25.43</t>
  </si>
  <si>
    <t>25.44</t>
  </si>
  <si>
    <t>25.45</t>
  </si>
  <si>
    <t>25.46</t>
  </si>
  <si>
    <t>25.47</t>
  </si>
  <si>
    <t>25.48</t>
  </si>
  <si>
    <t>25.49</t>
  </si>
  <si>
    <t>25.50</t>
  </si>
  <si>
    <t>25.51</t>
  </si>
  <si>
    <t>25.52</t>
  </si>
  <si>
    <t>2500-615-906-007</t>
  </si>
  <si>
    <t>2500-615-906-007.ipt</t>
  </si>
  <si>
    <t>26</t>
  </si>
  <si>
    <t>2500-515-005</t>
  </si>
  <si>
    <t>2500-515-005.ipt</t>
  </si>
  <si>
    <t>27</t>
  </si>
  <si>
    <t>2500-615-005</t>
  </si>
  <si>
    <t>Area 04 - Digester 5</t>
  </si>
  <si>
    <t>2500-615-005.iam</t>
  </si>
  <si>
    <t>27.1</t>
  </si>
  <si>
    <t>2500-615-905</t>
  </si>
  <si>
    <t>Area 4 - Digester 5</t>
  </si>
  <si>
    <t>2500-615-905.iam</t>
  </si>
  <si>
    <t>27.1.1</t>
  </si>
  <si>
    <t>2500-615-905-002</t>
  </si>
  <si>
    <t>2500-615-905-002.ipt</t>
  </si>
  <si>
    <t>27.1.2</t>
  </si>
  <si>
    <t>2500-615-905-003</t>
  </si>
  <si>
    <t>2500-615-905-003.ipt</t>
  </si>
  <si>
    <t>27.1.3</t>
  </si>
  <si>
    <t>2500-615-905-004</t>
  </si>
  <si>
    <t>2500-615-905-004.ipt</t>
  </si>
  <si>
    <t>27.1.4</t>
  </si>
  <si>
    <t>2500-615-905-005</t>
  </si>
  <si>
    <t>2500-615-905-005.ipt</t>
  </si>
  <si>
    <t>27.1.5</t>
  </si>
  <si>
    <t>2500-615-905-006</t>
  </si>
  <si>
    <t>2500-615-905-006.ipt</t>
  </si>
  <si>
    <t>27.1.6</t>
  </si>
  <si>
    <t>2500-615-905-001</t>
  </si>
  <si>
    <t>2500-615-905-001.ipt</t>
  </si>
  <si>
    <t>27.2</t>
  </si>
  <si>
    <t>27.3</t>
  </si>
  <si>
    <t>27.4</t>
  </si>
  <si>
    <t>27.5</t>
  </si>
  <si>
    <t>27.6</t>
  </si>
  <si>
    <t>27.7</t>
  </si>
  <si>
    <t>27.8</t>
  </si>
  <si>
    <t>27.9</t>
  </si>
  <si>
    <t>27.10</t>
  </si>
  <si>
    <t>27.11</t>
  </si>
  <si>
    <t>27.12</t>
  </si>
  <si>
    <t>27.13</t>
  </si>
  <si>
    <t>27.14</t>
  </si>
  <si>
    <t>27.15</t>
  </si>
  <si>
    <t>27.16</t>
  </si>
  <si>
    <t>27.17</t>
  </si>
  <si>
    <t>27.18</t>
  </si>
  <si>
    <t>27.19</t>
  </si>
  <si>
    <t>27.20</t>
  </si>
  <si>
    <t>27.21</t>
  </si>
  <si>
    <t>27.22</t>
  </si>
  <si>
    <t>27.23</t>
  </si>
  <si>
    <t>27.24</t>
  </si>
  <si>
    <t>27.25</t>
  </si>
  <si>
    <t>27.26</t>
  </si>
  <si>
    <t>27.27</t>
  </si>
  <si>
    <t>27.28</t>
  </si>
  <si>
    <t>27.29</t>
  </si>
  <si>
    <t>27.30</t>
  </si>
  <si>
    <t>27.31</t>
  </si>
  <si>
    <t>27.32</t>
  </si>
  <si>
    <t>27.33</t>
  </si>
  <si>
    <t>27.34</t>
  </si>
  <si>
    <t>27.35</t>
  </si>
  <si>
    <t>27.36</t>
  </si>
  <si>
    <t>27.37</t>
  </si>
  <si>
    <t>27.38</t>
  </si>
  <si>
    <t>27.39</t>
  </si>
  <si>
    <t>27.40</t>
  </si>
  <si>
    <t>27.41</t>
  </si>
  <si>
    <t>27.42</t>
  </si>
  <si>
    <t>27.43</t>
  </si>
  <si>
    <t>27.44</t>
  </si>
  <si>
    <t>27.45</t>
  </si>
  <si>
    <t>27.46</t>
  </si>
  <si>
    <t>27.47</t>
  </si>
  <si>
    <t>27.48</t>
  </si>
  <si>
    <t>27.49</t>
  </si>
  <si>
    <t>27.50</t>
  </si>
  <si>
    <t>27.51</t>
  </si>
  <si>
    <t>27.52</t>
  </si>
  <si>
    <t>2500-615-905-007</t>
  </si>
  <si>
    <t>2500-615-905-007.ipt</t>
  </si>
  <si>
    <t>28</t>
  </si>
  <si>
    <t>2500-621-008</t>
  </si>
  <si>
    <t>2500-621-008.iam</t>
  </si>
  <si>
    <t>28.1</t>
  </si>
  <si>
    <t>28.2</t>
  </si>
  <si>
    <t>28.3</t>
  </si>
  <si>
    <t>28.4</t>
  </si>
  <si>
    <t>28.5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</si>
</sst>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60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60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3599"/>
    <xf numFmtId="0" fontId="13600" fillId="0" borderId="13599"/>
  </cellStyleXfs>
  <cellXfs count="13601">
    <xf numFmtId="0" fontId="0" fillId="0" borderId="0" xfId="0" applyBorder="1"/>
    <xf numFmtId="0" fontId="1" fillId="0" borderId="1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4" fillId="0" borderId="4" xfId="0" applyFont="1" applyBorder="1" applyAlignment="1"/>
    <xf numFmtId="0" fontId="5" fillId="0" borderId="5" xfId="0" applyFont="1" applyBorder="1" applyAlignment="1"/>
    <xf numFmtId="0" fontId="6" fillId="0" borderId="6" xfId="0" applyFont="1" applyBorder="1" applyAlignment="1"/>
    <xf numFmtId="0" fontId="7" fillId="0" borderId="7" xfId="0" applyFont="1" applyBorder="1" applyAlignment="1"/>
    <xf numFmtId="0" fontId="8" fillId="0" borderId="8" xfId="0" applyFont="1" applyBorder="1" applyAlignment="1"/>
    <xf numFmtId="0" fontId="9" fillId="0" borderId="9" xfId="0" applyFont="1" applyBorder="1" applyAlignment="1"/>
    <xf numFmtId="0" fontId="10" fillId="0" borderId="10" xfId="0" applyFont="1" applyBorder="1" applyAlignment="1"/>
    <xf numFmtId="0" fontId="11" fillId="0" borderId="11" xfId="0" applyFont="1" applyBorder="1" applyAlignment="1"/>
    <xf numFmtId="0" fontId="12" fillId="0" borderId="12" xfId="0" applyFont="1" applyBorder="1" applyAlignment="1"/>
    <xf numFmtId="0" fontId="13" fillId="0" borderId="13" xfId="0" applyFont="1" applyBorder="1" applyAlignment="1"/>
    <xf numFmtId="0" fontId="14" fillId="0" borderId="14" xfId="0" applyFont="1" applyBorder="1" applyAlignment="1"/>
    <xf numFmtId="0" fontId="15" fillId="0" borderId="15" xfId="0" applyFont="1" applyBorder="1" applyAlignment="1"/>
    <xf numFmtId="0" fontId="16" fillId="0" borderId="16" xfId="0" applyFont="1" applyBorder="1" applyAlignment="1"/>
    <xf numFmtId="0" fontId="17" fillId="0" borderId="17" xfId="0" applyFont="1" applyBorder="1" applyAlignment="1"/>
    <xf numFmtId="0" fontId="18" fillId="0" borderId="18" xfId="0" applyFont="1" applyBorder="1" applyAlignment="1"/>
    <xf numFmtId="0" fontId="19" fillId="0" borderId="19" xfId="0" applyFont="1" applyBorder="1" applyAlignment="1"/>
    <xf numFmtId="0" fontId="20" fillId="0" borderId="20" xfId="0" applyFont="1" applyBorder="1" applyAlignment="1"/>
    <xf numFmtId="0" fontId="21" fillId="0" borderId="21" xfId="0" applyFont="1" applyBorder="1" applyAlignment="1"/>
    <xf numFmtId="0" fontId="22" fillId="0" borderId="22" xfId="0" applyFont="1" applyBorder="1" applyAlignment="1"/>
    <xf numFmtId="0" fontId="23" fillId="0" borderId="23" xfId="0" applyFont="1" applyBorder="1" applyAlignment="1"/>
    <xf numFmtId="0" fontId="24" fillId="0" borderId="24" xfId="0" applyFont="1" applyBorder="1" applyAlignment="1"/>
    <xf numFmtId="0" fontId="25" fillId="0" borderId="25" xfId="0" applyFont="1" applyBorder="1" applyAlignment="1"/>
    <xf numFmtId="0" fontId="26" fillId="0" borderId="26" xfId="0" applyFont="1" applyBorder="1" applyAlignment="1"/>
    <xf numFmtId="0" fontId="27" fillId="0" borderId="27" xfId="0" applyFont="1" applyBorder="1" applyAlignment="1"/>
    <xf numFmtId="0" fontId="28" fillId="0" borderId="28" xfId="0" applyFont="1" applyBorder="1" applyAlignment="1"/>
    <xf numFmtId="0" fontId="29" fillId="0" borderId="29" xfId="0" applyFont="1" applyBorder="1" applyAlignment="1"/>
    <xf numFmtId="0" fontId="30" fillId="0" borderId="30" xfId="0" applyFont="1" applyBorder="1" applyAlignment="1"/>
    <xf numFmtId="0" fontId="31" fillId="0" borderId="31" xfId="0" applyFont="1" applyBorder="1" applyAlignment="1"/>
    <xf numFmtId="0" fontId="32" fillId="0" borderId="32" xfId="0" applyFont="1" applyBorder="1" applyAlignment="1"/>
    <xf numFmtId="0" fontId="33" fillId="0" borderId="33" xfId="0" applyFont="1" applyBorder="1" applyAlignment="1"/>
    <xf numFmtId="0" fontId="34" fillId="0" borderId="34" xfId="0" applyFont="1" applyBorder="1" applyAlignment="1"/>
    <xf numFmtId="0" fontId="35" fillId="0" borderId="35" xfId="0" applyFont="1" applyBorder="1" applyAlignment="1"/>
    <xf numFmtId="0" fontId="36" fillId="0" borderId="36" xfId="0" applyFont="1" applyBorder="1" applyAlignment="1"/>
    <xf numFmtId="0" fontId="37" fillId="0" borderId="37" xfId="0" applyFont="1" applyBorder="1" applyAlignment="1"/>
    <xf numFmtId="0" fontId="38" fillId="0" borderId="38" xfId="0" applyFont="1" applyBorder="1" applyAlignment="1"/>
    <xf numFmtId="0" fontId="39" fillId="0" borderId="39" xfId="0" applyFont="1" applyBorder="1" applyAlignment="1"/>
    <xf numFmtId="0" fontId="40" fillId="0" borderId="40" xfId="0" applyFont="1" applyBorder="1" applyAlignment="1"/>
    <xf numFmtId="0" fontId="41" fillId="0" borderId="41" xfId="0" applyFont="1" applyBorder="1" applyAlignment="1"/>
    <xf numFmtId="0" fontId="42" fillId="0" borderId="42" xfId="0" applyFont="1" applyBorder="1" applyAlignment="1"/>
    <xf numFmtId="0" fontId="43" fillId="0" borderId="43" xfId="0" applyFont="1" applyBorder="1" applyAlignment="1"/>
    <xf numFmtId="0" fontId="44" fillId="0" borderId="44" xfId="0" applyFont="1" applyBorder="1" applyAlignment="1"/>
    <xf numFmtId="0" fontId="45" fillId="0" borderId="45" xfId="0" applyFont="1" applyBorder="1" applyAlignment="1"/>
    <xf numFmtId="0" fontId="46" fillId="0" borderId="46" xfId="0" applyFont="1" applyBorder="1" applyAlignment="1"/>
    <xf numFmtId="0" fontId="47" fillId="0" borderId="47" xfId="0" applyFont="1" applyBorder="1" applyAlignment="1"/>
    <xf numFmtId="0" fontId="48" fillId="0" borderId="48" xfId="0" applyFont="1" applyBorder="1" applyAlignment="1"/>
    <xf numFmtId="0" fontId="49" fillId="0" borderId="49" xfId="0" applyFont="1" applyBorder="1" applyAlignment="1"/>
    <xf numFmtId="0" fontId="50" fillId="0" borderId="50" xfId="0" applyFont="1" applyBorder="1" applyAlignment="1"/>
    <xf numFmtId="0" fontId="51" fillId="0" borderId="51" xfId="0" applyFont="1" applyBorder="1" applyAlignment="1"/>
    <xf numFmtId="0" fontId="52" fillId="0" borderId="52" xfId="0" applyFont="1" applyBorder="1" applyAlignment="1"/>
    <xf numFmtId="0" fontId="53" fillId="0" borderId="53" xfId="0" applyFont="1" applyBorder="1" applyAlignment="1"/>
    <xf numFmtId="0" fontId="54" fillId="0" borderId="54" xfId="0" applyFont="1" applyBorder="1" applyAlignment="1"/>
    <xf numFmtId="0" fontId="55" fillId="0" borderId="55" xfId="0" applyFont="1" applyBorder="1" applyAlignment="1"/>
    <xf numFmtId="0" fontId="56" fillId="0" borderId="56" xfId="0" applyFont="1" applyBorder="1" applyAlignment="1"/>
    <xf numFmtId="0" fontId="57" fillId="0" borderId="57" xfId="0" applyFont="1" applyBorder="1" applyAlignment="1"/>
    <xf numFmtId="0" fontId="58" fillId="0" borderId="58" xfId="0" applyFont="1" applyBorder="1" applyAlignment="1"/>
    <xf numFmtId="0" fontId="59" fillId="0" borderId="59" xfId="0" applyFont="1" applyBorder="1" applyAlignment="1"/>
    <xf numFmtId="0" fontId="60" fillId="0" borderId="60" xfId="0" applyFont="1" applyBorder="1" applyAlignment="1"/>
    <xf numFmtId="0" fontId="61" fillId="0" borderId="61" xfId="0" applyFont="1" applyBorder="1" applyAlignment="1"/>
    <xf numFmtId="0" fontId="62" fillId="0" borderId="62" xfId="0" applyFont="1" applyBorder="1" applyAlignment="1"/>
    <xf numFmtId="0" fontId="63" fillId="0" borderId="63" xfId="0" applyFont="1" applyBorder="1" applyAlignment="1"/>
    <xf numFmtId="0" fontId="64" fillId="0" borderId="64" xfId="0" applyFont="1" applyBorder="1" applyAlignment="1"/>
    <xf numFmtId="0" fontId="65" fillId="0" borderId="65" xfId="0" applyFont="1" applyBorder="1" applyAlignment="1"/>
    <xf numFmtId="0" fontId="66" fillId="0" borderId="66" xfId="0" applyFont="1" applyBorder="1" applyAlignment="1"/>
    <xf numFmtId="0" fontId="67" fillId="0" borderId="67" xfId="0" applyFont="1" applyBorder="1" applyAlignment="1"/>
    <xf numFmtId="0" fontId="68" fillId="0" borderId="68" xfId="0" applyFont="1" applyBorder="1" applyAlignment="1"/>
    <xf numFmtId="0" fontId="69" fillId="0" borderId="69" xfId="0" applyFont="1" applyBorder="1" applyAlignment="1"/>
    <xf numFmtId="0" fontId="70" fillId="0" borderId="70" xfId="0" applyFont="1" applyBorder="1" applyAlignment="1"/>
    <xf numFmtId="0" fontId="71" fillId="0" borderId="71" xfId="0" applyFont="1" applyBorder="1" applyAlignment="1"/>
    <xf numFmtId="0" fontId="72" fillId="0" borderId="72" xfId="0" applyFont="1" applyBorder="1" applyAlignment="1"/>
    <xf numFmtId="0" fontId="73" fillId="0" borderId="73" xfId="0" applyFont="1" applyBorder="1" applyAlignment="1"/>
    <xf numFmtId="0" fontId="74" fillId="0" borderId="74" xfId="0" applyFont="1" applyBorder="1" applyAlignment="1"/>
    <xf numFmtId="0" fontId="75" fillId="0" borderId="75" xfId="0" applyFont="1" applyBorder="1" applyAlignment="1"/>
    <xf numFmtId="0" fontId="76" fillId="0" borderId="76" xfId="0" applyFont="1" applyBorder="1" applyAlignment="1"/>
    <xf numFmtId="0" fontId="77" fillId="0" borderId="77" xfId="0" applyFont="1" applyBorder="1" applyAlignment="1"/>
    <xf numFmtId="0" fontId="78" fillId="0" borderId="78" xfId="0" applyFont="1" applyBorder="1" applyAlignment="1"/>
    <xf numFmtId="0" fontId="79" fillId="0" borderId="79" xfId="0" applyFont="1" applyBorder="1" applyAlignment="1"/>
    <xf numFmtId="0" fontId="80" fillId="0" borderId="80" xfId="0" applyFont="1" applyBorder="1" applyAlignment="1"/>
    <xf numFmtId="0" fontId="81" fillId="0" borderId="81" xfId="0" applyFont="1" applyBorder="1" applyAlignment="1"/>
    <xf numFmtId="0" fontId="82" fillId="0" borderId="82" xfId="0" applyFont="1" applyBorder="1" applyAlignment="1"/>
    <xf numFmtId="0" fontId="83" fillId="0" borderId="83" xfId="0" applyFont="1" applyBorder="1" applyAlignment="1"/>
    <xf numFmtId="0" fontId="84" fillId="0" borderId="84" xfId="0" applyFont="1" applyBorder="1" applyAlignment="1"/>
    <xf numFmtId="0" fontId="85" fillId="0" borderId="85" xfId="0" applyFont="1" applyBorder="1" applyAlignment="1"/>
    <xf numFmtId="0" fontId="86" fillId="0" borderId="86" xfId="0" applyFont="1" applyBorder="1" applyAlignment="1"/>
    <xf numFmtId="0" fontId="87" fillId="0" borderId="87" xfId="0" applyFont="1" applyBorder="1" applyAlignment="1"/>
    <xf numFmtId="0" fontId="88" fillId="0" borderId="88" xfId="0" applyFont="1" applyBorder="1" applyAlignment="1"/>
    <xf numFmtId="0" fontId="89" fillId="0" borderId="89" xfId="0" applyFont="1" applyBorder="1" applyAlignment="1"/>
    <xf numFmtId="0" fontId="90" fillId="0" borderId="90" xfId="0" applyFont="1" applyBorder="1" applyAlignment="1"/>
    <xf numFmtId="0" fontId="91" fillId="0" borderId="91" xfId="0" applyFont="1" applyBorder="1" applyAlignment="1"/>
    <xf numFmtId="0" fontId="92" fillId="0" borderId="92" xfId="0" applyFont="1" applyBorder="1" applyAlignment="1"/>
    <xf numFmtId="0" fontId="93" fillId="0" borderId="93" xfId="0" applyFont="1" applyBorder="1" applyAlignment="1"/>
    <xf numFmtId="0" fontId="94" fillId="0" borderId="94" xfId="0" applyFont="1" applyBorder="1" applyAlignment="1"/>
    <xf numFmtId="0" fontId="95" fillId="0" borderId="95" xfId="0" applyFont="1" applyBorder="1" applyAlignment="1"/>
    <xf numFmtId="0" fontId="96" fillId="0" borderId="96" xfId="0" applyFont="1" applyBorder="1" applyAlignment="1"/>
    <xf numFmtId="0" fontId="97" fillId="0" borderId="97" xfId="0" applyFont="1" applyBorder="1" applyAlignment="1"/>
    <xf numFmtId="0" fontId="98" fillId="0" borderId="98" xfId="0" applyFont="1" applyBorder="1" applyAlignment="1"/>
    <xf numFmtId="0" fontId="99" fillId="0" borderId="99" xfId="0" applyFont="1" applyBorder="1" applyAlignment="1"/>
    <xf numFmtId="0" fontId="100" fillId="0" borderId="100" xfId="0" applyFont="1" applyBorder="1" applyAlignment="1"/>
    <xf numFmtId="0" fontId="101" fillId="0" borderId="101" xfId="0" applyFont="1" applyBorder="1" applyAlignment="1"/>
    <xf numFmtId="0" fontId="102" fillId="0" borderId="102" xfId="0" applyFont="1" applyBorder="1" applyAlignment="1"/>
    <xf numFmtId="0" fontId="103" fillId="0" borderId="103" xfId="0" applyFont="1" applyBorder="1" applyAlignment="1"/>
    <xf numFmtId="0" fontId="104" fillId="0" borderId="104" xfId="0" applyFont="1" applyBorder="1" applyAlignment="1"/>
    <xf numFmtId="0" fontId="105" fillId="0" borderId="105" xfId="0" applyFont="1" applyBorder="1" applyAlignment="1"/>
    <xf numFmtId="0" fontId="106" fillId="0" borderId="106" xfId="0" applyFont="1" applyBorder="1" applyAlignment="1"/>
    <xf numFmtId="0" fontId="107" fillId="0" borderId="107" xfId="0" applyFont="1" applyBorder="1" applyAlignment="1"/>
    <xf numFmtId="0" fontId="108" fillId="0" borderId="108" xfId="0" applyFont="1" applyBorder="1" applyAlignment="1"/>
    <xf numFmtId="0" fontId="109" fillId="0" borderId="109" xfId="0" applyFont="1" applyBorder="1" applyAlignment="1"/>
    <xf numFmtId="0" fontId="110" fillId="0" borderId="110" xfId="0" applyFont="1" applyBorder="1" applyAlignment="1"/>
    <xf numFmtId="0" fontId="111" fillId="0" borderId="111" xfId="0" applyFont="1" applyBorder="1" applyAlignment="1"/>
    <xf numFmtId="0" fontId="112" fillId="0" borderId="112" xfId="0" applyFont="1" applyBorder="1" applyAlignment="1"/>
    <xf numFmtId="0" fontId="113" fillId="0" borderId="113" xfId="0" applyFont="1" applyBorder="1" applyAlignment="1"/>
    <xf numFmtId="0" fontId="114" fillId="0" borderId="114" xfId="0" applyFont="1" applyBorder="1" applyAlignment="1"/>
    <xf numFmtId="0" fontId="115" fillId="0" borderId="115" xfId="0" applyFont="1" applyBorder="1" applyAlignment="1"/>
    <xf numFmtId="0" fontId="116" fillId="0" borderId="116" xfId="0" applyFont="1" applyBorder="1" applyAlignment="1"/>
    <xf numFmtId="0" fontId="117" fillId="0" borderId="117" xfId="0" applyFont="1" applyBorder="1" applyAlignment="1"/>
    <xf numFmtId="0" fontId="118" fillId="0" borderId="118" xfId="0" applyFont="1" applyBorder="1" applyAlignment="1"/>
    <xf numFmtId="0" fontId="119" fillId="0" borderId="119" xfId="0" applyFont="1" applyBorder="1" applyAlignment="1"/>
    <xf numFmtId="0" fontId="120" fillId="0" borderId="120" xfId="0" applyFont="1" applyBorder="1" applyAlignment="1"/>
    <xf numFmtId="0" fontId="121" fillId="0" borderId="121" xfId="0" applyFont="1" applyBorder="1" applyAlignment="1"/>
    <xf numFmtId="0" fontId="122" fillId="0" borderId="122" xfId="0" applyFont="1" applyBorder="1" applyAlignment="1"/>
    <xf numFmtId="0" fontId="123" fillId="0" borderId="123" xfId="0" applyFont="1" applyBorder="1" applyAlignment="1"/>
    <xf numFmtId="0" fontId="124" fillId="0" borderId="124" xfId="0" applyFont="1" applyBorder="1" applyAlignment="1"/>
    <xf numFmtId="0" fontId="125" fillId="0" borderId="125" xfId="0" applyFont="1" applyBorder="1" applyAlignment="1"/>
    <xf numFmtId="0" fontId="126" fillId="0" borderId="126" xfId="0" applyFont="1" applyBorder="1" applyAlignment="1"/>
    <xf numFmtId="0" fontId="127" fillId="0" borderId="127" xfId="0" applyFont="1" applyBorder="1" applyAlignment="1"/>
    <xf numFmtId="0" fontId="128" fillId="0" borderId="128" xfId="0" applyFont="1" applyBorder="1" applyAlignment="1"/>
    <xf numFmtId="0" fontId="129" fillId="0" borderId="129" xfId="0" applyFont="1" applyBorder="1" applyAlignment="1"/>
    <xf numFmtId="0" fontId="130" fillId="0" borderId="130" xfId="0" applyFont="1" applyBorder="1" applyAlignment="1"/>
    <xf numFmtId="0" fontId="131" fillId="0" borderId="131" xfId="0" applyFont="1" applyBorder="1" applyAlignment="1"/>
    <xf numFmtId="0" fontId="132" fillId="0" borderId="132" xfId="0" applyFont="1" applyBorder="1" applyAlignment="1"/>
    <xf numFmtId="0" fontId="133" fillId="0" borderId="133" xfId="0" applyFont="1" applyBorder="1" applyAlignment="1"/>
    <xf numFmtId="0" fontId="134" fillId="0" borderId="134" xfId="0" applyFont="1" applyBorder="1" applyAlignment="1"/>
    <xf numFmtId="0" fontId="135" fillId="0" borderId="135" xfId="0" applyFont="1" applyBorder="1" applyAlignment="1"/>
    <xf numFmtId="0" fontId="136" fillId="0" borderId="136" xfId="0" applyFont="1" applyBorder="1" applyAlignment="1"/>
    <xf numFmtId="0" fontId="137" fillId="0" borderId="137" xfId="0" applyFont="1" applyBorder="1" applyAlignment="1"/>
    <xf numFmtId="0" fontId="138" fillId="0" borderId="138" xfId="0" applyFont="1" applyBorder="1" applyAlignment="1"/>
    <xf numFmtId="0" fontId="139" fillId="0" borderId="139" xfId="0" applyFont="1" applyBorder="1" applyAlignment="1"/>
    <xf numFmtId="0" fontId="140" fillId="0" borderId="140" xfId="0" applyFont="1" applyBorder="1" applyAlignment="1"/>
    <xf numFmtId="0" fontId="141" fillId="0" borderId="141" xfId="0" applyFont="1" applyBorder="1" applyAlignment="1"/>
    <xf numFmtId="0" fontId="142" fillId="0" borderId="142" xfId="0" applyFont="1" applyBorder="1" applyAlignment="1"/>
    <xf numFmtId="0" fontId="143" fillId="0" borderId="143" xfId="0" applyFont="1" applyBorder="1" applyAlignment="1"/>
    <xf numFmtId="0" fontId="144" fillId="0" borderId="144" xfId="0" applyFont="1" applyBorder="1" applyAlignment="1"/>
    <xf numFmtId="0" fontId="145" fillId="0" borderId="145" xfId="0" applyFont="1" applyBorder="1" applyAlignment="1"/>
    <xf numFmtId="0" fontId="146" fillId="0" borderId="146" xfId="0" applyFont="1" applyBorder="1" applyAlignment="1"/>
    <xf numFmtId="0" fontId="147" fillId="0" borderId="147" xfId="0" applyFont="1" applyBorder="1" applyAlignment="1"/>
    <xf numFmtId="0" fontId="148" fillId="0" borderId="148" xfId="0" applyFont="1" applyBorder="1" applyAlignment="1"/>
    <xf numFmtId="0" fontId="149" fillId="0" borderId="149" xfId="0" applyFont="1" applyBorder="1" applyAlignment="1"/>
    <xf numFmtId="0" fontId="150" fillId="0" borderId="150" xfId="0" applyFont="1" applyBorder="1" applyAlignment="1"/>
    <xf numFmtId="0" fontId="151" fillId="0" borderId="151" xfId="0" applyFont="1" applyBorder="1" applyAlignment="1"/>
    <xf numFmtId="0" fontId="152" fillId="0" borderId="152" xfId="0" applyFont="1" applyBorder="1" applyAlignment="1"/>
    <xf numFmtId="0" fontId="153" fillId="0" borderId="153" xfId="0" applyFont="1" applyBorder="1" applyAlignment="1"/>
    <xf numFmtId="0" fontId="154" fillId="0" borderId="154" xfId="0" applyFont="1" applyBorder="1" applyAlignment="1"/>
    <xf numFmtId="0" fontId="155" fillId="0" borderId="155" xfId="0" applyFont="1" applyBorder="1" applyAlignment="1"/>
    <xf numFmtId="0" fontId="156" fillId="0" borderId="156" xfId="0" applyFont="1" applyBorder="1" applyAlignment="1"/>
    <xf numFmtId="0" fontId="157" fillId="0" borderId="157" xfId="0" applyFont="1" applyBorder="1" applyAlignment="1"/>
    <xf numFmtId="0" fontId="158" fillId="0" borderId="158" xfId="0" applyFont="1" applyBorder="1" applyAlignment="1"/>
    <xf numFmtId="0" fontId="159" fillId="0" borderId="159" xfId="0" applyFont="1" applyBorder="1" applyAlignment="1"/>
    <xf numFmtId="0" fontId="160" fillId="0" borderId="160" xfId="0" applyFont="1" applyBorder="1" applyAlignment="1"/>
    <xf numFmtId="0" fontId="161" fillId="0" borderId="161" xfId="0" applyFont="1" applyBorder="1" applyAlignment="1"/>
    <xf numFmtId="0" fontId="162" fillId="0" borderId="162" xfId="0" applyFont="1" applyBorder="1" applyAlignment="1"/>
    <xf numFmtId="0" fontId="163" fillId="0" borderId="163" xfId="0" applyFont="1" applyBorder="1" applyAlignment="1"/>
    <xf numFmtId="0" fontId="164" fillId="0" borderId="164" xfId="0" applyFont="1" applyBorder="1" applyAlignment="1"/>
    <xf numFmtId="0" fontId="165" fillId="0" borderId="165" xfId="0" applyFont="1" applyBorder="1" applyAlignment="1"/>
    <xf numFmtId="0" fontId="166" fillId="0" borderId="166" xfId="0" applyFont="1" applyBorder="1" applyAlignment="1"/>
    <xf numFmtId="0" fontId="167" fillId="0" borderId="167" xfId="0" applyFont="1" applyBorder="1" applyAlignment="1"/>
    <xf numFmtId="0" fontId="168" fillId="0" borderId="168" xfId="0" applyFont="1" applyBorder="1" applyAlignment="1"/>
    <xf numFmtId="0" fontId="169" fillId="0" borderId="169" xfId="0" applyFont="1" applyBorder="1" applyAlignment="1"/>
    <xf numFmtId="0" fontId="170" fillId="0" borderId="170" xfId="0" applyFont="1" applyBorder="1" applyAlignment="1"/>
    <xf numFmtId="0" fontId="171" fillId="0" borderId="171" xfId="0" applyFont="1" applyBorder="1" applyAlignment="1"/>
    <xf numFmtId="0" fontId="172" fillId="0" borderId="172" xfId="0" applyFont="1" applyBorder="1" applyAlignment="1"/>
    <xf numFmtId="0" fontId="173" fillId="0" borderId="173" xfId="0" applyFont="1" applyBorder="1" applyAlignment="1"/>
    <xf numFmtId="0" fontId="174" fillId="0" borderId="174" xfId="0" applyFont="1" applyBorder="1" applyAlignment="1"/>
    <xf numFmtId="0" fontId="175" fillId="0" borderId="175" xfId="0" applyFont="1" applyBorder="1" applyAlignment="1"/>
    <xf numFmtId="0" fontId="176" fillId="0" borderId="176" xfId="0" applyFont="1" applyBorder="1" applyAlignment="1"/>
    <xf numFmtId="0" fontId="177" fillId="0" borderId="177" xfId="0" applyFont="1" applyBorder="1" applyAlignment="1"/>
    <xf numFmtId="0" fontId="178" fillId="0" borderId="178" xfId="0" applyFont="1" applyBorder="1" applyAlignment="1"/>
    <xf numFmtId="0" fontId="179" fillId="0" borderId="179" xfId="0" applyFont="1" applyBorder="1" applyAlignment="1"/>
    <xf numFmtId="0" fontId="180" fillId="0" borderId="180" xfId="0" applyFont="1" applyBorder="1" applyAlignment="1"/>
    <xf numFmtId="0" fontId="181" fillId="0" borderId="181" xfId="0" applyFont="1" applyBorder="1" applyAlignment="1"/>
    <xf numFmtId="0" fontId="182" fillId="0" borderId="182" xfId="0" applyFont="1" applyBorder="1" applyAlignment="1"/>
    <xf numFmtId="0" fontId="183" fillId="0" borderId="183" xfId="0" applyFont="1" applyBorder="1" applyAlignment="1"/>
    <xf numFmtId="0" fontId="184" fillId="0" borderId="184" xfId="0" applyFont="1" applyBorder="1" applyAlignment="1"/>
    <xf numFmtId="0" fontId="185" fillId="0" borderId="185" xfId="0" applyFont="1" applyBorder="1" applyAlignment="1"/>
    <xf numFmtId="0" fontId="186" fillId="0" borderId="186" xfId="0" applyFont="1" applyBorder="1" applyAlignment="1"/>
    <xf numFmtId="0" fontId="187" fillId="0" borderId="187" xfId="0" applyFont="1" applyBorder="1" applyAlignment="1"/>
    <xf numFmtId="0" fontId="188" fillId="0" borderId="188" xfId="0" applyFont="1" applyBorder="1" applyAlignment="1"/>
    <xf numFmtId="0" fontId="189" fillId="0" borderId="189" xfId="0" applyFont="1" applyBorder="1" applyAlignment="1"/>
    <xf numFmtId="0" fontId="190" fillId="0" borderId="190" xfId="0" applyFont="1" applyBorder="1" applyAlignment="1"/>
    <xf numFmtId="0" fontId="191" fillId="0" borderId="191" xfId="0" applyFont="1" applyBorder="1" applyAlignment="1"/>
    <xf numFmtId="0" fontId="192" fillId="0" borderId="192" xfId="0" applyFont="1" applyBorder="1" applyAlignment="1"/>
    <xf numFmtId="0" fontId="193" fillId="0" borderId="193" xfId="0" applyFont="1" applyBorder="1" applyAlignment="1"/>
    <xf numFmtId="0" fontId="194" fillId="0" borderId="194" xfId="0" applyFont="1" applyBorder="1" applyAlignment="1"/>
    <xf numFmtId="0" fontId="195" fillId="0" borderId="195" xfId="0" applyFont="1" applyBorder="1" applyAlignment="1"/>
    <xf numFmtId="0" fontId="196" fillId="0" borderId="196" xfId="0" applyFont="1" applyBorder="1" applyAlignment="1"/>
    <xf numFmtId="0" fontId="197" fillId="0" borderId="197" xfId="0" applyFont="1" applyBorder="1" applyAlignment="1"/>
    <xf numFmtId="0" fontId="198" fillId="0" borderId="198" xfId="0" applyFont="1" applyBorder="1" applyAlignment="1"/>
    <xf numFmtId="0" fontId="199" fillId="0" borderId="199" xfId="0" applyFont="1" applyBorder="1" applyAlignment="1"/>
    <xf numFmtId="0" fontId="200" fillId="0" borderId="200" xfId="0" applyFont="1" applyBorder="1" applyAlignment="1"/>
    <xf numFmtId="0" fontId="201" fillId="0" borderId="201" xfId="0" applyFont="1" applyBorder="1" applyAlignment="1"/>
    <xf numFmtId="0" fontId="202" fillId="0" borderId="202" xfId="0" applyFont="1" applyBorder="1" applyAlignment="1"/>
    <xf numFmtId="0" fontId="203" fillId="0" borderId="203" xfId="0" applyFont="1" applyBorder="1" applyAlignment="1"/>
    <xf numFmtId="0" fontId="204" fillId="0" borderId="204" xfId="0" applyFont="1" applyBorder="1" applyAlignment="1"/>
    <xf numFmtId="0" fontId="205" fillId="0" borderId="205" xfId="0" applyFont="1" applyBorder="1" applyAlignment="1"/>
    <xf numFmtId="0" fontId="206" fillId="0" borderId="206" xfId="0" applyFont="1" applyBorder="1" applyAlignment="1"/>
    <xf numFmtId="0" fontId="207" fillId="0" borderId="207" xfId="0" applyFont="1" applyBorder="1" applyAlignment="1"/>
    <xf numFmtId="0" fontId="208" fillId="0" borderId="208" xfId="0" applyFont="1" applyBorder="1" applyAlignment="1"/>
    <xf numFmtId="0" fontId="209" fillId="0" borderId="209" xfId="0" applyFont="1" applyBorder="1" applyAlignment="1"/>
    <xf numFmtId="0" fontId="210" fillId="0" borderId="210" xfId="0" applyFont="1" applyBorder="1" applyAlignment="1"/>
    <xf numFmtId="0" fontId="211" fillId="0" borderId="211" xfId="0" applyFont="1" applyBorder="1" applyAlignment="1"/>
    <xf numFmtId="0" fontId="212" fillId="0" borderId="212" xfId="0" applyFont="1" applyBorder="1" applyAlignment="1"/>
    <xf numFmtId="0" fontId="213" fillId="0" borderId="213" xfId="0" applyFont="1" applyBorder="1" applyAlignment="1"/>
    <xf numFmtId="0" fontId="214" fillId="0" borderId="214" xfId="0" applyFont="1" applyBorder="1" applyAlignment="1"/>
    <xf numFmtId="0" fontId="215" fillId="0" borderId="215" xfId="0" applyFont="1" applyBorder="1" applyAlignment="1"/>
    <xf numFmtId="0" fontId="216" fillId="0" borderId="216" xfId="0" applyFont="1" applyBorder="1" applyAlignment="1"/>
    <xf numFmtId="0" fontId="217" fillId="0" borderId="217" xfId="0" applyFont="1" applyBorder="1" applyAlignment="1"/>
    <xf numFmtId="0" fontId="218" fillId="0" borderId="218" xfId="0" applyFont="1" applyBorder="1" applyAlignment="1"/>
    <xf numFmtId="0" fontId="219" fillId="0" borderId="219" xfId="0" applyFont="1" applyBorder="1" applyAlignment="1"/>
    <xf numFmtId="0" fontId="220" fillId="0" borderId="220" xfId="0" applyFont="1" applyBorder="1" applyAlignment="1"/>
    <xf numFmtId="0" fontId="221" fillId="0" borderId="221" xfId="0" applyFont="1" applyBorder="1" applyAlignment="1"/>
    <xf numFmtId="0" fontId="222" fillId="0" borderId="222" xfId="0" applyFont="1" applyBorder="1" applyAlignment="1"/>
    <xf numFmtId="0" fontId="223" fillId="0" borderId="223" xfId="0" applyFont="1" applyBorder="1" applyAlignment="1"/>
    <xf numFmtId="0" fontId="224" fillId="0" borderId="224" xfId="0" applyFont="1" applyBorder="1" applyAlignment="1"/>
    <xf numFmtId="0" fontId="225" fillId="0" borderId="225" xfId="0" applyFont="1" applyBorder="1" applyAlignment="1"/>
    <xf numFmtId="0" fontId="226" fillId="0" borderId="226" xfId="0" applyFont="1" applyBorder="1" applyAlignment="1"/>
    <xf numFmtId="0" fontId="227" fillId="0" borderId="227" xfId="0" applyFont="1" applyBorder="1" applyAlignment="1"/>
    <xf numFmtId="0" fontId="228" fillId="0" borderId="228" xfId="0" applyFont="1" applyBorder="1" applyAlignment="1"/>
    <xf numFmtId="0" fontId="229" fillId="0" borderId="229" xfId="0" applyFont="1" applyBorder="1" applyAlignment="1"/>
    <xf numFmtId="0" fontId="230" fillId="0" borderId="230" xfId="0" applyFont="1" applyBorder="1" applyAlignment="1"/>
    <xf numFmtId="0" fontId="231" fillId="0" borderId="231" xfId="0" applyFont="1" applyBorder="1" applyAlignment="1"/>
    <xf numFmtId="0" fontId="232" fillId="0" borderId="232" xfId="0" applyFont="1" applyBorder="1" applyAlignment="1"/>
    <xf numFmtId="0" fontId="233" fillId="0" borderId="233" xfId="0" applyFont="1" applyBorder="1" applyAlignment="1"/>
    <xf numFmtId="0" fontId="234" fillId="0" borderId="234" xfId="0" applyFont="1" applyBorder="1" applyAlignment="1"/>
    <xf numFmtId="0" fontId="235" fillId="0" borderId="235" xfId="0" applyFont="1" applyBorder="1" applyAlignment="1"/>
    <xf numFmtId="0" fontId="236" fillId="0" borderId="236" xfId="0" applyFont="1" applyBorder="1" applyAlignment="1"/>
    <xf numFmtId="0" fontId="237" fillId="0" borderId="237" xfId="0" applyFont="1" applyBorder="1" applyAlignment="1"/>
    <xf numFmtId="0" fontId="238" fillId="0" borderId="238" xfId="0" applyFont="1" applyBorder="1" applyAlignment="1"/>
    <xf numFmtId="0" fontId="239" fillId="0" borderId="239" xfId="0" applyFont="1" applyBorder="1" applyAlignment="1"/>
    <xf numFmtId="0" fontId="240" fillId="0" borderId="240" xfId="0" applyFont="1" applyBorder="1" applyAlignment="1"/>
    <xf numFmtId="0" fontId="241" fillId="0" borderId="241" xfId="0" applyFont="1" applyBorder="1" applyAlignment="1"/>
    <xf numFmtId="0" fontId="242" fillId="0" borderId="242" xfId="0" applyFont="1" applyBorder="1" applyAlignment="1"/>
    <xf numFmtId="0" fontId="243" fillId="0" borderId="243" xfId="0" applyFont="1" applyBorder="1" applyAlignment="1"/>
    <xf numFmtId="0" fontId="244" fillId="0" borderId="244" xfId="0" applyFont="1" applyBorder="1" applyAlignment="1"/>
    <xf numFmtId="0" fontId="245" fillId="0" borderId="245" xfId="0" applyFont="1" applyBorder="1" applyAlignment="1"/>
    <xf numFmtId="0" fontId="246" fillId="0" borderId="246" xfId="0" applyFont="1" applyBorder="1" applyAlignment="1"/>
    <xf numFmtId="0" fontId="247" fillId="0" borderId="247" xfId="0" applyFont="1" applyBorder="1" applyAlignment="1"/>
    <xf numFmtId="0" fontId="248" fillId="0" borderId="248" xfId="0" applyFont="1" applyBorder="1" applyAlignment="1"/>
    <xf numFmtId="0" fontId="249" fillId="0" borderId="249" xfId="0" applyFont="1" applyBorder="1" applyAlignment="1"/>
    <xf numFmtId="0" fontId="250" fillId="0" borderId="250" xfId="0" applyFont="1" applyBorder="1" applyAlignment="1"/>
    <xf numFmtId="0" fontId="251" fillId="0" borderId="251" xfId="0" applyFont="1" applyBorder="1" applyAlignment="1"/>
    <xf numFmtId="0" fontId="252" fillId="0" borderId="252" xfId="0" applyFont="1" applyBorder="1" applyAlignment="1"/>
    <xf numFmtId="0" fontId="253" fillId="0" borderId="253" xfId="0" applyFont="1" applyBorder="1" applyAlignment="1"/>
    <xf numFmtId="0" fontId="254" fillId="0" borderId="254" xfId="0" applyFont="1" applyBorder="1" applyAlignment="1"/>
    <xf numFmtId="0" fontId="255" fillId="0" borderId="255" xfId="0" applyFont="1" applyBorder="1" applyAlignment="1"/>
    <xf numFmtId="0" fontId="256" fillId="0" borderId="256" xfId="0" applyFont="1" applyBorder="1" applyAlignment="1"/>
    <xf numFmtId="0" fontId="257" fillId="0" borderId="257" xfId="0" applyFont="1" applyBorder="1" applyAlignment="1"/>
    <xf numFmtId="0" fontId="258" fillId="0" borderId="258" xfId="0" applyFont="1" applyBorder="1" applyAlignment="1"/>
    <xf numFmtId="0" fontId="259" fillId="0" borderId="259" xfId="0" applyFont="1" applyBorder="1" applyAlignment="1"/>
    <xf numFmtId="0" fontId="260" fillId="0" borderId="260" xfId="0" applyFont="1" applyBorder="1" applyAlignment="1"/>
    <xf numFmtId="0" fontId="261" fillId="0" borderId="261" xfId="0" applyFont="1" applyBorder="1" applyAlignment="1"/>
    <xf numFmtId="0" fontId="262" fillId="0" borderId="262" xfId="0" applyFont="1" applyBorder="1" applyAlignment="1"/>
    <xf numFmtId="0" fontId="263" fillId="0" borderId="263" xfId="0" applyFont="1" applyBorder="1" applyAlignment="1"/>
    <xf numFmtId="0" fontId="264" fillId="0" borderId="264" xfId="0" applyFont="1" applyBorder="1" applyAlignment="1"/>
    <xf numFmtId="0" fontId="265" fillId="0" borderId="265" xfId="0" applyFont="1" applyBorder="1" applyAlignment="1"/>
    <xf numFmtId="0" fontId="266" fillId="0" borderId="266" xfId="0" applyFont="1" applyBorder="1" applyAlignment="1"/>
    <xf numFmtId="0" fontId="267" fillId="0" borderId="267" xfId="0" applyFont="1" applyBorder="1" applyAlignment="1"/>
    <xf numFmtId="0" fontId="268" fillId="0" borderId="268" xfId="0" applyFont="1" applyBorder="1" applyAlignment="1"/>
    <xf numFmtId="0" fontId="269" fillId="0" borderId="269" xfId="0" applyFont="1" applyBorder="1" applyAlignment="1"/>
    <xf numFmtId="0" fontId="270" fillId="0" borderId="270" xfId="0" applyFont="1" applyBorder="1" applyAlignment="1"/>
    <xf numFmtId="0" fontId="271" fillId="0" borderId="271" xfId="0" applyFont="1" applyBorder="1" applyAlignment="1"/>
    <xf numFmtId="0" fontId="272" fillId="0" borderId="272" xfId="0" applyFont="1" applyBorder="1" applyAlignment="1"/>
    <xf numFmtId="0" fontId="273" fillId="0" borderId="273" xfId="0" applyFont="1" applyBorder="1" applyAlignment="1"/>
    <xf numFmtId="0" fontId="274" fillId="0" borderId="274" xfId="0" applyFont="1" applyBorder="1" applyAlignment="1"/>
    <xf numFmtId="0" fontId="275" fillId="0" borderId="275" xfId="0" applyFont="1" applyBorder="1" applyAlignment="1"/>
    <xf numFmtId="0" fontId="276" fillId="0" borderId="276" xfId="0" applyFont="1" applyBorder="1" applyAlignment="1"/>
    <xf numFmtId="0" fontId="277" fillId="0" borderId="277" xfId="0" applyFont="1" applyBorder="1" applyAlignment="1"/>
    <xf numFmtId="0" fontId="278" fillId="0" borderId="278" xfId="0" applyFont="1" applyBorder="1" applyAlignment="1"/>
    <xf numFmtId="0" fontId="279" fillId="0" borderId="279" xfId="0" applyFont="1" applyBorder="1" applyAlignment="1"/>
    <xf numFmtId="0" fontId="280" fillId="0" borderId="280" xfId="0" applyFont="1" applyBorder="1" applyAlignment="1"/>
    <xf numFmtId="0" fontId="281" fillId="0" borderId="281" xfId="0" applyFont="1" applyBorder="1" applyAlignment="1"/>
    <xf numFmtId="0" fontId="282" fillId="0" borderId="282" xfId="0" applyFont="1" applyBorder="1" applyAlignment="1"/>
    <xf numFmtId="0" fontId="283" fillId="0" borderId="283" xfId="0" applyFont="1" applyBorder="1" applyAlignment="1"/>
    <xf numFmtId="0" fontId="284" fillId="0" borderId="284" xfId="0" applyFont="1" applyBorder="1" applyAlignment="1"/>
    <xf numFmtId="0" fontId="285" fillId="0" borderId="285" xfId="0" applyFont="1" applyBorder="1" applyAlignment="1"/>
    <xf numFmtId="0" fontId="286" fillId="0" borderId="286" xfId="0" applyFont="1" applyBorder="1" applyAlignment="1"/>
    <xf numFmtId="0" fontId="287" fillId="0" borderId="287" xfId="0" applyFont="1" applyBorder="1" applyAlignment="1"/>
    <xf numFmtId="0" fontId="288" fillId="0" borderId="288" xfId="0" applyFont="1" applyBorder="1" applyAlignment="1"/>
    <xf numFmtId="0" fontId="289" fillId="0" borderId="289" xfId="0" applyFont="1" applyBorder="1" applyAlignment="1"/>
    <xf numFmtId="0" fontId="290" fillId="0" borderId="290" xfId="0" applyFont="1" applyBorder="1" applyAlignment="1"/>
    <xf numFmtId="0" fontId="291" fillId="0" borderId="291" xfId="0" applyFont="1" applyBorder="1" applyAlignment="1"/>
    <xf numFmtId="0" fontId="292" fillId="0" borderId="292" xfId="0" applyFont="1" applyBorder="1" applyAlignment="1"/>
    <xf numFmtId="0" fontId="293" fillId="0" borderId="293" xfId="0" applyFont="1" applyBorder="1" applyAlignment="1"/>
    <xf numFmtId="0" fontId="294" fillId="0" borderId="294" xfId="0" applyFont="1" applyBorder="1" applyAlignment="1"/>
    <xf numFmtId="0" fontId="295" fillId="0" borderId="295" xfId="0" applyFont="1" applyBorder="1" applyAlignment="1"/>
    <xf numFmtId="0" fontId="296" fillId="0" borderId="296" xfId="0" applyFont="1" applyBorder="1" applyAlignment="1"/>
    <xf numFmtId="0" fontId="297" fillId="0" borderId="297" xfId="0" applyFont="1" applyBorder="1" applyAlignment="1"/>
    <xf numFmtId="0" fontId="298" fillId="0" borderId="298" xfId="0" applyFont="1" applyBorder="1" applyAlignment="1"/>
    <xf numFmtId="0" fontId="299" fillId="0" borderId="299" xfId="0" applyFont="1" applyBorder="1" applyAlignment="1"/>
    <xf numFmtId="0" fontId="300" fillId="0" borderId="300" xfId="0" applyFont="1" applyBorder="1" applyAlignment="1"/>
    <xf numFmtId="0" fontId="301" fillId="0" borderId="301" xfId="0" applyFont="1" applyBorder="1" applyAlignment="1"/>
    <xf numFmtId="0" fontId="302" fillId="0" borderId="302" xfId="0" applyFont="1" applyBorder="1" applyAlignment="1"/>
    <xf numFmtId="0" fontId="303" fillId="0" borderId="303" xfId="0" applyFont="1" applyBorder="1" applyAlignment="1"/>
    <xf numFmtId="0" fontId="304" fillId="0" borderId="304" xfId="0" applyFont="1" applyBorder="1" applyAlignment="1"/>
    <xf numFmtId="0" fontId="305" fillId="0" borderId="305" xfId="0" applyFont="1" applyBorder="1" applyAlignment="1"/>
    <xf numFmtId="0" fontId="306" fillId="0" borderId="306" xfId="0" applyFont="1" applyBorder="1" applyAlignment="1"/>
    <xf numFmtId="0" fontId="307" fillId="0" borderId="307" xfId="0" applyFont="1" applyBorder="1" applyAlignment="1"/>
    <xf numFmtId="0" fontId="308" fillId="0" borderId="308" xfId="0" applyFont="1" applyBorder="1" applyAlignment="1"/>
    <xf numFmtId="0" fontId="309" fillId="0" borderId="309" xfId="0" applyFont="1" applyBorder="1" applyAlignment="1"/>
    <xf numFmtId="0" fontId="310" fillId="0" borderId="310" xfId="0" applyFont="1" applyBorder="1" applyAlignment="1"/>
    <xf numFmtId="0" fontId="311" fillId="0" borderId="311" xfId="0" applyFont="1" applyBorder="1" applyAlignment="1"/>
    <xf numFmtId="0" fontId="312" fillId="0" borderId="312" xfId="0" applyFont="1" applyBorder="1" applyAlignment="1"/>
    <xf numFmtId="0" fontId="313" fillId="0" borderId="313" xfId="0" applyFont="1" applyBorder="1" applyAlignment="1"/>
    <xf numFmtId="0" fontId="314" fillId="0" borderId="314" xfId="0" applyFont="1" applyBorder="1" applyAlignment="1"/>
    <xf numFmtId="0" fontId="315" fillId="0" borderId="315" xfId="0" applyFont="1" applyBorder="1" applyAlignment="1"/>
    <xf numFmtId="0" fontId="316" fillId="0" borderId="316" xfId="0" applyFont="1" applyBorder="1" applyAlignment="1"/>
    <xf numFmtId="0" fontId="317" fillId="0" borderId="317" xfId="0" applyFont="1" applyBorder="1" applyAlignment="1"/>
    <xf numFmtId="0" fontId="318" fillId="0" borderId="318" xfId="0" applyFont="1" applyBorder="1" applyAlignment="1"/>
    <xf numFmtId="0" fontId="319" fillId="0" borderId="319" xfId="0" applyFont="1" applyBorder="1" applyAlignment="1"/>
    <xf numFmtId="0" fontId="320" fillId="0" borderId="320" xfId="0" applyFont="1" applyBorder="1" applyAlignment="1"/>
    <xf numFmtId="0" fontId="321" fillId="0" borderId="321" xfId="0" applyFont="1" applyBorder="1" applyAlignment="1"/>
    <xf numFmtId="0" fontId="322" fillId="0" borderId="322" xfId="0" applyFont="1" applyBorder="1" applyAlignment="1"/>
    <xf numFmtId="0" fontId="323" fillId="0" borderId="323" xfId="0" applyFont="1" applyBorder="1" applyAlignment="1"/>
    <xf numFmtId="0" fontId="324" fillId="0" borderId="324" xfId="0" applyFont="1" applyBorder="1" applyAlignment="1"/>
    <xf numFmtId="0" fontId="325" fillId="0" borderId="325" xfId="0" applyFont="1" applyBorder="1" applyAlignment="1"/>
    <xf numFmtId="0" fontId="326" fillId="0" borderId="326" xfId="0" applyFont="1" applyBorder="1" applyAlignment="1"/>
    <xf numFmtId="0" fontId="327" fillId="0" borderId="327" xfId="0" applyFont="1" applyBorder="1" applyAlignment="1"/>
    <xf numFmtId="0" fontId="328" fillId="0" borderId="328" xfId="0" applyFont="1" applyBorder="1" applyAlignment="1"/>
    <xf numFmtId="0" fontId="329" fillId="0" borderId="329" xfId="0" applyFont="1" applyBorder="1" applyAlignment="1"/>
    <xf numFmtId="0" fontId="330" fillId="0" borderId="330" xfId="0" applyFont="1" applyBorder="1" applyAlignment="1"/>
    <xf numFmtId="0" fontId="331" fillId="0" borderId="331" xfId="0" applyFont="1" applyBorder="1" applyAlignment="1"/>
    <xf numFmtId="0" fontId="332" fillId="0" borderId="332" xfId="0" applyFont="1" applyBorder="1" applyAlignment="1"/>
    <xf numFmtId="0" fontId="333" fillId="0" borderId="333" xfId="0" applyFont="1" applyBorder="1" applyAlignment="1"/>
    <xf numFmtId="0" fontId="334" fillId="0" borderId="334" xfId="0" applyFont="1" applyBorder="1" applyAlignment="1"/>
    <xf numFmtId="0" fontId="335" fillId="0" borderId="335" xfId="0" applyFont="1" applyBorder="1" applyAlignment="1"/>
    <xf numFmtId="0" fontId="336" fillId="0" borderId="336" xfId="0" applyFont="1" applyBorder="1" applyAlignment="1"/>
    <xf numFmtId="0" fontId="337" fillId="0" borderId="337" xfId="0" applyFont="1" applyBorder="1" applyAlignment="1"/>
    <xf numFmtId="0" fontId="338" fillId="0" borderId="338" xfId="0" applyFont="1" applyBorder="1" applyAlignment="1"/>
    <xf numFmtId="0" fontId="339" fillId="0" borderId="339" xfId="0" applyFont="1" applyBorder="1" applyAlignment="1"/>
    <xf numFmtId="0" fontId="340" fillId="0" borderId="340" xfId="0" applyFont="1" applyBorder="1" applyAlignment="1"/>
    <xf numFmtId="0" fontId="341" fillId="0" borderId="341" xfId="0" applyFont="1" applyBorder="1" applyAlignment="1"/>
    <xf numFmtId="0" fontId="342" fillId="0" borderId="342" xfId="0" applyFont="1" applyBorder="1" applyAlignment="1"/>
    <xf numFmtId="0" fontId="343" fillId="0" borderId="343" xfId="0" applyFont="1" applyBorder="1" applyAlignment="1"/>
    <xf numFmtId="0" fontId="344" fillId="0" borderId="344" xfId="0" applyFont="1" applyBorder="1" applyAlignment="1"/>
    <xf numFmtId="0" fontId="345" fillId="0" borderId="345" xfId="0" applyFont="1" applyBorder="1" applyAlignment="1"/>
    <xf numFmtId="0" fontId="346" fillId="0" borderId="346" xfId="0" applyFont="1" applyBorder="1" applyAlignment="1"/>
    <xf numFmtId="0" fontId="347" fillId="0" borderId="347" xfId="0" applyFont="1" applyBorder="1" applyAlignment="1"/>
    <xf numFmtId="0" fontId="348" fillId="0" borderId="348" xfId="0" applyFont="1" applyBorder="1" applyAlignment="1"/>
    <xf numFmtId="0" fontId="349" fillId="0" borderId="349" xfId="0" applyFont="1" applyBorder="1" applyAlignment="1"/>
    <xf numFmtId="0" fontId="350" fillId="0" borderId="350" xfId="0" applyFont="1" applyBorder="1" applyAlignment="1"/>
    <xf numFmtId="0" fontId="351" fillId="0" borderId="351" xfId="0" applyFont="1" applyBorder="1" applyAlignment="1"/>
    <xf numFmtId="0" fontId="352" fillId="0" borderId="352" xfId="0" applyFont="1" applyBorder="1" applyAlignment="1"/>
    <xf numFmtId="0" fontId="353" fillId="0" borderId="353" xfId="0" applyFont="1" applyBorder="1" applyAlignment="1"/>
    <xf numFmtId="0" fontId="354" fillId="0" borderId="354" xfId="0" applyFont="1" applyBorder="1" applyAlignment="1"/>
    <xf numFmtId="0" fontId="355" fillId="0" borderId="355" xfId="0" applyFont="1" applyBorder="1" applyAlignment="1"/>
    <xf numFmtId="0" fontId="356" fillId="0" borderId="356" xfId="0" applyFont="1" applyBorder="1" applyAlignment="1"/>
    <xf numFmtId="0" fontId="357" fillId="0" borderId="357" xfId="0" applyFont="1" applyBorder="1" applyAlignment="1"/>
    <xf numFmtId="0" fontId="358" fillId="0" borderId="358" xfId="0" applyFont="1" applyBorder="1" applyAlignment="1"/>
    <xf numFmtId="0" fontId="359" fillId="0" borderId="359" xfId="0" applyFont="1" applyBorder="1" applyAlignment="1"/>
    <xf numFmtId="0" fontId="360" fillId="0" borderId="360" xfId="0" applyFont="1" applyBorder="1" applyAlignment="1"/>
    <xf numFmtId="0" fontId="361" fillId="0" borderId="361" xfId="0" applyFont="1" applyBorder="1" applyAlignment="1"/>
    <xf numFmtId="0" fontId="362" fillId="0" borderId="362" xfId="0" applyFont="1" applyBorder="1" applyAlignment="1"/>
    <xf numFmtId="0" fontId="363" fillId="0" borderId="363" xfId="0" applyFont="1" applyBorder="1" applyAlignment="1"/>
    <xf numFmtId="0" fontId="364" fillId="0" borderId="364" xfId="0" applyFont="1" applyBorder="1" applyAlignment="1"/>
    <xf numFmtId="0" fontId="365" fillId="0" borderId="365" xfId="0" applyFont="1" applyBorder="1" applyAlignment="1"/>
    <xf numFmtId="0" fontId="366" fillId="0" borderId="366" xfId="0" applyFont="1" applyBorder="1" applyAlignment="1"/>
    <xf numFmtId="0" fontId="367" fillId="0" borderId="367" xfId="0" applyFont="1" applyBorder="1" applyAlignment="1"/>
    <xf numFmtId="0" fontId="368" fillId="0" borderId="368" xfId="0" applyFont="1" applyBorder="1" applyAlignment="1"/>
    <xf numFmtId="0" fontId="369" fillId="0" borderId="369" xfId="0" applyFont="1" applyBorder="1" applyAlignment="1"/>
    <xf numFmtId="0" fontId="370" fillId="0" borderId="370" xfId="0" applyFont="1" applyBorder="1" applyAlignment="1"/>
    <xf numFmtId="0" fontId="371" fillId="0" borderId="371" xfId="0" applyFont="1" applyBorder="1" applyAlignment="1"/>
    <xf numFmtId="0" fontId="372" fillId="0" borderId="372" xfId="0" applyFont="1" applyBorder="1" applyAlignment="1"/>
    <xf numFmtId="0" fontId="373" fillId="0" borderId="373" xfId="0" applyFont="1" applyBorder="1" applyAlignment="1"/>
    <xf numFmtId="0" fontId="374" fillId="0" borderId="374" xfId="0" applyFont="1" applyBorder="1" applyAlignment="1"/>
    <xf numFmtId="0" fontId="375" fillId="0" borderId="375" xfId="0" applyFont="1" applyBorder="1" applyAlignment="1"/>
    <xf numFmtId="0" fontId="376" fillId="0" borderId="376" xfId="0" applyFont="1" applyBorder="1" applyAlignment="1"/>
    <xf numFmtId="0" fontId="377" fillId="0" borderId="377" xfId="0" applyFont="1" applyBorder="1" applyAlignment="1"/>
    <xf numFmtId="0" fontId="378" fillId="0" borderId="378" xfId="0" applyFont="1" applyBorder="1" applyAlignment="1"/>
    <xf numFmtId="0" fontId="379" fillId="0" borderId="379" xfId="0" applyFont="1" applyBorder="1" applyAlignment="1"/>
    <xf numFmtId="0" fontId="380" fillId="0" borderId="380" xfId="0" applyFont="1" applyBorder="1" applyAlignment="1"/>
    <xf numFmtId="0" fontId="381" fillId="0" borderId="381" xfId="0" applyFont="1" applyBorder="1" applyAlignment="1"/>
    <xf numFmtId="0" fontId="382" fillId="0" borderId="382" xfId="0" applyFont="1" applyBorder="1" applyAlignment="1"/>
    <xf numFmtId="0" fontId="383" fillId="0" borderId="383" xfId="0" applyFont="1" applyBorder="1" applyAlignment="1"/>
    <xf numFmtId="0" fontId="384" fillId="0" borderId="384" xfId="0" applyFont="1" applyBorder="1" applyAlignment="1"/>
    <xf numFmtId="0" fontId="385" fillId="0" borderId="385" xfId="0" applyFont="1" applyBorder="1" applyAlignment="1"/>
    <xf numFmtId="0" fontId="386" fillId="0" borderId="386" xfId="0" applyFont="1" applyBorder="1" applyAlignment="1"/>
    <xf numFmtId="0" fontId="387" fillId="0" borderId="387" xfId="0" applyFont="1" applyBorder="1" applyAlignment="1"/>
    <xf numFmtId="0" fontId="388" fillId="0" borderId="388" xfId="0" applyFont="1" applyBorder="1" applyAlignment="1"/>
    <xf numFmtId="0" fontId="389" fillId="0" borderId="389" xfId="0" applyFont="1" applyBorder="1" applyAlignment="1"/>
    <xf numFmtId="0" fontId="390" fillId="0" borderId="390" xfId="0" applyFont="1" applyBorder="1" applyAlignment="1"/>
    <xf numFmtId="0" fontId="391" fillId="0" borderId="391" xfId="0" applyFont="1" applyBorder="1" applyAlignment="1"/>
    <xf numFmtId="0" fontId="392" fillId="0" borderId="392" xfId="0" applyFont="1" applyBorder="1" applyAlignment="1"/>
    <xf numFmtId="0" fontId="393" fillId="0" borderId="393" xfId="0" applyFont="1" applyBorder="1" applyAlignment="1"/>
    <xf numFmtId="0" fontId="394" fillId="0" borderId="394" xfId="0" applyFont="1" applyBorder="1" applyAlignment="1"/>
    <xf numFmtId="0" fontId="395" fillId="0" borderId="395" xfId="0" applyFont="1" applyBorder="1" applyAlignment="1"/>
    <xf numFmtId="0" fontId="396" fillId="0" borderId="396" xfId="0" applyFont="1" applyBorder="1" applyAlignment="1"/>
    <xf numFmtId="0" fontId="397" fillId="0" borderId="397" xfId="0" applyFont="1" applyBorder="1" applyAlignment="1"/>
    <xf numFmtId="0" fontId="398" fillId="0" borderId="398" xfId="0" applyFont="1" applyBorder="1" applyAlignment="1"/>
    <xf numFmtId="0" fontId="399" fillId="0" borderId="399" xfId="0" applyFont="1" applyBorder="1" applyAlignment="1"/>
    <xf numFmtId="0" fontId="400" fillId="0" borderId="400" xfId="0" applyFont="1" applyBorder="1" applyAlignment="1"/>
    <xf numFmtId="0" fontId="401" fillId="0" borderId="401" xfId="0" applyFont="1" applyBorder="1" applyAlignment="1"/>
    <xf numFmtId="0" fontId="402" fillId="0" borderId="402" xfId="0" applyFont="1" applyBorder="1" applyAlignment="1"/>
    <xf numFmtId="0" fontId="403" fillId="0" borderId="403" xfId="0" applyFont="1" applyBorder="1" applyAlignment="1"/>
    <xf numFmtId="0" fontId="404" fillId="0" borderId="404" xfId="0" applyFont="1" applyBorder="1" applyAlignment="1"/>
    <xf numFmtId="0" fontId="405" fillId="0" borderId="405" xfId="0" applyFont="1" applyBorder="1" applyAlignment="1"/>
    <xf numFmtId="0" fontId="406" fillId="0" borderId="406" xfId="0" applyFont="1" applyBorder="1" applyAlignment="1"/>
    <xf numFmtId="0" fontId="407" fillId="0" borderId="407" xfId="0" applyFont="1" applyBorder="1" applyAlignment="1"/>
    <xf numFmtId="0" fontId="408" fillId="0" borderId="408" xfId="0" applyFont="1" applyBorder="1" applyAlignment="1"/>
    <xf numFmtId="0" fontId="409" fillId="0" borderId="409" xfId="0" applyFont="1" applyBorder="1" applyAlignment="1"/>
    <xf numFmtId="0" fontId="410" fillId="0" borderId="410" xfId="0" applyFont="1" applyBorder="1" applyAlignment="1"/>
    <xf numFmtId="0" fontId="411" fillId="0" borderId="411" xfId="0" applyFont="1" applyBorder="1" applyAlignment="1"/>
    <xf numFmtId="0" fontId="412" fillId="0" borderId="412" xfId="0" applyFont="1" applyBorder="1" applyAlignment="1"/>
    <xf numFmtId="0" fontId="413" fillId="0" borderId="413" xfId="0" applyFont="1" applyBorder="1" applyAlignment="1"/>
    <xf numFmtId="0" fontId="414" fillId="0" borderId="414" xfId="0" applyFont="1" applyBorder="1" applyAlignment="1"/>
    <xf numFmtId="0" fontId="415" fillId="0" borderId="415" xfId="0" applyFont="1" applyBorder="1" applyAlignment="1"/>
    <xf numFmtId="0" fontId="416" fillId="0" borderId="416" xfId="0" applyFont="1" applyBorder="1" applyAlignment="1"/>
    <xf numFmtId="0" fontId="417" fillId="0" borderId="417" xfId="0" applyFont="1" applyBorder="1" applyAlignment="1"/>
    <xf numFmtId="0" fontId="418" fillId="0" borderId="418" xfId="0" applyFont="1" applyBorder="1" applyAlignment="1"/>
    <xf numFmtId="0" fontId="419" fillId="0" borderId="419" xfId="0" applyFont="1" applyBorder="1" applyAlignment="1"/>
    <xf numFmtId="0" fontId="420" fillId="0" borderId="420" xfId="0" applyFont="1" applyBorder="1" applyAlignment="1"/>
    <xf numFmtId="0" fontId="421" fillId="0" borderId="421" xfId="0" applyFont="1" applyBorder="1" applyAlignment="1"/>
    <xf numFmtId="0" fontId="422" fillId="0" borderId="422" xfId="0" applyFont="1" applyBorder="1" applyAlignment="1"/>
    <xf numFmtId="0" fontId="423" fillId="0" borderId="423" xfId="0" applyFont="1" applyBorder="1" applyAlignment="1"/>
    <xf numFmtId="0" fontId="424" fillId="0" borderId="424" xfId="0" applyFont="1" applyBorder="1" applyAlignment="1"/>
    <xf numFmtId="0" fontId="425" fillId="0" borderId="425" xfId="0" applyFont="1" applyBorder="1" applyAlignment="1"/>
    <xf numFmtId="0" fontId="426" fillId="0" borderId="426" xfId="0" applyFont="1" applyBorder="1" applyAlignment="1"/>
    <xf numFmtId="0" fontId="427" fillId="0" borderId="427" xfId="0" applyFont="1" applyBorder="1" applyAlignment="1"/>
    <xf numFmtId="0" fontId="428" fillId="0" borderId="428" xfId="0" applyFont="1" applyBorder="1" applyAlignment="1"/>
    <xf numFmtId="0" fontId="429" fillId="0" borderId="429" xfId="0" applyFont="1" applyBorder="1" applyAlignment="1"/>
    <xf numFmtId="0" fontId="430" fillId="0" borderId="430" xfId="0" applyFont="1" applyBorder="1" applyAlignment="1"/>
    <xf numFmtId="0" fontId="431" fillId="0" borderId="431" xfId="0" applyFont="1" applyBorder="1" applyAlignment="1"/>
    <xf numFmtId="0" fontId="432" fillId="0" borderId="432" xfId="0" applyFont="1" applyBorder="1" applyAlignment="1"/>
    <xf numFmtId="0" fontId="433" fillId="0" borderId="433" xfId="0" applyFont="1" applyBorder="1" applyAlignment="1"/>
    <xf numFmtId="0" fontId="434" fillId="0" borderId="434" xfId="0" applyFont="1" applyBorder="1" applyAlignment="1"/>
    <xf numFmtId="0" fontId="435" fillId="0" borderId="435" xfId="0" applyFont="1" applyBorder="1" applyAlignment="1"/>
    <xf numFmtId="0" fontId="436" fillId="0" borderId="436" xfId="0" applyFont="1" applyBorder="1" applyAlignment="1"/>
    <xf numFmtId="0" fontId="437" fillId="0" borderId="437" xfId="0" applyFont="1" applyBorder="1" applyAlignment="1"/>
    <xf numFmtId="0" fontId="438" fillId="0" borderId="438" xfId="0" applyFont="1" applyBorder="1" applyAlignment="1"/>
    <xf numFmtId="0" fontId="439" fillId="0" borderId="439" xfId="0" applyFont="1" applyBorder="1" applyAlignment="1"/>
    <xf numFmtId="0" fontId="440" fillId="0" borderId="440" xfId="0" applyFont="1" applyBorder="1" applyAlignment="1"/>
    <xf numFmtId="0" fontId="441" fillId="0" borderId="441" xfId="0" applyFont="1" applyBorder="1" applyAlignment="1"/>
    <xf numFmtId="0" fontId="442" fillId="0" borderId="442" xfId="0" applyFont="1" applyBorder="1" applyAlignment="1"/>
    <xf numFmtId="0" fontId="443" fillId="0" borderId="443" xfId="0" applyFont="1" applyBorder="1" applyAlignment="1"/>
    <xf numFmtId="0" fontId="444" fillId="0" borderId="444" xfId="0" applyFont="1" applyBorder="1" applyAlignment="1"/>
    <xf numFmtId="0" fontId="445" fillId="0" borderId="445" xfId="0" applyFont="1" applyBorder="1" applyAlignment="1"/>
    <xf numFmtId="0" fontId="446" fillId="0" borderId="446" xfId="0" applyFont="1" applyBorder="1" applyAlignment="1"/>
    <xf numFmtId="0" fontId="447" fillId="0" borderId="447" xfId="0" applyFont="1" applyBorder="1" applyAlignment="1"/>
    <xf numFmtId="0" fontId="448" fillId="0" borderId="448" xfId="0" applyFont="1" applyBorder="1" applyAlignment="1"/>
    <xf numFmtId="0" fontId="449" fillId="0" borderId="449" xfId="0" applyFont="1" applyBorder="1" applyAlignment="1"/>
    <xf numFmtId="0" fontId="450" fillId="0" borderId="450" xfId="0" applyFont="1" applyBorder="1" applyAlignment="1"/>
    <xf numFmtId="0" fontId="451" fillId="0" borderId="451" xfId="0" applyFont="1" applyBorder="1" applyAlignment="1"/>
    <xf numFmtId="0" fontId="452" fillId="0" borderId="452" xfId="0" applyFont="1" applyBorder="1" applyAlignment="1"/>
    <xf numFmtId="0" fontId="453" fillId="0" borderId="453" xfId="0" applyFont="1" applyBorder="1" applyAlignment="1"/>
    <xf numFmtId="0" fontId="454" fillId="0" borderId="454" xfId="0" applyFont="1" applyBorder="1" applyAlignment="1"/>
    <xf numFmtId="0" fontId="455" fillId="0" borderId="455" xfId="0" applyFont="1" applyBorder="1" applyAlignment="1"/>
    <xf numFmtId="0" fontId="456" fillId="0" borderId="456" xfId="0" applyFont="1" applyBorder="1" applyAlignment="1"/>
    <xf numFmtId="0" fontId="457" fillId="0" borderId="457" xfId="0" applyFont="1" applyBorder="1" applyAlignment="1"/>
    <xf numFmtId="0" fontId="458" fillId="0" borderId="458" xfId="0" applyFont="1" applyBorder="1" applyAlignment="1"/>
    <xf numFmtId="0" fontId="459" fillId="0" borderId="459" xfId="0" applyFont="1" applyBorder="1" applyAlignment="1"/>
    <xf numFmtId="0" fontId="460" fillId="0" borderId="460" xfId="0" applyFont="1" applyBorder="1" applyAlignment="1"/>
    <xf numFmtId="0" fontId="461" fillId="0" borderId="461" xfId="0" applyFont="1" applyBorder="1" applyAlignment="1"/>
    <xf numFmtId="0" fontId="462" fillId="0" borderId="462" xfId="0" applyFont="1" applyBorder="1" applyAlignment="1"/>
    <xf numFmtId="0" fontId="463" fillId="0" borderId="463" xfId="0" applyFont="1" applyBorder="1" applyAlignment="1"/>
    <xf numFmtId="0" fontId="464" fillId="0" borderId="464" xfId="0" applyFont="1" applyBorder="1" applyAlignment="1"/>
    <xf numFmtId="0" fontId="465" fillId="0" borderId="465" xfId="0" applyFont="1" applyBorder="1" applyAlignment="1"/>
    <xf numFmtId="0" fontId="466" fillId="0" borderId="466" xfId="0" applyFont="1" applyBorder="1" applyAlignment="1"/>
    <xf numFmtId="0" fontId="467" fillId="0" borderId="467" xfId="0" applyFont="1" applyBorder="1" applyAlignment="1"/>
    <xf numFmtId="0" fontId="468" fillId="0" borderId="468" xfId="0" applyFont="1" applyBorder="1" applyAlignment="1"/>
    <xf numFmtId="0" fontId="469" fillId="0" borderId="469" xfId="0" applyFont="1" applyBorder="1" applyAlignment="1"/>
    <xf numFmtId="0" fontId="470" fillId="0" borderId="470" xfId="0" applyFont="1" applyBorder="1" applyAlignment="1"/>
    <xf numFmtId="0" fontId="471" fillId="0" borderId="471" xfId="0" applyFont="1" applyBorder="1" applyAlignment="1"/>
    <xf numFmtId="0" fontId="472" fillId="0" borderId="472" xfId="0" applyFont="1" applyBorder="1" applyAlignment="1"/>
    <xf numFmtId="0" fontId="473" fillId="0" borderId="473" xfId="0" applyFont="1" applyBorder="1" applyAlignment="1"/>
    <xf numFmtId="0" fontId="474" fillId="0" borderId="474" xfId="0" applyFont="1" applyBorder="1" applyAlignment="1"/>
    <xf numFmtId="0" fontId="475" fillId="0" borderId="475" xfId="0" applyFont="1" applyBorder="1" applyAlignment="1"/>
    <xf numFmtId="0" fontId="476" fillId="0" borderId="476" xfId="0" applyFont="1" applyBorder="1" applyAlignment="1"/>
    <xf numFmtId="0" fontId="477" fillId="0" borderId="477" xfId="0" applyFont="1" applyBorder="1" applyAlignment="1"/>
    <xf numFmtId="0" fontId="478" fillId="0" borderId="478" xfId="0" applyFont="1" applyBorder="1" applyAlignment="1"/>
    <xf numFmtId="0" fontId="479" fillId="0" borderId="479" xfId="0" applyFont="1" applyBorder="1" applyAlignment="1"/>
    <xf numFmtId="0" fontId="480" fillId="0" borderId="480" xfId="0" applyFont="1" applyBorder="1" applyAlignment="1"/>
    <xf numFmtId="0" fontId="481" fillId="0" borderId="481" xfId="0" applyFont="1" applyBorder="1" applyAlignment="1"/>
    <xf numFmtId="0" fontId="482" fillId="0" borderId="482" xfId="0" applyFont="1" applyBorder="1" applyAlignment="1"/>
    <xf numFmtId="0" fontId="483" fillId="0" borderId="483" xfId="0" applyFont="1" applyBorder="1" applyAlignment="1"/>
    <xf numFmtId="0" fontId="484" fillId="0" borderId="484" xfId="0" applyFont="1" applyBorder="1" applyAlignment="1"/>
    <xf numFmtId="0" fontId="485" fillId="0" borderId="485" xfId="0" applyFont="1" applyBorder="1" applyAlignment="1"/>
    <xf numFmtId="0" fontId="486" fillId="0" borderId="486" xfId="0" applyFont="1" applyBorder="1" applyAlignment="1"/>
    <xf numFmtId="0" fontId="487" fillId="0" borderId="487" xfId="0" applyFont="1" applyBorder="1" applyAlignment="1"/>
    <xf numFmtId="0" fontId="488" fillId="0" borderId="488" xfId="0" applyFont="1" applyBorder="1" applyAlignment="1"/>
    <xf numFmtId="0" fontId="489" fillId="0" borderId="489" xfId="0" applyFont="1" applyBorder="1" applyAlignment="1"/>
    <xf numFmtId="0" fontId="490" fillId="0" borderId="490" xfId="0" applyFont="1" applyBorder="1" applyAlignment="1"/>
    <xf numFmtId="0" fontId="491" fillId="0" borderId="491" xfId="0" applyFont="1" applyBorder="1" applyAlignment="1"/>
    <xf numFmtId="0" fontId="492" fillId="0" borderId="492" xfId="0" applyFont="1" applyBorder="1" applyAlignment="1"/>
    <xf numFmtId="0" fontId="493" fillId="0" borderId="493" xfId="0" applyFont="1" applyBorder="1" applyAlignment="1"/>
    <xf numFmtId="0" fontId="494" fillId="0" borderId="494" xfId="0" applyFont="1" applyBorder="1" applyAlignment="1"/>
    <xf numFmtId="0" fontId="495" fillId="0" borderId="495" xfId="0" applyFont="1" applyBorder="1" applyAlignment="1"/>
    <xf numFmtId="0" fontId="496" fillId="0" borderId="496" xfId="0" applyFont="1" applyBorder="1" applyAlignment="1"/>
    <xf numFmtId="0" fontId="497" fillId="0" borderId="497" xfId="0" applyFont="1" applyBorder="1" applyAlignment="1"/>
    <xf numFmtId="0" fontId="498" fillId="0" borderId="498" xfId="0" applyFont="1" applyBorder="1" applyAlignment="1"/>
    <xf numFmtId="0" fontId="499" fillId="0" borderId="499" xfId="0" applyFont="1" applyBorder="1" applyAlignment="1"/>
    <xf numFmtId="0" fontId="500" fillId="0" borderId="500" xfId="0" applyFont="1" applyBorder="1" applyAlignment="1"/>
    <xf numFmtId="0" fontId="501" fillId="0" borderId="501" xfId="0" applyFont="1" applyBorder="1" applyAlignment="1"/>
    <xf numFmtId="0" fontId="502" fillId="0" borderId="502" xfId="0" applyFont="1" applyBorder="1" applyAlignment="1"/>
    <xf numFmtId="0" fontId="503" fillId="0" borderId="503" xfId="0" applyFont="1" applyBorder="1" applyAlignment="1"/>
    <xf numFmtId="0" fontId="504" fillId="0" borderId="504" xfId="0" applyFont="1" applyBorder="1" applyAlignment="1"/>
    <xf numFmtId="0" fontId="505" fillId="0" borderId="505" xfId="0" applyFont="1" applyBorder="1" applyAlignment="1"/>
    <xf numFmtId="0" fontId="506" fillId="0" borderId="506" xfId="0" applyFont="1" applyBorder="1" applyAlignment="1"/>
    <xf numFmtId="0" fontId="507" fillId="0" borderId="507" xfId="0" applyFont="1" applyBorder="1" applyAlignment="1"/>
    <xf numFmtId="0" fontId="508" fillId="0" borderId="508" xfId="0" applyFont="1" applyBorder="1" applyAlignment="1"/>
    <xf numFmtId="0" fontId="509" fillId="0" borderId="509" xfId="0" applyFont="1" applyBorder="1" applyAlignment="1"/>
    <xf numFmtId="0" fontId="510" fillId="0" borderId="510" xfId="0" applyFont="1" applyBorder="1" applyAlignment="1"/>
    <xf numFmtId="0" fontId="511" fillId="0" borderId="511" xfId="0" applyFont="1" applyBorder="1" applyAlignment="1"/>
    <xf numFmtId="0" fontId="512" fillId="0" borderId="512" xfId="0" applyFont="1" applyBorder="1" applyAlignment="1"/>
    <xf numFmtId="0" fontId="513" fillId="0" borderId="513" xfId="0" applyFont="1" applyBorder="1" applyAlignment="1"/>
    <xf numFmtId="0" fontId="514" fillId="0" borderId="514" xfId="0" applyFont="1" applyBorder="1" applyAlignment="1"/>
    <xf numFmtId="0" fontId="515" fillId="0" borderId="515" xfId="0" applyFont="1" applyBorder="1" applyAlignment="1"/>
    <xf numFmtId="0" fontId="516" fillId="0" borderId="516" xfId="0" applyFont="1" applyBorder="1" applyAlignment="1"/>
    <xf numFmtId="0" fontId="517" fillId="0" borderId="517" xfId="0" applyFont="1" applyBorder="1" applyAlignment="1"/>
    <xf numFmtId="0" fontId="518" fillId="0" borderId="518" xfId="0" applyFont="1" applyBorder="1" applyAlignment="1"/>
    <xf numFmtId="0" fontId="519" fillId="0" borderId="519" xfId="0" applyFont="1" applyBorder="1" applyAlignment="1"/>
    <xf numFmtId="0" fontId="520" fillId="0" borderId="520" xfId="0" applyFont="1" applyBorder="1" applyAlignment="1"/>
    <xf numFmtId="0" fontId="521" fillId="0" borderId="521" xfId="0" applyFont="1" applyBorder="1" applyAlignment="1"/>
    <xf numFmtId="0" fontId="522" fillId="0" borderId="522" xfId="0" applyFont="1" applyBorder="1" applyAlignment="1"/>
    <xf numFmtId="0" fontId="523" fillId="0" borderId="523" xfId="0" applyFont="1" applyBorder="1" applyAlignment="1"/>
    <xf numFmtId="0" fontId="524" fillId="0" borderId="524" xfId="0" applyFont="1" applyBorder="1" applyAlignment="1"/>
    <xf numFmtId="0" fontId="525" fillId="0" borderId="525" xfId="0" applyFont="1" applyBorder="1" applyAlignment="1"/>
    <xf numFmtId="0" fontId="526" fillId="0" borderId="526" xfId="0" applyFont="1" applyBorder="1" applyAlignment="1"/>
    <xf numFmtId="0" fontId="527" fillId="0" borderId="527" xfId="0" applyFont="1" applyBorder="1" applyAlignment="1"/>
    <xf numFmtId="0" fontId="528" fillId="0" borderId="528" xfId="0" applyFont="1" applyBorder="1" applyAlignment="1"/>
    <xf numFmtId="0" fontId="529" fillId="0" borderId="529" xfId="0" applyFont="1" applyBorder="1" applyAlignment="1"/>
    <xf numFmtId="0" fontId="530" fillId="0" borderId="530" xfId="0" applyFont="1" applyBorder="1" applyAlignment="1"/>
    <xf numFmtId="0" fontId="531" fillId="0" borderId="531" xfId="0" applyFont="1" applyBorder="1" applyAlignment="1"/>
    <xf numFmtId="0" fontId="532" fillId="0" borderId="532" xfId="0" applyFont="1" applyBorder="1" applyAlignment="1"/>
    <xf numFmtId="0" fontId="533" fillId="0" borderId="533" xfId="0" applyFont="1" applyBorder="1" applyAlignment="1"/>
    <xf numFmtId="0" fontId="534" fillId="0" borderId="534" xfId="0" applyFont="1" applyBorder="1" applyAlignment="1"/>
    <xf numFmtId="0" fontId="535" fillId="0" borderId="535" xfId="0" applyFont="1" applyBorder="1" applyAlignment="1"/>
    <xf numFmtId="0" fontId="536" fillId="0" borderId="536" xfId="0" applyFont="1" applyBorder="1" applyAlignment="1"/>
    <xf numFmtId="0" fontId="537" fillId="0" borderId="537" xfId="0" applyFont="1" applyBorder="1" applyAlignment="1"/>
    <xf numFmtId="0" fontId="538" fillId="0" borderId="538" xfId="0" applyFont="1" applyBorder="1" applyAlignment="1"/>
    <xf numFmtId="0" fontId="539" fillId="0" borderId="539" xfId="0" applyFont="1" applyBorder="1" applyAlignment="1"/>
    <xf numFmtId="0" fontId="540" fillId="0" borderId="540" xfId="0" applyFont="1" applyBorder="1" applyAlignment="1"/>
    <xf numFmtId="0" fontId="541" fillId="0" borderId="541" xfId="0" applyFont="1" applyBorder="1" applyAlignment="1"/>
    <xf numFmtId="0" fontId="542" fillId="0" borderId="542" xfId="0" applyFont="1" applyBorder="1" applyAlignment="1"/>
    <xf numFmtId="0" fontId="543" fillId="0" borderId="543" xfId="0" applyFont="1" applyBorder="1" applyAlignment="1"/>
    <xf numFmtId="0" fontId="544" fillId="0" borderId="544" xfId="0" applyFont="1" applyBorder="1" applyAlignment="1"/>
    <xf numFmtId="0" fontId="545" fillId="0" borderId="545" xfId="0" applyFont="1" applyBorder="1" applyAlignment="1"/>
    <xf numFmtId="0" fontId="546" fillId="0" borderId="546" xfId="0" applyFont="1" applyBorder="1" applyAlignment="1"/>
    <xf numFmtId="0" fontId="547" fillId="0" borderId="547" xfId="0" applyFont="1" applyBorder="1" applyAlignment="1"/>
    <xf numFmtId="0" fontId="548" fillId="0" borderId="548" xfId="0" applyFont="1" applyBorder="1" applyAlignment="1"/>
    <xf numFmtId="0" fontId="549" fillId="0" borderId="549" xfId="0" applyFont="1" applyBorder="1" applyAlignment="1"/>
    <xf numFmtId="0" fontId="550" fillId="0" borderId="550" xfId="0" applyFont="1" applyBorder="1" applyAlignment="1"/>
    <xf numFmtId="0" fontId="551" fillId="0" borderId="551" xfId="0" applyFont="1" applyBorder="1" applyAlignment="1"/>
    <xf numFmtId="0" fontId="552" fillId="0" borderId="552" xfId="0" applyFont="1" applyBorder="1" applyAlignment="1"/>
    <xf numFmtId="0" fontId="553" fillId="0" borderId="553" xfId="0" applyFont="1" applyBorder="1" applyAlignment="1"/>
    <xf numFmtId="0" fontId="554" fillId="0" borderId="554" xfId="0" applyFont="1" applyBorder="1" applyAlignment="1"/>
    <xf numFmtId="0" fontId="555" fillId="0" borderId="555" xfId="0" applyFont="1" applyBorder="1" applyAlignment="1"/>
    <xf numFmtId="0" fontId="556" fillId="0" borderId="556" xfId="0" applyFont="1" applyBorder="1" applyAlignment="1"/>
    <xf numFmtId="0" fontId="557" fillId="0" borderId="557" xfId="0" applyFont="1" applyBorder="1" applyAlignment="1"/>
    <xf numFmtId="0" fontId="558" fillId="0" borderId="558" xfId="0" applyFont="1" applyBorder="1" applyAlignment="1"/>
    <xf numFmtId="0" fontId="559" fillId="0" borderId="559" xfId="0" applyFont="1" applyBorder="1" applyAlignment="1"/>
    <xf numFmtId="0" fontId="560" fillId="0" borderId="560" xfId="0" applyFont="1" applyBorder="1" applyAlignment="1"/>
    <xf numFmtId="0" fontId="561" fillId="0" borderId="561" xfId="0" applyFont="1" applyBorder="1" applyAlignment="1"/>
    <xf numFmtId="0" fontId="562" fillId="0" borderId="562" xfId="0" applyFont="1" applyBorder="1" applyAlignment="1"/>
    <xf numFmtId="0" fontId="563" fillId="0" borderId="563" xfId="0" applyFont="1" applyBorder="1" applyAlignment="1"/>
    <xf numFmtId="0" fontId="564" fillId="0" borderId="564" xfId="0" applyFont="1" applyBorder="1" applyAlignment="1"/>
    <xf numFmtId="0" fontId="565" fillId="0" borderId="565" xfId="0" applyFont="1" applyBorder="1" applyAlignment="1"/>
    <xf numFmtId="0" fontId="566" fillId="0" borderId="566" xfId="0" applyFont="1" applyBorder="1" applyAlignment="1"/>
    <xf numFmtId="0" fontId="567" fillId="0" borderId="567" xfId="0" applyFont="1" applyBorder="1" applyAlignment="1"/>
    <xf numFmtId="0" fontId="568" fillId="0" borderId="568" xfId="0" applyFont="1" applyBorder="1" applyAlignment="1"/>
    <xf numFmtId="0" fontId="569" fillId="0" borderId="569" xfId="0" applyFont="1" applyBorder="1" applyAlignment="1"/>
    <xf numFmtId="0" fontId="570" fillId="0" borderId="570" xfId="0" applyFont="1" applyBorder="1" applyAlignment="1"/>
    <xf numFmtId="0" fontId="571" fillId="0" borderId="571" xfId="0" applyFont="1" applyBorder="1" applyAlignment="1"/>
    <xf numFmtId="0" fontId="572" fillId="0" borderId="572" xfId="0" applyFont="1" applyBorder="1" applyAlignment="1"/>
    <xf numFmtId="0" fontId="573" fillId="0" borderId="573" xfId="0" applyFont="1" applyBorder="1" applyAlignment="1"/>
    <xf numFmtId="0" fontId="574" fillId="0" borderId="574" xfId="0" applyFont="1" applyBorder="1" applyAlignment="1"/>
    <xf numFmtId="0" fontId="575" fillId="0" borderId="575" xfId="0" applyFont="1" applyBorder="1" applyAlignment="1"/>
    <xf numFmtId="0" fontId="576" fillId="0" borderId="576" xfId="0" applyFont="1" applyBorder="1" applyAlignment="1"/>
    <xf numFmtId="0" fontId="577" fillId="0" borderId="577" xfId="0" applyFont="1" applyBorder="1" applyAlignment="1"/>
    <xf numFmtId="0" fontId="578" fillId="0" borderId="578" xfId="0" applyFont="1" applyBorder="1" applyAlignment="1"/>
    <xf numFmtId="0" fontId="579" fillId="0" borderId="579" xfId="0" applyFont="1" applyBorder="1" applyAlignment="1"/>
    <xf numFmtId="0" fontId="580" fillId="0" borderId="580" xfId="0" applyFont="1" applyBorder="1" applyAlignment="1"/>
    <xf numFmtId="0" fontId="581" fillId="0" borderId="581" xfId="0" applyFont="1" applyBorder="1" applyAlignment="1"/>
    <xf numFmtId="0" fontId="582" fillId="0" borderId="582" xfId="0" applyFont="1" applyBorder="1" applyAlignment="1"/>
    <xf numFmtId="0" fontId="583" fillId="0" borderId="583" xfId="0" applyFont="1" applyBorder="1" applyAlignment="1"/>
    <xf numFmtId="0" fontId="584" fillId="0" borderId="584" xfId="0" applyFont="1" applyBorder="1" applyAlignment="1"/>
    <xf numFmtId="0" fontId="585" fillId="0" borderId="585" xfId="0" applyFont="1" applyBorder="1" applyAlignment="1"/>
    <xf numFmtId="0" fontId="586" fillId="0" borderId="586" xfId="0" applyFont="1" applyBorder="1" applyAlignment="1"/>
    <xf numFmtId="0" fontId="587" fillId="0" borderId="587" xfId="0" applyFont="1" applyBorder="1" applyAlignment="1"/>
    <xf numFmtId="0" fontId="588" fillId="0" borderId="588" xfId="0" applyFont="1" applyBorder="1" applyAlignment="1"/>
    <xf numFmtId="0" fontId="589" fillId="0" borderId="589" xfId="0" applyFont="1" applyBorder="1" applyAlignment="1"/>
    <xf numFmtId="0" fontId="590" fillId="0" borderId="590" xfId="0" applyFont="1" applyBorder="1" applyAlignment="1"/>
    <xf numFmtId="0" fontId="591" fillId="0" borderId="591" xfId="0" applyFont="1" applyBorder="1" applyAlignment="1"/>
    <xf numFmtId="0" fontId="592" fillId="0" borderId="592" xfId="0" applyFont="1" applyBorder="1" applyAlignment="1"/>
    <xf numFmtId="0" fontId="593" fillId="0" borderId="593" xfId="0" applyFont="1" applyBorder="1" applyAlignment="1"/>
    <xf numFmtId="0" fontId="594" fillId="0" borderId="594" xfId="0" applyFont="1" applyBorder="1" applyAlignment="1"/>
    <xf numFmtId="0" fontId="595" fillId="0" borderId="595" xfId="0" applyFont="1" applyBorder="1" applyAlignment="1"/>
    <xf numFmtId="0" fontId="596" fillId="0" borderId="596" xfId="0" applyFont="1" applyBorder="1" applyAlignment="1"/>
    <xf numFmtId="0" fontId="597" fillId="0" borderId="597" xfId="0" applyFont="1" applyBorder="1" applyAlignment="1"/>
    <xf numFmtId="0" fontId="598" fillId="0" borderId="598" xfId="0" applyFont="1" applyBorder="1" applyAlignment="1"/>
    <xf numFmtId="0" fontId="599" fillId="0" borderId="599" xfId="0" applyFont="1" applyBorder="1" applyAlignment="1"/>
    <xf numFmtId="0" fontId="600" fillId="0" borderId="600" xfId="0" applyFont="1" applyBorder="1" applyAlignment="1"/>
    <xf numFmtId="0" fontId="601" fillId="0" borderId="601" xfId="0" applyFont="1" applyBorder="1" applyAlignment="1"/>
    <xf numFmtId="0" fontId="602" fillId="0" borderId="602" xfId="0" applyFont="1" applyBorder="1" applyAlignment="1"/>
    <xf numFmtId="0" fontId="603" fillId="0" borderId="603" xfId="0" applyFont="1" applyBorder="1" applyAlignment="1"/>
    <xf numFmtId="0" fontId="604" fillId="0" borderId="604" xfId="0" applyFont="1" applyBorder="1" applyAlignment="1"/>
    <xf numFmtId="0" fontId="605" fillId="0" borderId="605" xfId="0" applyFont="1" applyBorder="1" applyAlignment="1"/>
    <xf numFmtId="0" fontId="606" fillId="0" borderId="606" xfId="0" applyFont="1" applyBorder="1" applyAlignment="1"/>
    <xf numFmtId="0" fontId="607" fillId="0" borderId="607" xfId="0" applyFont="1" applyBorder="1" applyAlignment="1"/>
    <xf numFmtId="0" fontId="608" fillId="0" borderId="608" xfId="0" applyFont="1" applyBorder="1" applyAlignment="1"/>
    <xf numFmtId="0" fontId="609" fillId="0" borderId="609" xfId="0" applyFont="1" applyBorder="1" applyAlignment="1"/>
    <xf numFmtId="0" fontId="610" fillId="0" borderId="610" xfId="0" applyFont="1" applyBorder="1" applyAlignment="1"/>
    <xf numFmtId="0" fontId="611" fillId="0" borderId="611" xfId="0" applyFont="1" applyBorder="1" applyAlignment="1"/>
    <xf numFmtId="0" fontId="612" fillId="0" borderId="612" xfId="0" applyFont="1" applyBorder="1" applyAlignment="1"/>
    <xf numFmtId="0" fontId="613" fillId="0" borderId="613" xfId="0" applyFont="1" applyBorder="1" applyAlignment="1"/>
    <xf numFmtId="0" fontId="614" fillId="0" borderId="614" xfId="0" applyFont="1" applyBorder="1" applyAlignment="1"/>
    <xf numFmtId="0" fontId="615" fillId="0" borderId="615" xfId="0" applyFont="1" applyBorder="1" applyAlignment="1"/>
    <xf numFmtId="0" fontId="616" fillId="0" borderId="616" xfId="0" applyFont="1" applyBorder="1" applyAlignment="1"/>
    <xf numFmtId="0" fontId="617" fillId="0" borderId="617" xfId="0" applyFont="1" applyBorder="1" applyAlignment="1"/>
    <xf numFmtId="0" fontId="618" fillId="0" borderId="618" xfId="0" applyFont="1" applyBorder="1" applyAlignment="1"/>
    <xf numFmtId="0" fontId="619" fillId="0" borderId="619" xfId="0" applyFont="1" applyBorder="1" applyAlignment="1"/>
    <xf numFmtId="0" fontId="620" fillId="0" borderId="620" xfId="0" applyFont="1" applyBorder="1" applyAlignment="1"/>
    <xf numFmtId="0" fontId="621" fillId="0" borderId="621" xfId="0" applyFont="1" applyBorder="1" applyAlignment="1"/>
    <xf numFmtId="0" fontId="622" fillId="0" borderId="622" xfId="0" applyFont="1" applyBorder="1" applyAlignment="1"/>
    <xf numFmtId="0" fontId="623" fillId="0" borderId="623" xfId="0" applyFont="1" applyBorder="1" applyAlignment="1"/>
    <xf numFmtId="0" fontId="624" fillId="0" borderId="624" xfId="0" applyFont="1" applyBorder="1" applyAlignment="1"/>
    <xf numFmtId="0" fontId="625" fillId="0" borderId="625" xfId="0" applyFont="1" applyBorder="1" applyAlignment="1"/>
    <xf numFmtId="0" fontId="626" fillId="0" borderId="626" xfId="0" applyFont="1" applyBorder="1" applyAlignment="1"/>
    <xf numFmtId="0" fontId="627" fillId="0" borderId="627" xfId="0" applyFont="1" applyBorder="1" applyAlignment="1"/>
    <xf numFmtId="0" fontId="628" fillId="0" borderId="628" xfId="0" applyFont="1" applyBorder="1" applyAlignment="1"/>
    <xf numFmtId="0" fontId="629" fillId="0" borderId="629" xfId="0" applyFont="1" applyBorder="1" applyAlignment="1"/>
    <xf numFmtId="0" fontId="630" fillId="0" borderId="630" xfId="0" applyFont="1" applyBorder="1" applyAlignment="1"/>
    <xf numFmtId="0" fontId="631" fillId="0" borderId="631" xfId="0" applyFont="1" applyBorder="1" applyAlignment="1"/>
    <xf numFmtId="0" fontId="632" fillId="0" borderId="632" xfId="0" applyFont="1" applyBorder="1" applyAlignment="1"/>
    <xf numFmtId="0" fontId="633" fillId="0" borderId="633" xfId="0" applyFont="1" applyBorder="1" applyAlignment="1"/>
    <xf numFmtId="0" fontId="634" fillId="0" borderId="634" xfId="0" applyFont="1" applyBorder="1" applyAlignment="1"/>
    <xf numFmtId="0" fontId="635" fillId="0" borderId="635" xfId="0" applyFont="1" applyBorder="1" applyAlignment="1"/>
    <xf numFmtId="0" fontId="636" fillId="0" borderId="636" xfId="0" applyFont="1" applyBorder="1" applyAlignment="1"/>
    <xf numFmtId="0" fontId="637" fillId="0" borderId="637" xfId="0" applyFont="1" applyBorder="1" applyAlignment="1"/>
    <xf numFmtId="0" fontId="638" fillId="0" borderId="638" xfId="0" applyFont="1" applyBorder="1" applyAlignment="1"/>
    <xf numFmtId="0" fontId="639" fillId="0" borderId="639" xfId="0" applyFont="1" applyBorder="1" applyAlignment="1"/>
    <xf numFmtId="0" fontId="640" fillId="0" borderId="640" xfId="0" applyFont="1" applyBorder="1" applyAlignment="1"/>
    <xf numFmtId="0" fontId="641" fillId="0" borderId="641" xfId="0" applyFont="1" applyBorder="1" applyAlignment="1"/>
    <xf numFmtId="0" fontId="642" fillId="0" borderId="642" xfId="0" applyFont="1" applyBorder="1" applyAlignment="1"/>
    <xf numFmtId="0" fontId="643" fillId="0" borderId="643" xfId="0" applyFont="1" applyBorder="1" applyAlignment="1"/>
    <xf numFmtId="0" fontId="644" fillId="0" borderId="644" xfId="0" applyFont="1" applyBorder="1" applyAlignment="1"/>
    <xf numFmtId="0" fontId="645" fillId="0" borderId="645" xfId="0" applyFont="1" applyBorder="1" applyAlignment="1"/>
    <xf numFmtId="0" fontId="646" fillId="0" borderId="646" xfId="0" applyFont="1" applyBorder="1" applyAlignment="1"/>
    <xf numFmtId="0" fontId="647" fillId="0" borderId="647" xfId="0" applyFont="1" applyBorder="1" applyAlignment="1"/>
    <xf numFmtId="0" fontId="648" fillId="0" borderId="648" xfId="0" applyFont="1" applyBorder="1" applyAlignment="1"/>
    <xf numFmtId="0" fontId="649" fillId="0" borderId="649" xfId="0" applyFont="1" applyBorder="1" applyAlignment="1"/>
    <xf numFmtId="0" fontId="650" fillId="0" borderId="650" xfId="0" applyFont="1" applyBorder="1" applyAlignment="1"/>
    <xf numFmtId="0" fontId="651" fillId="0" borderId="651" xfId="0" applyFont="1" applyBorder="1" applyAlignment="1"/>
    <xf numFmtId="0" fontId="652" fillId="0" borderId="652" xfId="0" applyFont="1" applyBorder="1" applyAlignment="1"/>
    <xf numFmtId="0" fontId="653" fillId="0" borderId="653" xfId="0" applyFont="1" applyBorder="1" applyAlignment="1"/>
    <xf numFmtId="0" fontId="654" fillId="0" borderId="654" xfId="0" applyFont="1" applyBorder="1" applyAlignment="1"/>
    <xf numFmtId="0" fontId="655" fillId="0" borderId="655" xfId="0" applyFont="1" applyBorder="1" applyAlignment="1"/>
    <xf numFmtId="0" fontId="656" fillId="0" borderId="656" xfId="0" applyFont="1" applyBorder="1" applyAlignment="1"/>
    <xf numFmtId="0" fontId="657" fillId="0" borderId="657" xfId="0" applyFont="1" applyBorder="1" applyAlignment="1"/>
    <xf numFmtId="0" fontId="658" fillId="0" borderId="658" xfId="0" applyFont="1" applyBorder="1" applyAlignment="1"/>
    <xf numFmtId="0" fontId="659" fillId="0" borderId="659" xfId="0" applyFont="1" applyBorder="1" applyAlignment="1"/>
    <xf numFmtId="0" fontId="660" fillId="0" borderId="660" xfId="0" applyFont="1" applyBorder="1" applyAlignment="1"/>
    <xf numFmtId="0" fontId="661" fillId="0" borderId="661" xfId="0" applyFont="1" applyBorder="1" applyAlignment="1"/>
    <xf numFmtId="0" fontId="662" fillId="0" borderId="662" xfId="0" applyFont="1" applyBorder="1" applyAlignment="1"/>
    <xf numFmtId="0" fontId="663" fillId="0" borderId="663" xfId="0" applyFont="1" applyBorder="1" applyAlignment="1"/>
    <xf numFmtId="0" fontId="664" fillId="0" borderId="664" xfId="0" applyFont="1" applyBorder="1" applyAlignment="1"/>
    <xf numFmtId="0" fontId="665" fillId="0" borderId="665" xfId="0" applyFont="1" applyBorder="1" applyAlignment="1"/>
    <xf numFmtId="0" fontId="666" fillId="0" borderId="666" xfId="0" applyFont="1" applyBorder="1" applyAlignment="1"/>
    <xf numFmtId="0" fontId="667" fillId="0" borderId="667" xfId="0" applyFont="1" applyBorder="1" applyAlignment="1"/>
    <xf numFmtId="0" fontId="668" fillId="0" borderId="668" xfId="0" applyFont="1" applyBorder="1" applyAlignment="1"/>
    <xf numFmtId="0" fontId="669" fillId="0" borderId="669" xfId="0" applyFont="1" applyBorder="1" applyAlignment="1"/>
    <xf numFmtId="0" fontId="670" fillId="0" borderId="670" xfId="0" applyFont="1" applyBorder="1" applyAlignment="1"/>
    <xf numFmtId="0" fontId="671" fillId="0" borderId="671" xfId="0" applyFont="1" applyBorder="1" applyAlignment="1"/>
    <xf numFmtId="0" fontId="672" fillId="0" borderId="672" xfId="0" applyFont="1" applyBorder="1" applyAlignment="1"/>
    <xf numFmtId="0" fontId="673" fillId="0" borderId="673" xfId="0" applyFont="1" applyBorder="1" applyAlignment="1"/>
    <xf numFmtId="0" fontId="674" fillId="0" borderId="674" xfId="0" applyFont="1" applyBorder="1" applyAlignment="1"/>
    <xf numFmtId="0" fontId="675" fillId="0" borderId="675" xfId="0" applyFont="1" applyBorder="1" applyAlignment="1"/>
    <xf numFmtId="0" fontId="676" fillId="0" borderId="676" xfId="0" applyFont="1" applyBorder="1" applyAlignment="1"/>
    <xf numFmtId="0" fontId="677" fillId="0" borderId="677" xfId="0" applyFont="1" applyBorder="1" applyAlignment="1"/>
    <xf numFmtId="0" fontId="678" fillId="0" borderId="678" xfId="0" applyFont="1" applyBorder="1" applyAlignment="1"/>
    <xf numFmtId="0" fontId="679" fillId="0" borderId="679" xfId="0" applyFont="1" applyBorder="1" applyAlignment="1"/>
    <xf numFmtId="0" fontId="680" fillId="0" borderId="680" xfId="0" applyFont="1" applyBorder="1" applyAlignment="1"/>
    <xf numFmtId="0" fontId="681" fillId="0" borderId="681" xfId="0" applyFont="1" applyBorder="1" applyAlignment="1"/>
    <xf numFmtId="0" fontId="682" fillId="0" borderId="682" xfId="0" applyFont="1" applyBorder="1" applyAlignment="1"/>
    <xf numFmtId="0" fontId="683" fillId="0" borderId="683" xfId="0" applyFont="1" applyBorder="1" applyAlignment="1"/>
    <xf numFmtId="0" fontId="684" fillId="0" borderId="684" xfId="0" applyFont="1" applyBorder="1" applyAlignment="1"/>
    <xf numFmtId="0" fontId="685" fillId="0" borderId="685" xfId="0" applyFont="1" applyBorder="1" applyAlignment="1"/>
    <xf numFmtId="0" fontId="686" fillId="0" borderId="686" xfId="0" applyFont="1" applyBorder="1" applyAlignment="1"/>
    <xf numFmtId="0" fontId="687" fillId="0" borderId="687" xfId="0" applyFont="1" applyBorder="1" applyAlignment="1"/>
    <xf numFmtId="0" fontId="688" fillId="0" borderId="688" xfId="0" applyFont="1" applyBorder="1" applyAlignment="1"/>
    <xf numFmtId="0" fontId="689" fillId="0" borderId="689" xfId="0" applyFont="1" applyBorder="1" applyAlignment="1"/>
    <xf numFmtId="0" fontId="690" fillId="0" borderId="690" xfId="0" applyFont="1" applyBorder="1" applyAlignment="1"/>
    <xf numFmtId="0" fontId="691" fillId="0" borderId="691" xfId="0" applyFont="1" applyBorder="1" applyAlignment="1"/>
    <xf numFmtId="0" fontId="692" fillId="0" borderId="692" xfId="0" applyFont="1" applyBorder="1" applyAlignment="1"/>
    <xf numFmtId="0" fontId="693" fillId="0" borderId="693" xfId="0" applyFont="1" applyBorder="1" applyAlignment="1"/>
    <xf numFmtId="0" fontId="694" fillId="0" borderId="694" xfId="0" applyFont="1" applyBorder="1" applyAlignment="1"/>
    <xf numFmtId="0" fontId="695" fillId="0" borderId="695" xfId="0" applyFont="1" applyBorder="1" applyAlignment="1"/>
    <xf numFmtId="0" fontId="696" fillId="0" borderId="696" xfId="0" applyFont="1" applyBorder="1" applyAlignment="1"/>
    <xf numFmtId="0" fontId="697" fillId="0" borderId="697" xfId="0" applyFont="1" applyBorder="1" applyAlignment="1"/>
    <xf numFmtId="0" fontId="698" fillId="0" borderId="698" xfId="0" applyFont="1" applyBorder="1" applyAlignment="1"/>
    <xf numFmtId="0" fontId="699" fillId="0" borderId="699" xfId="0" applyFont="1" applyBorder="1" applyAlignment="1"/>
    <xf numFmtId="0" fontId="700" fillId="0" borderId="700" xfId="0" applyFont="1" applyBorder="1" applyAlignment="1"/>
    <xf numFmtId="0" fontId="701" fillId="0" borderId="701" xfId="0" applyFont="1" applyBorder="1" applyAlignment="1"/>
    <xf numFmtId="0" fontId="702" fillId="0" borderId="702" xfId="0" applyFont="1" applyBorder="1" applyAlignment="1"/>
    <xf numFmtId="0" fontId="703" fillId="0" borderId="703" xfId="0" applyFont="1" applyBorder="1" applyAlignment="1"/>
    <xf numFmtId="0" fontId="704" fillId="0" borderId="704" xfId="0" applyFont="1" applyBorder="1" applyAlignment="1"/>
    <xf numFmtId="0" fontId="705" fillId="0" borderId="705" xfId="0" applyFont="1" applyBorder="1" applyAlignment="1"/>
    <xf numFmtId="0" fontId="706" fillId="0" borderId="706" xfId="0" applyFont="1" applyBorder="1" applyAlignment="1"/>
    <xf numFmtId="0" fontId="707" fillId="0" borderId="707" xfId="0" applyFont="1" applyBorder="1" applyAlignment="1"/>
    <xf numFmtId="0" fontId="708" fillId="0" borderId="708" xfId="0" applyFont="1" applyBorder="1" applyAlignment="1"/>
    <xf numFmtId="0" fontId="709" fillId="0" borderId="709" xfId="0" applyFont="1" applyBorder="1" applyAlignment="1"/>
    <xf numFmtId="0" fontId="710" fillId="0" borderId="710" xfId="0" applyFont="1" applyBorder="1" applyAlignment="1"/>
    <xf numFmtId="0" fontId="711" fillId="0" borderId="711" xfId="0" applyFont="1" applyBorder="1" applyAlignment="1"/>
    <xf numFmtId="0" fontId="712" fillId="0" borderId="712" xfId="0" applyFont="1" applyBorder="1" applyAlignment="1"/>
    <xf numFmtId="0" fontId="713" fillId="0" borderId="713" xfId="0" applyFont="1" applyBorder="1" applyAlignment="1"/>
    <xf numFmtId="0" fontId="714" fillId="0" borderId="714" xfId="0" applyFont="1" applyBorder="1" applyAlignment="1"/>
    <xf numFmtId="0" fontId="715" fillId="0" borderId="715" xfId="0" applyFont="1" applyBorder="1" applyAlignment="1"/>
    <xf numFmtId="0" fontId="716" fillId="0" borderId="716" xfId="0" applyFont="1" applyBorder="1" applyAlignment="1"/>
    <xf numFmtId="0" fontId="717" fillId="0" borderId="717" xfId="0" applyFont="1" applyBorder="1" applyAlignment="1"/>
    <xf numFmtId="0" fontId="718" fillId="0" borderId="718" xfId="0" applyFont="1" applyBorder="1" applyAlignment="1"/>
    <xf numFmtId="0" fontId="719" fillId="0" borderId="719" xfId="0" applyFont="1" applyBorder="1" applyAlignment="1"/>
    <xf numFmtId="0" fontId="720" fillId="0" borderId="720" xfId="0" applyFont="1" applyBorder="1" applyAlignment="1"/>
    <xf numFmtId="0" fontId="721" fillId="0" borderId="721" xfId="0" applyFont="1" applyBorder="1" applyAlignment="1"/>
    <xf numFmtId="0" fontId="722" fillId="0" borderId="722" xfId="0" applyFont="1" applyBorder="1" applyAlignment="1"/>
    <xf numFmtId="0" fontId="723" fillId="0" borderId="723" xfId="0" applyFont="1" applyBorder="1" applyAlignment="1"/>
    <xf numFmtId="0" fontId="724" fillId="0" borderId="724" xfId="0" applyFont="1" applyBorder="1" applyAlignment="1"/>
    <xf numFmtId="0" fontId="725" fillId="0" borderId="725" xfId="0" applyFont="1" applyBorder="1" applyAlignment="1"/>
    <xf numFmtId="0" fontId="726" fillId="0" borderId="726" xfId="0" applyFont="1" applyBorder="1" applyAlignment="1"/>
    <xf numFmtId="0" fontId="727" fillId="0" borderId="727" xfId="0" applyFont="1" applyBorder="1" applyAlignment="1"/>
    <xf numFmtId="0" fontId="728" fillId="0" borderId="728" xfId="0" applyFont="1" applyBorder="1" applyAlignment="1"/>
    <xf numFmtId="0" fontId="729" fillId="0" borderId="729" xfId="0" applyFont="1" applyBorder="1" applyAlignment="1"/>
    <xf numFmtId="0" fontId="730" fillId="0" borderId="730" xfId="0" applyFont="1" applyBorder="1" applyAlignment="1"/>
    <xf numFmtId="0" fontId="731" fillId="0" borderId="731" xfId="0" applyFont="1" applyBorder="1" applyAlignment="1"/>
    <xf numFmtId="0" fontId="732" fillId="0" borderId="732" xfId="0" applyFont="1" applyBorder="1" applyAlignment="1"/>
    <xf numFmtId="0" fontId="733" fillId="0" borderId="733" xfId="0" applyFont="1" applyBorder="1" applyAlignment="1"/>
    <xf numFmtId="0" fontId="734" fillId="0" borderId="734" xfId="0" applyFont="1" applyBorder="1" applyAlignment="1"/>
    <xf numFmtId="0" fontId="735" fillId="0" borderId="735" xfId="0" applyFont="1" applyBorder="1" applyAlignment="1"/>
    <xf numFmtId="0" fontId="736" fillId="0" borderId="736" xfId="0" applyFont="1" applyBorder="1" applyAlignment="1"/>
    <xf numFmtId="0" fontId="737" fillId="0" borderId="737" xfId="0" applyFont="1" applyBorder="1" applyAlignment="1"/>
    <xf numFmtId="0" fontId="738" fillId="0" borderId="738" xfId="0" applyFont="1" applyBorder="1" applyAlignment="1"/>
    <xf numFmtId="0" fontId="739" fillId="0" borderId="739" xfId="0" applyFont="1" applyBorder="1" applyAlignment="1"/>
    <xf numFmtId="0" fontId="740" fillId="0" borderId="740" xfId="0" applyFont="1" applyBorder="1" applyAlignment="1"/>
    <xf numFmtId="0" fontId="741" fillId="0" borderId="741" xfId="0" applyFont="1" applyBorder="1" applyAlignment="1"/>
    <xf numFmtId="0" fontId="742" fillId="0" borderId="742" xfId="0" applyFont="1" applyBorder="1" applyAlignment="1"/>
    <xf numFmtId="0" fontId="743" fillId="0" borderId="743" xfId="0" applyFont="1" applyBorder="1" applyAlignment="1"/>
    <xf numFmtId="0" fontId="744" fillId="0" borderId="744" xfId="0" applyFont="1" applyBorder="1" applyAlignment="1"/>
    <xf numFmtId="0" fontId="745" fillId="0" borderId="745" xfId="0" applyFont="1" applyBorder="1" applyAlignment="1"/>
    <xf numFmtId="0" fontId="746" fillId="0" borderId="746" xfId="0" applyFont="1" applyBorder="1" applyAlignment="1"/>
    <xf numFmtId="0" fontId="747" fillId="0" borderId="747" xfId="0" applyFont="1" applyBorder="1" applyAlignment="1"/>
    <xf numFmtId="0" fontId="748" fillId="0" borderId="748" xfId="0" applyFont="1" applyBorder="1" applyAlignment="1"/>
    <xf numFmtId="0" fontId="749" fillId="0" borderId="749" xfId="0" applyFont="1" applyBorder="1" applyAlignment="1"/>
    <xf numFmtId="0" fontId="750" fillId="0" borderId="750" xfId="0" applyFont="1" applyBorder="1" applyAlignment="1"/>
    <xf numFmtId="0" fontId="751" fillId="0" borderId="751" xfId="0" applyFont="1" applyBorder="1" applyAlignment="1"/>
    <xf numFmtId="0" fontId="752" fillId="0" borderId="752" xfId="0" applyFont="1" applyBorder="1" applyAlignment="1"/>
    <xf numFmtId="0" fontId="753" fillId="0" borderId="753" xfId="0" applyFont="1" applyBorder="1" applyAlignment="1"/>
    <xf numFmtId="0" fontId="754" fillId="0" borderId="754" xfId="0" applyFont="1" applyBorder="1" applyAlignment="1"/>
    <xf numFmtId="0" fontId="755" fillId="0" borderId="755" xfId="0" applyFont="1" applyBorder="1" applyAlignment="1"/>
    <xf numFmtId="0" fontId="756" fillId="0" borderId="756" xfId="0" applyFont="1" applyBorder="1" applyAlignment="1"/>
    <xf numFmtId="0" fontId="757" fillId="0" borderId="757" xfId="0" applyFont="1" applyBorder="1" applyAlignment="1"/>
    <xf numFmtId="0" fontId="758" fillId="0" borderId="758" xfId="0" applyFont="1" applyBorder="1" applyAlignment="1"/>
    <xf numFmtId="0" fontId="759" fillId="0" borderId="759" xfId="0" applyFont="1" applyBorder="1" applyAlignment="1"/>
    <xf numFmtId="0" fontId="760" fillId="0" borderId="760" xfId="0" applyFont="1" applyBorder="1" applyAlignment="1"/>
    <xf numFmtId="0" fontId="761" fillId="0" borderId="761" xfId="0" applyFont="1" applyBorder="1" applyAlignment="1"/>
    <xf numFmtId="0" fontId="762" fillId="0" borderId="762" xfId="0" applyFont="1" applyBorder="1" applyAlignment="1"/>
    <xf numFmtId="0" fontId="763" fillId="0" borderId="763" xfId="0" applyFont="1" applyBorder="1" applyAlignment="1"/>
    <xf numFmtId="0" fontId="764" fillId="0" borderId="764" xfId="0" applyFont="1" applyBorder="1" applyAlignment="1"/>
    <xf numFmtId="0" fontId="765" fillId="0" borderId="765" xfId="0" applyFont="1" applyBorder="1" applyAlignment="1"/>
    <xf numFmtId="0" fontId="766" fillId="0" borderId="766" xfId="0" applyFont="1" applyBorder="1" applyAlignment="1"/>
    <xf numFmtId="0" fontId="767" fillId="0" borderId="767" xfId="0" applyFont="1" applyBorder="1" applyAlignment="1"/>
    <xf numFmtId="0" fontId="768" fillId="0" borderId="768" xfId="0" applyFont="1" applyBorder="1" applyAlignment="1"/>
    <xf numFmtId="0" fontId="769" fillId="0" borderId="769" xfId="0" applyFont="1" applyBorder="1" applyAlignment="1"/>
    <xf numFmtId="0" fontId="770" fillId="0" borderId="770" xfId="0" applyFont="1" applyBorder="1" applyAlignment="1"/>
    <xf numFmtId="0" fontId="771" fillId="0" borderId="771" xfId="0" applyFont="1" applyBorder="1" applyAlignment="1"/>
    <xf numFmtId="0" fontId="772" fillId="0" borderId="772" xfId="0" applyFont="1" applyBorder="1" applyAlignment="1"/>
    <xf numFmtId="0" fontId="773" fillId="0" borderId="773" xfId="0" applyFont="1" applyBorder="1" applyAlignment="1"/>
    <xf numFmtId="0" fontId="774" fillId="0" borderId="774" xfId="0" applyFont="1" applyBorder="1" applyAlignment="1"/>
    <xf numFmtId="0" fontId="775" fillId="0" borderId="775" xfId="0" applyFont="1" applyBorder="1" applyAlignment="1"/>
    <xf numFmtId="0" fontId="776" fillId="0" borderId="776" xfId="0" applyFont="1" applyBorder="1" applyAlignment="1"/>
    <xf numFmtId="0" fontId="777" fillId="0" borderId="777" xfId="0" applyFont="1" applyBorder="1" applyAlignment="1"/>
    <xf numFmtId="0" fontId="778" fillId="0" borderId="778" xfId="0" applyFont="1" applyBorder="1" applyAlignment="1"/>
    <xf numFmtId="0" fontId="779" fillId="0" borderId="779" xfId="0" applyFont="1" applyBorder="1" applyAlignment="1"/>
    <xf numFmtId="0" fontId="780" fillId="0" borderId="780" xfId="0" applyFont="1" applyBorder="1" applyAlignment="1"/>
    <xf numFmtId="0" fontId="781" fillId="0" borderId="781" xfId="0" applyFont="1" applyBorder="1" applyAlignment="1"/>
    <xf numFmtId="0" fontId="782" fillId="0" borderId="782" xfId="0" applyFont="1" applyBorder="1" applyAlignment="1"/>
    <xf numFmtId="0" fontId="783" fillId="0" borderId="783" xfId="0" applyFont="1" applyBorder="1" applyAlignment="1"/>
    <xf numFmtId="0" fontId="784" fillId="0" borderId="784" xfId="0" applyFont="1" applyBorder="1" applyAlignment="1"/>
    <xf numFmtId="0" fontId="785" fillId="0" borderId="785" xfId="0" applyFont="1" applyBorder="1" applyAlignment="1"/>
    <xf numFmtId="0" fontId="786" fillId="0" borderId="786" xfId="0" applyFont="1" applyBorder="1" applyAlignment="1"/>
    <xf numFmtId="0" fontId="787" fillId="0" borderId="787" xfId="0" applyFont="1" applyBorder="1" applyAlignment="1"/>
    <xf numFmtId="0" fontId="788" fillId="0" borderId="788" xfId="0" applyFont="1" applyBorder="1" applyAlignment="1"/>
    <xf numFmtId="0" fontId="789" fillId="0" borderId="789" xfId="0" applyFont="1" applyBorder="1" applyAlignment="1"/>
    <xf numFmtId="0" fontId="790" fillId="0" borderId="790" xfId="0" applyFont="1" applyBorder="1" applyAlignment="1"/>
    <xf numFmtId="0" fontId="791" fillId="0" borderId="791" xfId="0" applyFont="1" applyBorder="1" applyAlignment="1"/>
    <xf numFmtId="0" fontId="792" fillId="0" borderId="792" xfId="0" applyFont="1" applyBorder="1" applyAlignment="1"/>
    <xf numFmtId="0" fontId="793" fillId="0" borderId="793" xfId="0" applyFont="1" applyBorder="1" applyAlignment="1"/>
    <xf numFmtId="0" fontId="794" fillId="0" borderId="794" xfId="0" applyFont="1" applyBorder="1" applyAlignment="1"/>
    <xf numFmtId="0" fontId="795" fillId="0" borderId="795" xfId="0" applyFont="1" applyBorder="1" applyAlignment="1"/>
    <xf numFmtId="0" fontId="796" fillId="0" borderId="796" xfId="0" applyFont="1" applyBorder="1" applyAlignment="1"/>
    <xf numFmtId="0" fontId="797" fillId="0" borderId="797" xfId="0" applyFont="1" applyBorder="1" applyAlignment="1"/>
    <xf numFmtId="0" fontId="798" fillId="0" borderId="798" xfId="0" applyFont="1" applyBorder="1" applyAlignment="1"/>
    <xf numFmtId="0" fontId="799" fillId="0" borderId="799" xfId="0" applyFont="1" applyBorder="1" applyAlignment="1"/>
    <xf numFmtId="0" fontId="800" fillId="0" borderId="800" xfId="0" applyFont="1" applyBorder="1" applyAlignment="1"/>
    <xf numFmtId="0" fontId="801" fillId="0" borderId="801" xfId="0" applyFont="1" applyBorder="1" applyAlignment="1"/>
    <xf numFmtId="0" fontId="802" fillId="0" borderId="802" xfId="0" applyFont="1" applyBorder="1" applyAlignment="1"/>
    <xf numFmtId="0" fontId="803" fillId="0" borderId="803" xfId="0" applyFont="1" applyBorder="1" applyAlignment="1"/>
    <xf numFmtId="0" fontId="804" fillId="0" borderId="804" xfId="0" applyFont="1" applyBorder="1" applyAlignment="1"/>
    <xf numFmtId="0" fontId="805" fillId="0" borderId="805" xfId="0" applyFont="1" applyBorder="1" applyAlignment="1"/>
    <xf numFmtId="0" fontId="806" fillId="0" borderId="806" xfId="0" applyFont="1" applyBorder="1" applyAlignment="1"/>
    <xf numFmtId="0" fontId="807" fillId="0" borderId="807" xfId="0" applyFont="1" applyBorder="1" applyAlignment="1"/>
    <xf numFmtId="0" fontId="808" fillId="0" borderId="808" xfId="0" applyFont="1" applyBorder="1" applyAlignment="1"/>
    <xf numFmtId="0" fontId="809" fillId="0" borderId="809" xfId="0" applyFont="1" applyBorder="1" applyAlignment="1"/>
    <xf numFmtId="0" fontId="810" fillId="0" borderId="810" xfId="0" applyFont="1" applyBorder="1" applyAlignment="1"/>
    <xf numFmtId="0" fontId="811" fillId="0" borderId="811" xfId="0" applyFont="1" applyBorder="1" applyAlignment="1"/>
    <xf numFmtId="0" fontId="812" fillId="0" borderId="812" xfId="0" applyFont="1" applyBorder="1" applyAlignment="1"/>
    <xf numFmtId="0" fontId="813" fillId="0" borderId="813" xfId="0" applyFont="1" applyBorder="1" applyAlignment="1"/>
    <xf numFmtId="0" fontId="814" fillId="0" borderId="814" xfId="0" applyFont="1" applyBorder="1" applyAlignment="1"/>
    <xf numFmtId="0" fontId="815" fillId="0" borderId="815" xfId="0" applyFont="1" applyBorder="1" applyAlignment="1"/>
    <xf numFmtId="0" fontId="816" fillId="0" borderId="816" xfId="0" applyFont="1" applyBorder="1" applyAlignment="1"/>
    <xf numFmtId="0" fontId="817" fillId="0" borderId="817" xfId="0" applyFont="1" applyBorder="1" applyAlignment="1"/>
    <xf numFmtId="0" fontId="818" fillId="0" borderId="818" xfId="0" applyFont="1" applyBorder="1" applyAlignment="1"/>
    <xf numFmtId="0" fontId="819" fillId="0" borderId="819" xfId="0" applyFont="1" applyBorder="1" applyAlignment="1"/>
    <xf numFmtId="0" fontId="820" fillId="0" borderId="820" xfId="0" applyFont="1" applyBorder="1" applyAlignment="1"/>
    <xf numFmtId="0" fontId="821" fillId="0" borderId="821" xfId="0" applyFont="1" applyBorder="1" applyAlignment="1"/>
    <xf numFmtId="0" fontId="822" fillId="0" borderId="822" xfId="0" applyFont="1" applyBorder="1" applyAlignment="1"/>
    <xf numFmtId="0" fontId="823" fillId="0" borderId="823" xfId="0" applyFont="1" applyBorder="1" applyAlignment="1"/>
    <xf numFmtId="0" fontId="824" fillId="0" borderId="824" xfId="0" applyFont="1" applyBorder="1" applyAlignment="1"/>
    <xf numFmtId="0" fontId="825" fillId="0" borderId="825" xfId="0" applyFont="1" applyBorder="1" applyAlignment="1"/>
    <xf numFmtId="0" fontId="826" fillId="0" borderId="826" xfId="0" applyFont="1" applyBorder="1" applyAlignment="1"/>
    <xf numFmtId="0" fontId="827" fillId="0" borderId="827" xfId="0" applyFont="1" applyBorder="1" applyAlignment="1"/>
    <xf numFmtId="0" fontId="828" fillId="0" borderId="828" xfId="0" applyFont="1" applyBorder="1" applyAlignment="1"/>
    <xf numFmtId="0" fontId="829" fillId="0" borderId="829" xfId="0" applyFont="1" applyBorder="1" applyAlignment="1"/>
    <xf numFmtId="0" fontId="830" fillId="0" borderId="830" xfId="0" applyFont="1" applyBorder="1" applyAlignment="1"/>
    <xf numFmtId="0" fontId="831" fillId="0" borderId="831" xfId="0" applyFont="1" applyBorder="1" applyAlignment="1"/>
    <xf numFmtId="0" fontId="832" fillId="0" borderId="832" xfId="0" applyFont="1" applyBorder="1" applyAlignment="1"/>
    <xf numFmtId="0" fontId="833" fillId="0" borderId="833" xfId="0" applyFont="1" applyBorder="1" applyAlignment="1"/>
    <xf numFmtId="0" fontId="834" fillId="0" borderId="834" xfId="0" applyFont="1" applyBorder="1" applyAlignment="1"/>
    <xf numFmtId="0" fontId="835" fillId="0" borderId="835" xfId="0" applyFont="1" applyBorder="1" applyAlignment="1"/>
    <xf numFmtId="0" fontId="836" fillId="0" borderId="836" xfId="0" applyFont="1" applyBorder="1" applyAlignment="1"/>
    <xf numFmtId="0" fontId="837" fillId="0" borderId="837" xfId="0" applyFont="1" applyBorder="1" applyAlignment="1"/>
    <xf numFmtId="0" fontId="838" fillId="0" borderId="838" xfId="0" applyFont="1" applyBorder="1" applyAlignment="1"/>
    <xf numFmtId="0" fontId="839" fillId="0" borderId="839" xfId="0" applyFont="1" applyBorder="1" applyAlignment="1"/>
    <xf numFmtId="0" fontId="840" fillId="0" borderId="840" xfId="0" applyFont="1" applyBorder="1" applyAlignment="1"/>
    <xf numFmtId="0" fontId="841" fillId="0" borderId="841" xfId="0" applyFont="1" applyBorder="1" applyAlignment="1"/>
    <xf numFmtId="0" fontId="842" fillId="0" borderId="842" xfId="0" applyFont="1" applyBorder="1" applyAlignment="1"/>
    <xf numFmtId="0" fontId="843" fillId="0" borderId="843" xfId="0" applyFont="1" applyBorder="1" applyAlignment="1"/>
    <xf numFmtId="0" fontId="844" fillId="0" borderId="844" xfId="0" applyFont="1" applyBorder="1" applyAlignment="1"/>
    <xf numFmtId="0" fontId="845" fillId="0" borderId="845" xfId="0" applyFont="1" applyBorder="1" applyAlignment="1"/>
    <xf numFmtId="0" fontId="846" fillId="0" borderId="846" xfId="0" applyFont="1" applyBorder="1" applyAlignment="1"/>
    <xf numFmtId="0" fontId="847" fillId="0" borderId="847" xfId="0" applyFont="1" applyBorder="1" applyAlignment="1"/>
    <xf numFmtId="0" fontId="848" fillId="0" borderId="848" xfId="0" applyFont="1" applyBorder="1" applyAlignment="1"/>
    <xf numFmtId="0" fontId="849" fillId="0" borderId="849" xfId="0" applyFont="1" applyBorder="1" applyAlignment="1"/>
    <xf numFmtId="0" fontId="850" fillId="0" borderId="850" xfId="0" applyFont="1" applyBorder="1" applyAlignment="1"/>
    <xf numFmtId="0" fontId="851" fillId="0" borderId="851" xfId="0" applyFont="1" applyBorder="1" applyAlignment="1"/>
    <xf numFmtId="0" fontId="852" fillId="0" borderId="852" xfId="0" applyFont="1" applyBorder="1" applyAlignment="1"/>
    <xf numFmtId="0" fontId="853" fillId="0" borderId="853" xfId="0" applyFont="1" applyBorder="1" applyAlignment="1"/>
    <xf numFmtId="0" fontId="854" fillId="0" borderId="854" xfId="0" applyFont="1" applyBorder="1" applyAlignment="1"/>
    <xf numFmtId="0" fontId="855" fillId="0" borderId="855" xfId="0" applyFont="1" applyBorder="1" applyAlignment="1"/>
    <xf numFmtId="0" fontId="856" fillId="0" borderId="856" xfId="0" applyFont="1" applyBorder="1" applyAlignment="1"/>
    <xf numFmtId="0" fontId="857" fillId="0" borderId="857" xfId="0" applyFont="1" applyBorder="1" applyAlignment="1"/>
    <xf numFmtId="0" fontId="858" fillId="0" borderId="858" xfId="0" applyFont="1" applyBorder="1" applyAlignment="1"/>
    <xf numFmtId="0" fontId="859" fillId="0" borderId="859" xfId="0" applyFont="1" applyBorder="1" applyAlignment="1"/>
    <xf numFmtId="0" fontId="860" fillId="0" borderId="860" xfId="0" applyFont="1" applyBorder="1" applyAlignment="1"/>
    <xf numFmtId="0" fontId="861" fillId="0" borderId="861" xfId="0" applyFont="1" applyBorder="1" applyAlignment="1"/>
    <xf numFmtId="0" fontId="862" fillId="0" borderId="862" xfId="0" applyFont="1" applyBorder="1" applyAlignment="1"/>
    <xf numFmtId="0" fontId="863" fillId="0" borderId="863" xfId="0" applyFont="1" applyBorder="1" applyAlignment="1"/>
    <xf numFmtId="0" fontId="864" fillId="0" borderId="864" xfId="0" applyFont="1" applyBorder="1" applyAlignment="1"/>
    <xf numFmtId="0" fontId="865" fillId="0" borderId="865" xfId="0" applyFont="1" applyBorder="1" applyAlignment="1"/>
    <xf numFmtId="0" fontId="866" fillId="0" borderId="866" xfId="0" applyFont="1" applyBorder="1" applyAlignment="1"/>
    <xf numFmtId="0" fontId="867" fillId="0" borderId="867" xfId="0" applyFont="1" applyBorder="1" applyAlignment="1"/>
    <xf numFmtId="0" fontId="868" fillId="0" borderId="868" xfId="0" applyFont="1" applyBorder="1" applyAlignment="1"/>
    <xf numFmtId="0" fontId="869" fillId="0" borderId="869" xfId="0" applyFont="1" applyBorder="1" applyAlignment="1"/>
    <xf numFmtId="0" fontId="870" fillId="0" borderId="870" xfId="0" applyFont="1" applyBorder="1" applyAlignment="1"/>
    <xf numFmtId="0" fontId="871" fillId="0" borderId="871" xfId="0" applyFont="1" applyBorder="1" applyAlignment="1"/>
    <xf numFmtId="0" fontId="872" fillId="0" borderId="872" xfId="0" applyFont="1" applyBorder="1" applyAlignment="1"/>
    <xf numFmtId="0" fontId="873" fillId="0" borderId="873" xfId="0" applyFont="1" applyBorder="1" applyAlignment="1"/>
    <xf numFmtId="0" fontId="874" fillId="0" borderId="874" xfId="0" applyFont="1" applyBorder="1" applyAlignment="1"/>
    <xf numFmtId="0" fontId="875" fillId="0" borderId="875" xfId="0" applyFont="1" applyBorder="1" applyAlignment="1"/>
    <xf numFmtId="0" fontId="876" fillId="0" borderId="876" xfId="0" applyFont="1" applyBorder="1" applyAlignment="1"/>
    <xf numFmtId="0" fontId="877" fillId="0" borderId="877" xfId="0" applyFont="1" applyBorder="1" applyAlignment="1"/>
    <xf numFmtId="0" fontId="878" fillId="0" borderId="878" xfId="0" applyFont="1" applyBorder="1" applyAlignment="1"/>
    <xf numFmtId="0" fontId="879" fillId="0" borderId="879" xfId="0" applyFont="1" applyBorder="1" applyAlignment="1"/>
    <xf numFmtId="0" fontId="880" fillId="0" borderId="880" xfId="0" applyFont="1" applyBorder="1" applyAlignment="1"/>
    <xf numFmtId="0" fontId="881" fillId="0" borderId="881" xfId="0" applyFont="1" applyBorder="1" applyAlignment="1"/>
    <xf numFmtId="0" fontId="882" fillId="0" borderId="882" xfId="0" applyFont="1" applyBorder="1" applyAlignment="1"/>
    <xf numFmtId="0" fontId="883" fillId="0" borderId="883" xfId="0" applyFont="1" applyBorder="1" applyAlignment="1"/>
    <xf numFmtId="0" fontId="884" fillId="0" borderId="884" xfId="0" applyFont="1" applyBorder="1" applyAlignment="1"/>
    <xf numFmtId="0" fontId="885" fillId="0" borderId="885" xfId="0" applyFont="1" applyBorder="1" applyAlignment="1"/>
    <xf numFmtId="0" fontId="886" fillId="0" borderId="886" xfId="0" applyFont="1" applyBorder="1" applyAlignment="1"/>
    <xf numFmtId="0" fontId="887" fillId="0" borderId="887" xfId="0" applyFont="1" applyBorder="1" applyAlignment="1"/>
    <xf numFmtId="0" fontId="888" fillId="0" borderId="888" xfId="0" applyFont="1" applyBorder="1" applyAlignment="1"/>
    <xf numFmtId="0" fontId="889" fillId="0" borderId="889" xfId="0" applyFont="1" applyBorder="1" applyAlignment="1"/>
    <xf numFmtId="0" fontId="890" fillId="0" borderId="890" xfId="0" applyFont="1" applyBorder="1" applyAlignment="1"/>
    <xf numFmtId="0" fontId="891" fillId="0" borderId="891" xfId="0" applyFont="1" applyBorder="1" applyAlignment="1"/>
    <xf numFmtId="0" fontId="892" fillId="0" borderId="892" xfId="0" applyFont="1" applyBorder="1" applyAlignment="1"/>
    <xf numFmtId="0" fontId="893" fillId="0" borderId="893" xfId="0" applyFont="1" applyBorder="1" applyAlignment="1"/>
    <xf numFmtId="0" fontId="894" fillId="0" borderId="894" xfId="0" applyFont="1" applyBorder="1" applyAlignment="1"/>
    <xf numFmtId="0" fontId="895" fillId="0" borderId="895" xfId="0" applyFont="1" applyBorder="1" applyAlignment="1"/>
    <xf numFmtId="0" fontId="896" fillId="0" borderId="896" xfId="0" applyFont="1" applyBorder="1" applyAlignment="1"/>
    <xf numFmtId="0" fontId="897" fillId="0" borderId="897" xfId="0" applyFont="1" applyBorder="1" applyAlignment="1"/>
    <xf numFmtId="0" fontId="898" fillId="0" borderId="898" xfId="0" applyFont="1" applyBorder="1" applyAlignment="1"/>
    <xf numFmtId="0" fontId="899" fillId="0" borderId="899" xfId="0" applyFont="1" applyBorder="1" applyAlignment="1"/>
    <xf numFmtId="0" fontId="900" fillId="0" borderId="900" xfId="0" applyFont="1" applyBorder="1" applyAlignment="1"/>
    <xf numFmtId="0" fontId="901" fillId="0" borderId="901" xfId="0" applyFont="1" applyBorder="1" applyAlignment="1"/>
    <xf numFmtId="0" fontId="902" fillId="0" borderId="902" xfId="0" applyFont="1" applyBorder="1" applyAlignment="1"/>
    <xf numFmtId="0" fontId="903" fillId="0" borderId="903" xfId="0" applyFont="1" applyBorder="1" applyAlignment="1"/>
    <xf numFmtId="0" fontId="904" fillId="0" borderId="904" xfId="0" applyFont="1" applyBorder="1" applyAlignment="1"/>
    <xf numFmtId="0" fontId="905" fillId="0" borderId="905" xfId="0" applyFont="1" applyBorder="1" applyAlignment="1"/>
    <xf numFmtId="0" fontId="906" fillId="0" borderId="906" xfId="0" applyFont="1" applyBorder="1" applyAlignment="1"/>
    <xf numFmtId="0" fontId="907" fillId="0" borderId="907" xfId="0" applyFont="1" applyBorder="1" applyAlignment="1"/>
    <xf numFmtId="0" fontId="908" fillId="0" borderId="908" xfId="0" applyFont="1" applyBorder="1" applyAlignment="1"/>
    <xf numFmtId="0" fontId="909" fillId="0" borderId="909" xfId="0" applyFont="1" applyBorder="1" applyAlignment="1"/>
    <xf numFmtId="0" fontId="910" fillId="0" borderId="910" xfId="0" applyFont="1" applyBorder="1" applyAlignment="1"/>
    <xf numFmtId="0" fontId="911" fillId="0" borderId="911" xfId="0" applyFont="1" applyBorder="1" applyAlignment="1"/>
    <xf numFmtId="0" fontId="912" fillId="0" borderId="912" xfId="0" applyFont="1" applyBorder="1" applyAlignment="1"/>
    <xf numFmtId="0" fontId="913" fillId="0" borderId="913" xfId="0" applyFont="1" applyBorder="1" applyAlignment="1"/>
    <xf numFmtId="0" fontId="914" fillId="0" borderId="914" xfId="0" applyFont="1" applyBorder="1" applyAlignment="1"/>
    <xf numFmtId="0" fontId="915" fillId="0" borderId="915" xfId="0" applyFont="1" applyBorder="1" applyAlignment="1"/>
    <xf numFmtId="0" fontId="916" fillId="0" borderId="916" xfId="0" applyFont="1" applyBorder="1" applyAlignment="1"/>
    <xf numFmtId="0" fontId="917" fillId="0" borderId="917" xfId="0" applyFont="1" applyBorder="1" applyAlignment="1"/>
    <xf numFmtId="0" fontId="918" fillId="0" borderId="918" xfId="0" applyFont="1" applyBorder="1" applyAlignment="1"/>
    <xf numFmtId="0" fontId="919" fillId="0" borderId="919" xfId="0" applyFont="1" applyBorder="1" applyAlignment="1"/>
    <xf numFmtId="0" fontId="920" fillId="0" borderId="920" xfId="0" applyFont="1" applyBorder="1" applyAlignment="1"/>
    <xf numFmtId="0" fontId="921" fillId="0" borderId="921" xfId="0" applyFont="1" applyBorder="1" applyAlignment="1"/>
    <xf numFmtId="0" fontId="922" fillId="0" borderId="922" xfId="0" applyFont="1" applyBorder="1" applyAlignment="1"/>
    <xf numFmtId="0" fontId="923" fillId="0" borderId="923" xfId="0" applyFont="1" applyBorder="1" applyAlignment="1"/>
    <xf numFmtId="0" fontId="924" fillId="0" borderId="924" xfId="0" applyFont="1" applyBorder="1" applyAlignment="1"/>
    <xf numFmtId="0" fontId="925" fillId="0" borderId="925" xfId="0" applyFont="1" applyBorder="1" applyAlignment="1"/>
    <xf numFmtId="0" fontId="926" fillId="0" borderId="926" xfId="0" applyFont="1" applyBorder="1" applyAlignment="1"/>
    <xf numFmtId="0" fontId="927" fillId="0" borderId="927" xfId="0" applyFont="1" applyBorder="1" applyAlignment="1"/>
    <xf numFmtId="0" fontId="928" fillId="0" borderId="928" xfId="0" applyFont="1" applyBorder="1" applyAlignment="1"/>
    <xf numFmtId="0" fontId="929" fillId="0" borderId="929" xfId="0" applyFont="1" applyBorder="1" applyAlignment="1"/>
    <xf numFmtId="0" fontId="930" fillId="0" borderId="930" xfId="0" applyFont="1" applyBorder="1" applyAlignment="1"/>
    <xf numFmtId="0" fontId="931" fillId="0" borderId="931" xfId="0" applyFont="1" applyBorder="1" applyAlignment="1"/>
    <xf numFmtId="0" fontId="932" fillId="0" borderId="932" xfId="0" applyFont="1" applyBorder="1" applyAlignment="1"/>
    <xf numFmtId="0" fontId="933" fillId="0" borderId="933" xfId="0" applyFont="1" applyBorder="1" applyAlignment="1"/>
    <xf numFmtId="0" fontId="934" fillId="0" borderId="934" xfId="0" applyFont="1" applyBorder="1" applyAlignment="1"/>
    <xf numFmtId="0" fontId="935" fillId="0" borderId="935" xfId="0" applyFont="1" applyBorder="1" applyAlignment="1"/>
    <xf numFmtId="0" fontId="936" fillId="0" borderId="936" xfId="0" applyFont="1" applyBorder="1" applyAlignment="1"/>
    <xf numFmtId="0" fontId="937" fillId="0" borderId="937" xfId="0" applyFont="1" applyBorder="1" applyAlignment="1"/>
    <xf numFmtId="0" fontId="938" fillId="0" borderId="938" xfId="0" applyFont="1" applyBorder="1" applyAlignment="1"/>
    <xf numFmtId="0" fontId="939" fillId="0" borderId="939" xfId="0" applyFont="1" applyBorder="1" applyAlignment="1"/>
    <xf numFmtId="0" fontId="940" fillId="0" borderId="940" xfId="0" applyFont="1" applyBorder="1" applyAlignment="1"/>
    <xf numFmtId="0" fontId="941" fillId="0" borderId="941" xfId="0" applyFont="1" applyBorder="1" applyAlignment="1"/>
    <xf numFmtId="0" fontId="942" fillId="0" borderId="942" xfId="0" applyFont="1" applyBorder="1" applyAlignment="1"/>
    <xf numFmtId="0" fontId="943" fillId="0" borderId="943" xfId="0" applyFont="1" applyBorder="1" applyAlignment="1"/>
    <xf numFmtId="0" fontId="944" fillId="0" borderId="944" xfId="0" applyFont="1" applyBorder="1" applyAlignment="1"/>
    <xf numFmtId="0" fontId="945" fillId="0" borderId="945" xfId="0" applyFont="1" applyBorder="1" applyAlignment="1"/>
    <xf numFmtId="0" fontId="946" fillId="0" borderId="946" xfId="0" applyFont="1" applyBorder="1" applyAlignment="1"/>
    <xf numFmtId="0" fontId="947" fillId="0" borderId="947" xfId="0" applyFont="1" applyBorder="1" applyAlignment="1"/>
    <xf numFmtId="0" fontId="948" fillId="0" borderId="948" xfId="0" applyFont="1" applyBorder="1" applyAlignment="1"/>
    <xf numFmtId="0" fontId="949" fillId="0" borderId="949" xfId="0" applyFont="1" applyBorder="1" applyAlignment="1"/>
    <xf numFmtId="0" fontId="950" fillId="0" borderId="950" xfId="0" applyFont="1" applyBorder="1" applyAlignment="1"/>
    <xf numFmtId="0" fontId="951" fillId="0" borderId="951" xfId="0" applyFont="1" applyBorder="1" applyAlignment="1"/>
    <xf numFmtId="0" fontId="952" fillId="0" borderId="952" xfId="0" applyFont="1" applyBorder="1" applyAlignment="1"/>
    <xf numFmtId="0" fontId="953" fillId="0" borderId="953" xfId="0" applyFont="1" applyBorder="1" applyAlignment="1"/>
    <xf numFmtId="0" fontId="954" fillId="0" borderId="954" xfId="0" applyFont="1" applyBorder="1" applyAlignment="1"/>
    <xf numFmtId="0" fontId="955" fillId="0" borderId="955" xfId="0" applyFont="1" applyBorder="1" applyAlignment="1"/>
    <xf numFmtId="0" fontId="956" fillId="0" borderId="956" xfId="0" applyFont="1" applyBorder="1" applyAlignment="1"/>
    <xf numFmtId="0" fontId="957" fillId="0" borderId="957" xfId="0" applyFont="1" applyBorder="1" applyAlignment="1"/>
    <xf numFmtId="0" fontId="958" fillId="0" borderId="958" xfId="0" applyFont="1" applyBorder="1" applyAlignment="1"/>
    <xf numFmtId="0" fontId="959" fillId="0" borderId="959" xfId="0" applyFont="1" applyBorder="1" applyAlignment="1"/>
    <xf numFmtId="0" fontId="960" fillId="0" borderId="960" xfId="0" applyFont="1" applyBorder="1" applyAlignment="1"/>
    <xf numFmtId="0" fontId="961" fillId="0" borderId="961" xfId="0" applyFont="1" applyBorder="1" applyAlignment="1"/>
    <xf numFmtId="0" fontId="962" fillId="0" borderId="962" xfId="0" applyFont="1" applyBorder="1" applyAlignment="1"/>
    <xf numFmtId="0" fontId="963" fillId="0" borderId="963" xfId="0" applyFont="1" applyBorder="1" applyAlignment="1"/>
    <xf numFmtId="0" fontId="964" fillId="0" borderId="964" xfId="0" applyFont="1" applyBorder="1" applyAlignment="1"/>
    <xf numFmtId="0" fontId="965" fillId="0" borderId="965" xfId="0" applyFont="1" applyBorder="1" applyAlignment="1"/>
    <xf numFmtId="0" fontId="966" fillId="0" borderId="966" xfId="0" applyFont="1" applyBorder="1" applyAlignment="1"/>
    <xf numFmtId="0" fontId="967" fillId="0" borderId="967" xfId="0" applyFont="1" applyBorder="1" applyAlignment="1"/>
    <xf numFmtId="0" fontId="968" fillId="0" borderId="968" xfId="0" applyFont="1" applyBorder="1" applyAlignment="1"/>
    <xf numFmtId="0" fontId="969" fillId="0" borderId="969" xfId="0" applyFont="1" applyBorder="1" applyAlignment="1"/>
    <xf numFmtId="0" fontId="970" fillId="0" borderId="970" xfId="0" applyFont="1" applyBorder="1" applyAlignment="1"/>
    <xf numFmtId="0" fontId="971" fillId="0" borderId="971" xfId="0" applyFont="1" applyBorder="1" applyAlignment="1"/>
    <xf numFmtId="0" fontId="972" fillId="0" borderId="972" xfId="0" applyFont="1" applyBorder="1" applyAlignment="1"/>
    <xf numFmtId="0" fontId="973" fillId="0" borderId="973" xfId="0" applyFont="1" applyBorder="1" applyAlignment="1"/>
    <xf numFmtId="0" fontId="974" fillId="0" borderId="974" xfId="0" applyFont="1" applyBorder="1" applyAlignment="1"/>
    <xf numFmtId="0" fontId="975" fillId="0" borderId="975" xfId="0" applyFont="1" applyBorder="1" applyAlignment="1"/>
    <xf numFmtId="0" fontId="976" fillId="0" borderId="976" xfId="0" applyFont="1" applyBorder="1" applyAlignment="1"/>
    <xf numFmtId="0" fontId="977" fillId="0" borderId="977" xfId="0" applyFont="1" applyBorder="1" applyAlignment="1"/>
    <xf numFmtId="0" fontId="978" fillId="0" borderId="978" xfId="0" applyFont="1" applyBorder="1" applyAlignment="1"/>
    <xf numFmtId="0" fontId="979" fillId="0" borderId="979" xfId="0" applyFont="1" applyBorder="1" applyAlignment="1"/>
    <xf numFmtId="0" fontId="980" fillId="0" borderId="980" xfId="0" applyFont="1" applyBorder="1" applyAlignment="1"/>
    <xf numFmtId="0" fontId="981" fillId="0" borderId="981" xfId="0" applyFont="1" applyBorder="1" applyAlignment="1"/>
    <xf numFmtId="0" fontId="982" fillId="0" borderId="982" xfId="0" applyFont="1" applyBorder="1" applyAlignment="1"/>
    <xf numFmtId="0" fontId="983" fillId="0" borderId="983" xfId="0" applyFont="1" applyBorder="1" applyAlignment="1"/>
    <xf numFmtId="0" fontId="984" fillId="0" borderId="984" xfId="0" applyFont="1" applyBorder="1" applyAlignment="1"/>
    <xf numFmtId="0" fontId="985" fillId="0" borderId="985" xfId="0" applyFont="1" applyBorder="1" applyAlignment="1"/>
    <xf numFmtId="0" fontId="986" fillId="0" borderId="986" xfId="0" applyFont="1" applyBorder="1" applyAlignment="1"/>
    <xf numFmtId="0" fontId="987" fillId="0" borderId="987" xfId="0" applyFont="1" applyBorder="1" applyAlignment="1"/>
    <xf numFmtId="0" fontId="988" fillId="0" borderId="988" xfId="0" applyFont="1" applyBorder="1" applyAlignment="1"/>
    <xf numFmtId="0" fontId="989" fillId="0" borderId="989" xfId="0" applyFont="1" applyBorder="1" applyAlignment="1"/>
    <xf numFmtId="0" fontId="990" fillId="0" borderId="990" xfId="0" applyFont="1" applyBorder="1" applyAlignment="1"/>
    <xf numFmtId="0" fontId="991" fillId="0" borderId="991" xfId="0" applyFont="1" applyBorder="1" applyAlignment="1"/>
    <xf numFmtId="0" fontId="992" fillId="0" borderId="992" xfId="0" applyFont="1" applyBorder="1" applyAlignment="1"/>
    <xf numFmtId="0" fontId="993" fillId="0" borderId="993" xfId="0" applyFont="1" applyBorder="1" applyAlignment="1"/>
    <xf numFmtId="0" fontId="994" fillId="0" borderId="994" xfId="0" applyFont="1" applyBorder="1" applyAlignment="1"/>
    <xf numFmtId="0" fontId="995" fillId="0" borderId="995" xfId="0" applyFont="1" applyBorder="1" applyAlignment="1"/>
    <xf numFmtId="0" fontId="996" fillId="0" borderId="996" xfId="0" applyFont="1" applyBorder="1" applyAlignment="1"/>
    <xf numFmtId="0" fontId="997" fillId="0" borderId="997" xfId="0" applyFont="1" applyBorder="1" applyAlignment="1"/>
    <xf numFmtId="0" fontId="998" fillId="0" borderId="998" xfId="0" applyFont="1" applyBorder="1" applyAlignment="1"/>
    <xf numFmtId="0" fontId="999" fillId="0" borderId="999" xfId="0" applyFont="1" applyBorder="1" applyAlignment="1"/>
    <xf numFmtId="0" fontId="1000" fillId="0" borderId="1000" xfId="0" applyFont="1" applyBorder="1" applyAlignment="1"/>
    <xf numFmtId="0" fontId="1001" fillId="0" borderId="1001" xfId="0" applyFont="1" applyBorder="1" applyAlignment="1"/>
    <xf numFmtId="0" fontId="1002" fillId="0" borderId="1002" xfId="0" applyFont="1" applyBorder="1" applyAlignment="1"/>
    <xf numFmtId="0" fontId="1003" fillId="0" borderId="1003" xfId="0" applyFont="1" applyBorder="1" applyAlignment="1"/>
    <xf numFmtId="0" fontId="1004" fillId="0" borderId="1004" xfId="0" applyFont="1" applyBorder="1" applyAlignment="1"/>
    <xf numFmtId="0" fontId="1005" fillId="0" borderId="1005" xfId="0" applyFont="1" applyBorder="1" applyAlignment="1"/>
    <xf numFmtId="0" fontId="1006" fillId="0" borderId="1006" xfId="0" applyFont="1" applyBorder="1" applyAlignment="1"/>
    <xf numFmtId="0" fontId="1007" fillId="0" borderId="1007" xfId="0" applyFont="1" applyBorder="1" applyAlignment="1"/>
    <xf numFmtId="0" fontId="1008" fillId="0" borderId="1008" xfId="0" applyFont="1" applyBorder="1" applyAlignment="1"/>
    <xf numFmtId="0" fontId="1009" fillId="0" borderId="1009" xfId="0" applyFont="1" applyBorder="1" applyAlignment="1"/>
    <xf numFmtId="0" fontId="1010" fillId="0" borderId="1010" xfId="0" applyFont="1" applyBorder="1" applyAlignment="1"/>
    <xf numFmtId="0" fontId="1011" fillId="0" borderId="1011" xfId="0" applyFont="1" applyBorder="1" applyAlignment="1"/>
    <xf numFmtId="0" fontId="1012" fillId="0" borderId="1012" xfId="0" applyFont="1" applyBorder="1" applyAlignment="1"/>
    <xf numFmtId="0" fontId="1013" fillId="0" borderId="1013" xfId="0" applyFont="1" applyBorder="1" applyAlignment="1"/>
    <xf numFmtId="0" fontId="1014" fillId="0" borderId="1014" xfId="0" applyFont="1" applyBorder="1" applyAlignment="1"/>
    <xf numFmtId="0" fontId="1015" fillId="0" borderId="1015" xfId="0" applyFont="1" applyBorder="1" applyAlignment="1"/>
    <xf numFmtId="0" fontId="1016" fillId="0" borderId="1016" xfId="0" applyFont="1" applyBorder="1" applyAlignment="1"/>
    <xf numFmtId="0" fontId="1017" fillId="0" borderId="1017" xfId="0" applyFont="1" applyBorder="1" applyAlignment="1"/>
    <xf numFmtId="0" fontId="1018" fillId="0" borderId="1018" xfId="0" applyFont="1" applyBorder="1" applyAlignment="1"/>
    <xf numFmtId="0" fontId="1019" fillId="0" borderId="1019" xfId="0" applyFont="1" applyBorder="1" applyAlignment="1"/>
    <xf numFmtId="0" fontId="1020" fillId="0" borderId="1020" xfId="0" applyFont="1" applyBorder="1" applyAlignment="1"/>
    <xf numFmtId="0" fontId="1021" fillId="0" borderId="1021" xfId="0" applyFont="1" applyBorder="1" applyAlignment="1"/>
    <xf numFmtId="0" fontId="1022" fillId="0" borderId="1022" xfId="0" applyFont="1" applyBorder="1" applyAlignment="1"/>
    <xf numFmtId="0" fontId="1023" fillId="0" borderId="1023" xfId="0" applyFont="1" applyBorder="1" applyAlignment="1"/>
    <xf numFmtId="0" fontId="1024" fillId="0" borderId="1024" xfId="0" applyFont="1" applyBorder="1" applyAlignment="1"/>
    <xf numFmtId="0" fontId="1025" fillId="0" borderId="1025" xfId="0" applyFont="1" applyBorder="1" applyAlignment="1"/>
    <xf numFmtId="0" fontId="1026" fillId="0" borderId="1026" xfId="0" applyFont="1" applyBorder="1" applyAlignment="1"/>
    <xf numFmtId="0" fontId="1027" fillId="0" borderId="1027" xfId="0" applyFont="1" applyBorder="1" applyAlignment="1"/>
    <xf numFmtId="0" fontId="1028" fillId="0" borderId="1028" xfId="0" applyFont="1" applyBorder="1" applyAlignment="1"/>
    <xf numFmtId="0" fontId="1029" fillId="0" borderId="1029" xfId="0" applyFont="1" applyBorder="1" applyAlignment="1"/>
    <xf numFmtId="0" fontId="1030" fillId="0" borderId="1030" xfId="0" applyFont="1" applyBorder="1" applyAlignment="1"/>
    <xf numFmtId="0" fontId="1031" fillId="0" borderId="1031" xfId="0" applyFont="1" applyBorder="1" applyAlignment="1"/>
    <xf numFmtId="0" fontId="1032" fillId="0" borderId="1032" xfId="0" applyFont="1" applyBorder="1" applyAlignment="1"/>
    <xf numFmtId="0" fontId="1033" fillId="0" borderId="1033" xfId="0" applyFont="1" applyBorder="1" applyAlignment="1"/>
    <xf numFmtId="0" fontId="1034" fillId="0" borderId="1034" xfId="0" applyFont="1" applyBorder="1" applyAlignment="1"/>
    <xf numFmtId="0" fontId="1035" fillId="0" borderId="1035" xfId="0" applyFont="1" applyBorder="1" applyAlignment="1"/>
    <xf numFmtId="0" fontId="1036" fillId="0" borderId="1036" xfId="0" applyFont="1" applyBorder="1" applyAlignment="1"/>
    <xf numFmtId="0" fontId="1037" fillId="0" borderId="1037" xfId="0" applyFont="1" applyBorder="1" applyAlignment="1"/>
    <xf numFmtId="0" fontId="1038" fillId="0" borderId="1038" xfId="0" applyFont="1" applyBorder="1" applyAlignment="1"/>
    <xf numFmtId="0" fontId="1039" fillId="0" borderId="1039" xfId="0" applyFont="1" applyBorder="1" applyAlignment="1"/>
    <xf numFmtId="0" fontId="1040" fillId="0" borderId="1040" xfId="0" applyFont="1" applyBorder="1" applyAlignment="1"/>
    <xf numFmtId="0" fontId="1041" fillId="0" borderId="1041" xfId="0" applyFont="1" applyBorder="1" applyAlignment="1"/>
    <xf numFmtId="0" fontId="1042" fillId="0" borderId="1042" xfId="0" applyFont="1" applyBorder="1" applyAlignment="1"/>
    <xf numFmtId="0" fontId="1043" fillId="0" borderId="1043" xfId="0" applyFont="1" applyBorder="1" applyAlignment="1"/>
    <xf numFmtId="0" fontId="1044" fillId="0" borderId="1044" xfId="0" applyFont="1" applyBorder="1" applyAlignment="1"/>
    <xf numFmtId="0" fontId="1045" fillId="0" borderId="1045" xfId="0" applyFont="1" applyBorder="1" applyAlignment="1"/>
    <xf numFmtId="0" fontId="1046" fillId="0" borderId="1046" xfId="0" applyFont="1" applyBorder="1" applyAlignment="1"/>
    <xf numFmtId="0" fontId="1047" fillId="0" borderId="1047" xfId="0" applyFont="1" applyBorder="1" applyAlignment="1"/>
    <xf numFmtId="0" fontId="1048" fillId="0" borderId="1048" xfId="0" applyFont="1" applyBorder="1" applyAlignment="1"/>
    <xf numFmtId="0" fontId="1049" fillId="0" borderId="1049" xfId="0" applyFont="1" applyBorder="1" applyAlignment="1"/>
    <xf numFmtId="0" fontId="1050" fillId="0" borderId="1050" xfId="0" applyFont="1" applyBorder="1" applyAlignment="1"/>
    <xf numFmtId="0" fontId="1051" fillId="0" borderId="1051" xfId="0" applyFont="1" applyBorder="1" applyAlignment="1"/>
    <xf numFmtId="0" fontId="1052" fillId="0" borderId="1052" xfId="0" applyFont="1" applyBorder="1" applyAlignment="1"/>
    <xf numFmtId="0" fontId="1053" fillId="0" borderId="1053" xfId="0" applyFont="1" applyBorder="1" applyAlignment="1"/>
    <xf numFmtId="0" fontId="1054" fillId="0" borderId="1054" xfId="0" applyFont="1" applyBorder="1" applyAlignment="1"/>
    <xf numFmtId="0" fontId="1055" fillId="0" borderId="1055" xfId="0" applyFont="1" applyBorder="1" applyAlignment="1"/>
    <xf numFmtId="0" fontId="1056" fillId="0" borderId="1056" xfId="0" applyFont="1" applyBorder="1" applyAlignment="1"/>
    <xf numFmtId="0" fontId="1057" fillId="0" borderId="1057" xfId="0" applyFont="1" applyBorder="1" applyAlignment="1"/>
    <xf numFmtId="0" fontId="1058" fillId="0" borderId="1058" xfId="0" applyFont="1" applyBorder="1" applyAlignment="1"/>
    <xf numFmtId="0" fontId="1059" fillId="0" borderId="1059" xfId="0" applyFont="1" applyBorder="1" applyAlignment="1"/>
    <xf numFmtId="0" fontId="1060" fillId="0" borderId="1060" xfId="0" applyFont="1" applyBorder="1" applyAlignment="1"/>
    <xf numFmtId="0" fontId="1061" fillId="0" borderId="1061" xfId="0" applyFont="1" applyBorder="1" applyAlignment="1"/>
    <xf numFmtId="0" fontId="1062" fillId="0" borderId="1062" xfId="0" applyFont="1" applyBorder="1" applyAlignment="1"/>
    <xf numFmtId="0" fontId="1063" fillId="0" borderId="1063" xfId="0" applyFont="1" applyBorder="1" applyAlignment="1"/>
    <xf numFmtId="0" fontId="1064" fillId="0" borderId="1064" xfId="0" applyFont="1" applyBorder="1" applyAlignment="1"/>
    <xf numFmtId="0" fontId="1065" fillId="0" borderId="1065" xfId="0" applyFont="1" applyBorder="1" applyAlignment="1"/>
    <xf numFmtId="0" fontId="1066" fillId="0" borderId="1066" xfId="0" applyFont="1" applyBorder="1" applyAlignment="1"/>
    <xf numFmtId="0" fontId="1067" fillId="0" borderId="1067" xfId="0" applyFont="1" applyBorder="1" applyAlignment="1"/>
    <xf numFmtId="0" fontId="1068" fillId="0" borderId="1068" xfId="0" applyFont="1" applyBorder="1" applyAlignment="1"/>
    <xf numFmtId="0" fontId="1069" fillId="0" borderId="1069" xfId="0" applyFont="1" applyBorder="1" applyAlignment="1"/>
    <xf numFmtId="0" fontId="1070" fillId="0" borderId="1070" xfId="0" applyFont="1" applyBorder="1" applyAlignment="1"/>
    <xf numFmtId="0" fontId="1071" fillId="0" borderId="1071" xfId="0" applyFont="1" applyBorder="1" applyAlignment="1"/>
    <xf numFmtId="0" fontId="1072" fillId="0" borderId="1072" xfId="0" applyFont="1" applyBorder="1" applyAlignment="1"/>
    <xf numFmtId="0" fontId="1073" fillId="0" borderId="1073" xfId="0" applyFont="1" applyBorder="1" applyAlignment="1"/>
    <xf numFmtId="0" fontId="1074" fillId="0" borderId="1074" xfId="0" applyFont="1" applyBorder="1" applyAlignment="1"/>
    <xf numFmtId="0" fontId="1075" fillId="0" borderId="1075" xfId="0" applyFont="1" applyBorder="1" applyAlignment="1"/>
    <xf numFmtId="0" fontId="1076" fillId="0" borderId="1076" xfId="0" applyFont="1" applyBorder="1" applyAlignment="1"/>
    <xf numFmtId="0" fontId="1077" fillId="0" borderId="1077" xfId="0" applyFont="1" applyBorder="1" applyAlignment="1"/>
    <xf numFmtId="0" fontId="1078" fillId="0" borderId="1078" xfId="0" applyFont="1" applyBorder="1" applyAlignment="1"/>
    <xf numFmtId="0" fontId="1079" fillId="0" borderId="1079" xfId="0" applyFont="1" applyBorder="1" applyAlignment="1"/>
    <xf numFmtId="0" fontId="1080" fillId="0" borderId="1080" xfId="0" applyFont="1" applyBorder="1" applyAlignment="1"/>
    <xf numFmtId="0" fontId="1081" fillId="0" borderId="1081" xfId="0" applyFont="1" applyBorder="1" applyAlignment="1"/>
    <xf numFmtId="0" fontId="1082" fillId="0" borderId="1082" xfId="0" applyFont="1" applyBorder="1" applyAlignment="1"/>
    <xf numFmtId="0" fontId="1083" fillId="0" borderId="1083" xfId="0" applyFont="1" applyBorder="1" applyAlignment="1"/>
    <xf numFmtId="0" fontId="1084" fillId="0" borderId="1084" xfId="0" applyFont="1" applyBorder="1" applyAlignment="1"/>
    <xf numFmtId="0" fontId="1085" fillId="0" borderId="1085" xfId="0" applyFont="1" applyBorder="1" applyAlignment="1"/>
    <xf numFmtId="0" fontId="1086" fillId="0" borderId="1086" xfId="0" applyFont="1" applyBorder="1" applyAlignment="1"/>
    <xf numFmtId="0" fontId="1087" fillId="0" borderId="1087" xfId="0" applyFont="1" applyBorder="1" applyAlignment="1"/>
    <xf numFmtId="0" fontId="1088" fillId="0" borderId="1088" xfId="0" applyFont="1" applyBorder="1" applyAlignment="1"/>
    <xf numFmtId="0" fontId="1089" fillId="0" borderId="1089" xfId="0" applyFont="1" applyBorder="1" applyAlignment="1"/>
    <xf numFmtId="0" fontId="1090" fillId="0" borderId="1090" xfId="0" applyFont="1" applyBorder="1" applyAlignment="1"/>
    <xf numFmtId="0" fontId="1091" fillId="0" borderId="1091" xfId="0" applyFont="1" applyBorder="1" applyAlignment="1"/>
    <xf numFmtId="0" fontId="1092" fillId="0" borderId="1092" xfId="0" applyFont="1" applyBorder="1" applyAlignment="1"/>
    <xf numFmtId="0" fontId="1093" fillId="0" borderId="1093" xfId="0" applyFont="1" applyBorder="1" applyAlignment="1"/>
    <xf numFmtId="0" fontId="1094" fillId="0" borderId="1094" xfId="0" applyFont="1" applyBorder="1" applyAlignment="1"/>
    <xf numFmtId="0" fontId="1095" fillId="0" borderId="1095" xfId="0" applyFont="1" applyBorder="1" applyAlignment="1"/>
    <xf numFmtId="0" fontId="1096" fillId="0" borderId="1096" xfId="0" applyFont="1" applyBorder="1" applyAlignment="1"/>
    <xf numFmtId="0" fontId="1097" fillId="0" borderId="1097" xfId="0" applyFont="1" applyBorder="1" applyAlignment="1"/>
    <xf numFmtId="0" fontId="1098" fillId="0" borderId="1098" xfId="0" applyFont="1" applyBorder="1" applyAlignment="1"/>
    <xf numFmtId="0" fontId="1099" fillId="0" borderId="1099" xfId="0" applyFont="1" applyBorder="1" applyAlignment="1"/>
    <xf numFmtId="0" fontId="1100" fillId="0" borderId="1100" xfId="0" applyFont="1" applyBorder="1" applyAlignment="1"/>
    <xf numFmtId="0" fontId="1101" fillId="0" borderId="1101" xfId="0" applyFont="1" applyBorder="1" applyAlignment="1"/>
    <xf numFmtId="0" fontId="1102" fillId="0" borderId="1102" xfId="0" applyFont="1" applyBorder="1" applyAlignment="1"/>
    <xf numFmtId="0" fontId="1103" fillId="0" borderId="1103" xfId="0" applyFont="1" applyBorder="1" applyAlignment="1"/>
    <xf numFmtId="0" fontId="1104" fillId="0" borderId="1104" xfId="0" applyFont="1" applyBorder="1" applyAlignment="1"/>
    <xf numFmtId="0" fontId="1105" fillId="0" borderId="1105" xfId="0" applyFont="1" applyBorder="1" applyAlignment="1"/>
    <xf numFmtId="0" fontId="1106" fillId="0" borderId="1106" xfId="0" applyFont="1" applyBorder="1" applyAlignment="1"/>
    <xf numFmtId="0" fontId="1107" fillId="0" borderId="1107" xfId="0" applyFont="1" applyBorder="1" applyAlignment="1"/>
    <xf numFmtId="0" fontId="1108" fillId="0" borderId="1108" xfId="0" applyFont="1" applyBorder="1" applyAlignment="1"/>
    <xf numFmtId="0" fontId="1109" fillId="0" borderId="1109" xfId="0" applyFont="1" applyBorder="1" applyAlignment="1"/>
    <xf numFmtId="0" fontId="1110" fillId="0" borderId="1110" xfId="0" applyFont="1" applyBorder="1" applyAlignment="1"/>
    <xf numFmtId="0" fontId="1111" fillId="0" borderId="1111" xfId="0" applyFont="1" applyBorder="1" applyAlignment="1"/>
    <xf numFmtId="0" fontId="1112" fillId="0" borderId="1112" xfId="0" applyFont="1" applyBorder="1" applyAlignment="1"/>
    <xf numFmtId="0" fontId="1113" fillId="0" borderId="1113" xfId="0" applyFont="1" applyBorder="1" applyAlignment="1"/>
    <xf numFmtId="0" fontId="1114" fillId="0" borderId="1114" xfId="0" applyFont="1" applyBorder="1" applyAlignment="1"/>
    <xf numFmtId="0" fontId="1115" fillId="0" borderId="1115" xfId="0" applyFont="1" applyBorder="1" applyAlignment="1"/>
    <xf numFmtId="0" fontId="1116" fillId="0" borderId="1116" xfId="0" applyFont="1" applyBorder="1" applyAlignment="1"/>
    <xf numFmtId="0" fontId="1117" fillId="0" borderId="1117" xfId="0" applyFont="1" applyBorder="1" applyAlignment="1"/>
    <xf numFmtId="0" fontId="1118" fillId="0" borderId="1118" xfId="0" applyFont="1" applyBorder="1" applyAlignment="1"/>
    <xf numFmtId="0" fontId="1119" fillId="0" borderId="1119" xfId="0" applyFont="1" applyBorder="1" applyAlignment="1"/>
    <xf numFmtId="0" fontId="1120" fillId="0" borderId="1120" xfId="0" applyFont="1" applyBorder="1" applyAlignment="1"/>
    <xf numFmtId="0" fontId="1121" fillId="0" borderId="1121" xfId="0" applyFont="1" applyBorder="1" applyAlignment="1"/>
    <xf numFmtId="0" fontId="1122" fillId="0" borderId="1122" xfId="0" applyFont="1" applyBorder="1" applyAlignment="1"/>
    <xf numFmtId="0" fontId="1123" fillId="0" borderId="1123" xfId="0" applyFont="1" applyBorder="1" applyAlignment="1"/>
    <xf numFmtId="0" fontId="1124" fillId="0" borderId="1124" xfId="0" applyFont="1" applyBorder="1" applyAlignment="1"/>
    <xf numFmtId="0" fontId="1125" fillId="0" borderId="1125" xfId="0" applyFont="1" applyBorder="1" applyAlignment="1"/>
    <xf numFmtId="0" fontId="1126" fillId="0" borderId="1126" xfId="0" applyFont="1" applyBorder="1" applyAlignment="1"/>
    <xf numFmtId="0" fontId="1127" fillId="0" borderId="1127" xfId="0" applyFont="1" applyBorder="1" applyAlignment="1"/>
    <xf numFmtId="0" fontId="1128" fillId="0" borderId="1128" xfId="0" applyFont="1" applyBorder="1" applyAlignment="1"/>
    <xf numFmtId="0" fontId="1129" fillId="0" borderId="1129" xfId="0" applyFont="1" applyBorder="1" applyAlignment="1"/>
    <xf numFmtId="0" fontId="1130" fillId="0" borderId="1130" xfId="0" applyFont="1" applyBorder="1" applyAlignment="1"/>
    <xf numFmtId="0" fontId="1131" fillId="0" borderId="1131" xfId="0" applyFont="1" applyBorder="1" applyAlignment="1"/>
    <xf numFmtId="0" fontId="1132" fillId="0" borderId="1132" xfId="0" applyFont="1" applyBorder="1" applyAlignment="1"/>
    <xf numFmtId="0" fontId="1133" fillId="0" borderId="1133" xfId="0" applyFont="1" applyBorder="1" applyAlignment="1"/>
    <xf numFmtId="0" fontId="1134" fillId="0" borderId="1134" xfId="0" applyFont="1" applyBorder="1" applyAlignment="1"/>
    <xf numFmtId="0" fontId="1135" fillId="0" borderId="1135" xfId="0" applyFont="1" applyBorder="1" applyAlignment="1"/>
    <xf numFmtId="0" fontId="1136" fillId="0" borderId="1136" xfId="0" applyFont="1" applyBorder="1" applyAlignment="1"/>
    <xf numFmtId="0" fontId="1137" fillId="0" borderId="1137" xfId="0" applyFont="1" applyBorder="1" applyAlignment="1"/>
    <xf numFmtId="0" fontId="1138" fillId="0" borderId="1138" xfId="0" applyFont="1" applyBorder="1" applyAlignment="1"/>
    <xf numFmtId="0" fontId="1139" fillId="0" borderId="1139" xfId="0" applyFont="1" applyBorder="1" applyAlignment="1"/>
    <xf numFmtId="0" fontId="1140" fillId="0" borderId="1140" xfId="0" applyFont="1" applyBorder="1" applyAlignment="1"/>
    <xf numFmtId="0" fontId="1141" fillId="0" borderId="1141" xfId="0" applyFont="1" applyBorder="1" applyAlignment="1"/>
    <xf numFmtId="0" fontId="1142" fillId="0" borderId="1142" xfId="0" applyFont="1" applyBorder="1" applyAlignment="1"/>
    <xf numFmtId="0" fontId="1143" fillId="0" borderId="1143" xfId="0" applyFont="1" applyBorder="1" applyAlignment="1"/>
    <xf numFmtId="0" fontId="1144" fillId="0" borderId="1144" xfId="0" applyFont="1" applyBorder="1" applyAlignment="1"/>
    <xf numFmtId="0" fontId="1145" fillId="0" borderId="1145" xfId="0" applyFont="1" applyBorder="1" applyAlignment="1"/>
    <xf numFmtId="0" fontId="1146" fillId="0" borderId="1146" xfId="0" applyFont="1" applyBorder="1" applyAlignment="1"/>
    <xf numFmtId="0" fontId="1147" fillId="0" borderId="1147" xfId="0" applyFont="1" applyBorder="1" applyAlignment="1"/>
    <xf numFmtId="0" fontId="1148" fillId="0" borderId="1148" xfId="0" applyFont="1" applyBorder="1" applyAlignment="1"/>
    <xf numFmtId="0" fontId="1149" fillId="0" borderId="1149" xfId="0" applyFont="1" applyBorder="1" applyAlignment="1"/>
    <xf numFmtId="0" fontId="1150" fillId="0" borderId="1150" xfId="0" applyFont="1" applyBorder="1" applyAlignment="1"/>
    <xf numFmtId="0" fontId="1151" fillId="0" borderId="1151" xfId="0" applyFont="1" applyBorder="1" applyAlignment="1"/>
    <xf numFmtId="0" fontId="1152" fillId="0" borderId="1152" xfId="0" applyFont="1" applyBorder="1" applyAlignment="1"/>
    <xf numFmtId="0" fontId="1153" fillId="0" borderId="1153" xfId="0" applyFont="1" applyBorder="1" applyAlignment="1"/>
    <xf numFmtId="0" fontId="1154" fillId="0" borderId="1154" xfId="0" applyFont="1" applyBorder="1" applyAlignment="1"/>
    <xf numFmtId="0" fontId="1155" fillId="0" borderId="1155" xfId="0" applyFont="1" applyBorder="1" applyAlignment="1"/>
    <xf numFmtId="0" fontId="1156" fillId="0" borderId="1156" xfId="0" applyFont="1" applyBorder="1" applyAlignment="1"/>
    <xf numFmtId="0" fontId="1157" fillId="0" borderId="1157" xfId="0" applyFont="1" applyBorder="1" applyAlignment="1"/>
    <xf numFmtId="0" fontId="1158" fillId="0" borderId="1158" xfId="0" applyFont="1" applyBorder="1" applyAlignment="1"/>
    <xf numFmtId="0" fontId="1159" fillId="0" borderId="1159" xfId="0" applyFont="1" applyBorder="1" applyAlignment="1"/>
    <xf numFmtId="0" fontId="1160" fillId="0" borderId="1160" xfId="0" applyFont="1" applyBorder="1" applyAlignment="1"/>
    <xf numFmtId="0" fontId="1161" fillId="0" borderId="1161" xfId="0" applyFont="1" applyBorder="1" applyAlignment="1"/>
    <xf numFmtId="0" fontId="1162" fillId="0" borderId="1162" xfId="0" applyFont="1" applyBorder="1" applyAlignment="1"/>
    <xf numFmtId="0" fontId="1163" fillId="0" borderId="1163" xfId="0" applyFont="1" applyBorder="1" applyAlignment="1"/>
    <xf numFmtId="0" fontId="1164" fillId="0" borderId="1164" xfId="0" applyFont="1" applyBorder="1" applyAlignment="1"/>
    <xf numFmtId="0" fontId="1165" fillId="0" borderId="1165" xfId="0" applyFont="1" applyBorder="1" applyAlignment="1"/>
    <xf numFmtId="0" fontId="1166" fillId="0" borderId="1166" xfId="0" applyFont="1" applyBorder="1" applyAlignment="1"/>
    <xf numFmtId="0" fontId="1167" fillId="0" borderId="1167" xfId="0" applyFont="1" applyBorder="1" applyAlignment="1"/>
    <xf numFmtId="0" fontId="1168" fillId="0" borderId="1168" xfId="0" applyFont="1" applyBorder="1" applyAlignment="1"/>
    <xf numFmtId="0" fontId="1169" fillId="0" borderId="1169" xfId="0" applyFont="1" applyBorder="1" applyAlignment="1"/>
    <xf numFmtId="0" fontId="1170" fillId="0" borderId="1170" xfId="0" applyFont="1" applyBorder="1" applyAlignment="1"/>
    <xf numFmtId="0" fontId="1171" fillId="0" borderId="1171" xfId="0" applyFont="1" applyBorder="1" applyAlignment="1"/>
    <xf numFmtId="0" fontId="1172" fillId="0" borderId="1172" xfId="0" applyFont="1" applyBorder="1" applyAlignment="1"/>
    <xf numFmtId="0" fontId="1173" fillId="0" borderId="1173" xfId="0" applyFont="1" applyBorder="1" applyAlignment="1"/>
    <xf numFmtId="0" fontId="1174" fillId="0" borderId="1174" xfId="0" applyFont="1" applyBorder="1" applyAlignment="1"/>
    <xf numFmtId="0" fontId="1175" fillId="0" borderId="1175" xfId="0" applyFont="1" applyBorder="1" applyAlignment="1"/>
    <xf numFmtId="0" fontId="1176" fillId="0" borderId="1176" xfId="0" applyFont="1" applyBorder="1" applyAlignment="1"/>
    <xf numFmtId="0" fontId="1177" fillId="0" borderId="1177" xfId="0" applyFont="1" applyBorder="1" applyAlignment="1"/>
    <xf numFmtId="0" fontId="1178" fillId="0" borderId="1178" xfId="0" applyFont="1" applyBorder="1" applyAlignment="1"/>
    <xf numFmtId="0" fontId="1179" fillId="0" borderId="1179" xfId="0" applyFont="1" applyBorder="1" applyAlignment="1"/>
    <xf numFmtId="0" fontId="1180" fillId="0" borderId="1180" xfId="0" applyFont="1" applyBorder="1" applyAlignment="1"/>
    <xf numFmtId="0" fontId="1181" fillId="0" borderId="1181" xfId="0" applyFont="1" applyBorder="1" applyAlignment="1"/>
    <xf numFmtId="0" fontId="1182" fillId="0" borderId="1182" xfId="0" applyFont="1" applyBorder="1" applyAlignment="1"/>
    <xf numFmtId="0" fontId="1183" fillId="0" borderId="1183" xfId="0" applyFont="1" applyBorder="1" applyAlignment="1"/>
    <xf numFmtId="0" fontId="1184" fillId="0" borderId="1184" xfId="0" applyFont="1" applyBorder="1" applyAlignment="1"/>
    <xf numFmtId="0" fontId="1185" fillId="0" borderId="1185" xfId="0" applyFont="1" applyBorder="1" applyAlignment="1"/>
    <xf numFmtId="0" fontId="1186" fillId="0" borderId="1186" xfId="0" applyFont="1" applyBorder="1" applyAlignment="1"/>
    <xf numFmtId="0" fontId="1187" fillId="0" borderId="1187" xfId="0" applyFont="1" applyBorder="1" applyAlignment="1"/>
    <xf numFmtId="0" fontId="1188" fillId="0" borderId="1188" xfId="0" applyFont="1" applyBorder="1" applyAlignment="1"/>
    <xf numFmtId="0" fontId="1189" fillId="0" borderId="1189" xfId="0" applyFont="1" applyBorder="1" applyAlignment="1"/>
    <xf numFmtId="0" fontId="1190" fillId="0" borderId="1190" xfId="0" applyFont="1" applyBorder="1" applyAlignment="1"/>
    <xf numFmtId="0" fontId="1191" fillId="0" borderId="1191" xfId="0" applyFont="1" applyBorder="1" applyAlignment="1"/>
    <xf numFmtId="0" fontId="1192" fillId="0" borderId="1192" xfId="0" applyFont="1" applyBorder="1" applyAlignment="1"/>
    <xf numFmtId="0" fontId="1193" fillId="0" borderId="1193" xfId="0" applyFont="1" applyBorder="1" applyAlignment="1"/>
    <xf numFmtId="0" fontId="1194" fillId="0" borderId="1194" xfId="0" applyFont="1" applyBorder="1" applyAlignment="1"/>
    <xf numFmtId="0" fontId="1195" fillId="0" borderId="1195" xfId="0" applyFont="1" applyBorder="1" applyAlignment="1"/>
    <xf numFmtId="0" fontId="1196" fillId="0" borderId="1196" xfId="0" applyFont="1" applyBorder="1" applyAlignment="1"/>
    <xf numFmtId="0" fontId="1197" fillId="0" borderId="1197" xfId="0" applyFont="1" applyBorder="1" applyAlignment="1"/>
    <xf numFmtId="0" fontId="1198" fillId="0" borderId="1198" xfId="0" applyFont="1" applyBorder="1" applyAlignment="1"/>
    <xf numFmtId="0" fontId="1199" fillId="0" borderId="1199" xfId="0" applyFont="1" applyBorder="1" applyAlignment="1"/>
    <xf numFmtId="0" fontId="1200" fillId="0" borderId="1200" xfId="0" applyFont="1" applyBorder="1" applyAlignment="1"/>
    <xf numFmtId="0" fontId="1201" fillId="0" borderId="1201" xfId="0" applyFont="1" applyBorder="1" applyAlignment="1"/>
    <xf numFmtId="0" fontId="1202" fillId="0" borderId="1202" xfId="0" applyFont="1" applyBorder="1" applyAlignment="1"/>
    <xf numFmtId="0" fontId="1203" fillId="0" borderId="1203" xfId="0" applyFont="1" applyBorder="1" applyAlignment="1"/>
    <xf numFmtId="0" fontId="1204" fillId="0" borderId="1204" xfId="0" applyFont="1" applyBorder="1" applyAlignment="1"/>
    <xf numFmtId="0" fontId="1205" fillId="0" borderId="1205" xfId="0" applyFont="1" applyBorder="1" applyAlignment="1"/>
    <xf numFmtId="0" fontId="1206" fillId="0" borderId="1206" xfId="0" applyFont="1" applyBorder="1" applyAlignment="1"/>
    <xf numFmtId="0" fontId="1207" fillId="0" borderId="1207" xfId="0" applyFont="1" applyBorder="1" applyAlignment="1"/>
    <xf numFmtId="0" fontId="1208" fillId="0" borderId="1208" xfId="0" applyFont="1" applyBorder="1" applyAlignment="1"/>
    <xf numFmtId="0" fontId="1209" fillId="0" borderId="1209" xfId="0" applyFont="1" applyBorder="1" applyAlignment="1"/>
    <xf numFmtId="0" fontId="1210" fillId="0" borderId="1210" xfId="0" applyFont="1" applyBorder="1" applyAlignment="1"/>
    <xf numFmtId="0" fontId="1211" fillId="0" borderId="1211" xfId="0" applyFont="1" applyBorder="1" applyAlignment="1"/>
    <xf numFmtId="0" fontId="1212" fillId="0" borderId="1212" xfId="0" applyFont="1" applyBorder="1" applyAlignment="1"/>
    <xf numFmtId="0" fontId="1213" fillId="0" borderId="1213" xfId="0" applyFont="1" applyBorder="1" applyAlignment="1"/>
    <xf numFmtId="0" fontId="1214" fillId="0" borderId="1214" xfId="0" applyFont="1" applyBorder="1" applyAlignment="1"/>
    <xf numFmtId="0" fontId="1215" fillId="0" borderId="1215" xfId="0" applyFont="1" applyBorder="1" applyAlignment="1"/>
    <xf numFmtId="0" fontId="1216" fillId="0" borderId="1216" xfId="0" applyFont="1" applyBorder="1" applyAlignment="1"/>
    <xf numFmtId="0" fontId="1217" fillId="0" borderId="1217" xfId="0" applyFont="1" applyBorder="1" applyAlignment="1"/>
    <xf numFmtId="0" fontId="1218" fillId="0" borderId="1218" xfId="0" applyFont="1" applyBorder="1" applyAlignment="1"/>
    <xf numFmtId="0" fontId="1219" fillId="0" borderId="1219" xfId="0" applyFont="1" applyBorder="1" applyAlignment="1"/>
    <xf numFmtId="0" fontId="1220" fillId="0" borderId="1220" xfId="0" applyFont="1" applyBorder="1" applyAlignment="1"/>
    <xf numFmtId="0" fontId="1221" fillId="0" borderId="1221" xfId="0" applyFont="1" applyBorder="1" applyAlignment="1"/>
    <xf numFmtId="0" fontId="1222" fillId="0" borderId="1222" xfId="0" applyFont="1" applyBorder="1" applyAlignment="1"/>
    <xf numFmtId="0" fontId="1223" fillId="0" borderId="1223" xfId="0" applyFont="1" applyBorder="1" applyAlignment="1"/>
    <xf numFmtId="0" fontId="1224" fillId="0" borderId="1224" xfId="0" applyFont="1" applyBorder="1" applyAlignment="1"/>
    <xf numFmtId="0" fontId="1225" fillId="0" borderId="1225" xfId="0" applyFont="1" applyBorder="1" applyAlignment="1"/>
    <xf numFmtId="0" fontId="1226" fillId="0" borderId="1226" xfId="0" applyFont="1" applyBorder="1" applyAlignment="1"/>
    <xf numFmtId="0" fontId="1227" fillId="0" borderId="1227" xfId="0" applyFont="1" applyBorder="1" applyAlignment="1"/>
    <xf numFmtId="0" fontId="1228" fillId="0" borderId="1228" xfId="0" applyFont="1" applyBorder="1" applyAlignment="1"/>
    <xf numFmtId="0" fontId="1229" fillId="0" borderId="1229" xfId="0" applyFont="1" applyBorder="1" applyAlignment="1"/>
    <xf numFmtId="0" fontId="1230" fillId="0" borderId="1230" xfId="0" applyFont="1" applyBorder="1" applyAlignment="1"/>
    <xf numFmtId="0" fontId="1231" fillId="0" borderId="1231" xfId="0" applyFont="1" applyBorder="1" applyAlignment="1"/>
    <xf numFmtId="0" fontId="1232" fillId="0" borderId="1232" xfId="0" applyFont="1" applyBorder="1" applyAlignment="1"/>
    <xf numFmtId="0" fontId="1233" fillId="0" borderId="1233" xfId="0" applyFont="1" applyBorder="1" applyAlignment="1"/>
    <xf numFmtId="0" fontId="1234" fillId="0" borderId="1234" xfId="0" applyFont="1" applyBorder="1" applyAlignment="1"/>
    <xf numFmtId="0" fontId="1235" fillId="0" borderId="1235" xfId="0" applyFont="1" applyBorder="1" applyAlignment="1"/>
    <xf numFmtId="0" fontId="1236" fillId="0" borderId="1236" xfId="0" applyFont="1" applyBorder="1" applyAlignment="1"/>
    <xf numFmtId="0" fontId="1237" fillId="0" borderId="1237" xfId="0" applyFont="1" applyBorder="1" applyAlignment="1"/>
    <xf numFmtId="0" fontId="1238" fillId="0" borderId="1238" xfId="0" applyFont="1" applyBorder="1" applyAlignment="1"/>
    <xf numFmtId="0" fontId="1239" fillId="0" borderId="1239" xfId="0" applyFont="1" applyBorder="1" applyAlignment="1"/>
    <xf numFmtId="0" fontId="1240" fillId="0" borderId="1240" xfId="0" applyFont="1" applyBorder="1" applyAlignment="1"/>
    <xf numFmtId="0" fontId="1241" fillId="0" borderId="1241" xfId="0" applyFont="1" applyBorder="1" applyAlignment="1"/>
    <xf numFmtId="0" fontId="1242" fillId="0" borderId="1242" xfId="0" applyFont="1" applyBorder="1" applyAlignment="1"/>
    <xf numFmtId="0" fontId="1243" fillId="0" borderId="1243" xfId="0" applyFont="1" applyBorder="1" applyAlignment="1"/>
    <xf numFmtId="0" fontId="1244" fillId="0" borderId="1244" xfId="0" applyFont="1" applyBorder="1" applyAlignment="1"/>
    <xf numFmtId="0" fontId="1245" fillId="0" borderId="1245" xfId="0" applyFont="1" applyBorder="1" applyAlignment="1"/>
    <xf numFmtId="0" fontId="1246" fillId="0" borderId="1246" xfId="0" applyFont="1" applyBorder="1" applyAlignment="1"/>
    <xf numFmtId="0" fontId="1247" fillId="0" borderId="1247" xfId="0" applyFont="1" applyBorder="1" applyAlignment="1"/>
    <xf numFmtId="0" fontId="1248" fillId="0" borderId="1248" xfId="0" applyFont="1" applyBorder="1" applyAlignment="1"/>
    <xf numFmtId="0" fontId="1249" fillId="0" borderId="1249" xfId="0" applyFont="1" applyBorder="1" applyAlignment="1"/>
    <xf numFmtId="0" fontId="1250" fillId="0" borderId="1250" xfId="0" applyFont="1" applyBorder="1" applyAlignment="1"/>
    <xf numFmtId="0" fontId="1251" fillId="0" borderId="1251" xfId="0" applyFont="1" applyBorder="1" applyAlignment="1"/>
    <xf numFmtId="0" fontId="1252" fillId="0" borderId="1252" xfId="0" applyFont="1" applyBorder="1" applyAlignment="1"/>
    <xf numFmtId="0" fontId="1253" fillId="0" borderId="1253" xfId="0" applyFont="1" applyBorder="1" applyAlignment="1"/>
    <xf numFmtId="0" fontId="1254" fillId="0" borderId="1254" xfId="0" applyFont="1" applyBorder="1" applyAlignment="1"/>
    <xf numFmtId="0" fontId="1255" fillId="0" borderId="1255" xfId="0" applyFont="1" applyBorder="1" applyAlignment="1"/>
    <xf numFmtId="0" fontId="1256" fillId="0" borderId="1256" xfId="0" applyFont="1" applyBorder="1" applyAlignment="1"/>
    <xf numFmtId="0" fontId="1257" fillId="0" borderId="1257" xfId="0" applyFont="1" applyBorder="1" applyAlignment="1"/>
    <xf numFmtId="0" fontId="1258" fillId="0" borderId="1258" xfId="0" applyFont="1" applyBorder="1" applyAlignment="1"/>
    <xf numFmtId="0" fontId="1259" fillId="0" borderId="1259" xfId="0" applyFont="1" applyBorder="1" applyAlignment="1"/>
    <xf numFmtId="0" fontId="1260" fillId="0" borderId="1260" xfId="0" applyFont="1" applyBorder="1" applyAlignment="1"/>
    <xf numFmtId="0" fontId="1261" fillId="0" borderId="1261" xfId="0" applyFont="1" applyBorder="1" applyAlignment="1"/>
    <xf numFmtId="0" fontId="1262" fillId="0" borderId="1262" xfId="0" applyFont="1" applyBorder="1" applyAlignment="1"/>
    <xf numFmtId="0" fontId="1263" fillId="0" borderId="1263" xfId="0" applyFont="1" applyBorder="1" applyAlignment="1"/>
    <xf numFmtId="0" fontId="1264" fillId="0" borderId="1264" xfId="0" applyFont="1" applyBorder="1" applyAlignment="1"/>
    <xf numFmtId="0" fontId="1265" fillId="0" borderId="1265" xfId="0" applyFont="1" applyBorder="1" applyAlignment="1"/>
    <xf numFmtId="0" fontId="1266" fillId="0" borderId="1266" xfId="0" applyFont="1" applyBorder="1" applyAlignment="1"/>
    <xf numFmtId="0" fontId="1267" fillId="0" borderId="1267" xfId="0" applyFont="1" applyBorder="1" applyAlignment="1"/>
    <xf numFmtId="0" fontId="1268" fillId="0" borderId="1268" xfId="0" applyFont="1" applyBorder="1" applyAlignment="1"/>
    <xf numFmtId="0" fontId="1269" fillId="0" borderId="1269" xfId="0" applyFont="1" applyBorder="1" applyAlignment="1"/>
    <xf numFmtId="0" fontId="1270" fillId="0" borderId="1270" xfId="0" applyFont="1" applyBorder="1" applyAlignment="1"/>
    <xf numFmtId="0" fontId="1271" fillId="0" borderId="1271" xfId="0" applyFont="1" applyBorder="1" applyAlignment="1"/>
    <xf numFmtId="0" fontId="1272" fillId="0" borderId="1272" xfId="0" applyFont="1" applyBorder="1" applyAlignment="1"/>
    <xf numFmtId="0" fontId="1273" fillId="0" borderId="1273" xfId="0" applyFont="1" applyBorder="1" applyAlignment="1"/>
    <xf numFmtId="0" fontId="1274" fillId="0" borderId="1274" xfId="0" applyFont="1" applyBorder="1" applyAlignment="1"/>
    <xf numFmtId="0" fontId="1275" fillId="0" borderId="1275" xfId="0" applyFont="1" applyBorder="1" applyAlignment="1"/>
    <xf numFmtId="0" fontId="1276" fillId="0" borderId="1276" xfId="0" applyFont="1" applyBorder="1" applyAlignment="1"/>
    <xf numFmtId="0" fontId="1277" fillId="0" borderId="1277" xfId="0" applyFont="1" applyBorder="1" applyAlignment="1"/>
    <xf numFmtId="0" fontId="1278" fillId="0" borderId="1278" xfId="0" applyFont="1" applyBorder="1" applyAlignment="1"/>
    <xf numFmtId="0" fontId="1279" fillId="0" borderId="1279" xfId="0" applyFont="1" applyBorder="1" applyAlignment="1"/>
    <xf numFmtId="0" fontId="1280" fillId="0" borderId="1280" xfId="0" applyFont="1" applyBorder="1" applyAlignment="1"/>
    <xf numFmtId="0" fontId="1281" fillId="0" borderId="1281" xfId="0" applyFont="1" applyBorder="1" applyAlignment="1"/>
    <xf numFmtId="0" fontId="1282" fillId="0" borderId="1282" xfId="0" applyFont="1" applyBorder="1" applyAlignment="1"/>
    <xf numFmtId="0" fontId="1283" fillId="0" borderId="1283" xfId="0" applyFont="1" applyBorder="1" applyAlignment="1"/>
    <xf numFmtId="0" fontId="1284" fillId="0" borderId="1284" xfId="0" applyFont="1" applyBorder="1" applyAlignment="1"/>
    <xf numFmtId="0" fontId="1285" fillId="0" borderId="1285" xfId="0" applyFont="1" applyBorder="1" applyAlignment="1"/>
    <xf numFmtId="0" fontId="1286" fillId="0" borderId="1286" xfId="0" applyFont="1" applyBorder="1" applyAlignment="1"/>
    <xf numFmtId="0" fontId="1287" fillId="0" borderId="1287" xfId="0" applyFont="1" applyBorder="1" applyAlignment="1"/>
    <xf numFmtId="0" fontId="1288" fillId="0" borderId="1288" xfId="0" applyFont="1" applyBorder="1" applyAlignment="1"/>
    <xf numFmtId="0" fontId="1289" fillId="0" borderId="1289" xfId="0" applyFont="1" applyBorder="1" applyAlignment="1"/>
    <xf numFmtId="0" fontId="1290" fillId="0" borderId="1290" xfId="0" applyFont="1" applyBorder="1" applyAlignment="1"/>
    <xf numFmtId="0" fontId="1291" fillId="0" borderId="1291" xfId="0" applyFont="1" applyBorder="1" applyAlignment="1"/>
    <xf numFmtId="0" fontId="1292" fillId="0" borderId="1292" xfId="0" applyFont="1" applyBorder="1" applyAlignment="1"/>
    <xf numFmtId="0" fontId="1293" fillId="0" borderId="1293" xfId="0" applyFont="1" applyBorder="1" applyAlignment="1"/>
    <xf numFmtId="0" fontId="1294" fillId="0" borderId="1294" xfId="0" applyFont="1" applyBorder="1" applyAlignment="1"/>
    <xf numFmtId="0" fontId="1295" fillId="0" borderId="1295" xfId="0" applyFont="1" applyBorder="1" applyAlignment="1"/>
    <xf numFmtId="0" fontId="1296" fillId="0" borderId="1296" xfId="0" applyFont="1" applyBorder="1" applyAlignment="1"/>
    <xf numFmtId="0" fontId="1297" fillId="0" borderId="1297" xfId="0" applyFont="1" applyBorder="1" applyAlignment="1"/>
    <xf numFmtId="0" fontId="1298" fillId="0" borderId="1298" xfId="0" applyFont="1" applyBorder="1" applyAlignment="1"/>
    <xf numFmtId="0" fontId="1299" fillId="0" borderId="1299" xfId="0" applyFont="1" applyBorder="1" applyAlignment="1"/>
    <xf numFmtId="0" fontId="1300" fillId="0" borderId="1300" xfId="0" applyFont="1" applyBorder="1" applyAlignment="1"/>
    <xf numFmtId="0" fontId="1301" fillId="0" borderId="1301" xfId="0" applyFont="1" applyBorder="1" applyAlignment="1"/>
    <xf numFmtId="0" fontId="1302" fillId="0" borderId="1302" xfId="0" applyFont="1" applyBorder="1" applyAlignment="1"/>
    <xf numFmtId="0" fontId="1303" fillId="0" borderId="1303" xfId="0" applyFont="1" applyBorder="1" applyAlignment="1"/>
    <xf numFmtId="0" fontId="1304" fillId="0" borderId="1304" xfId="0" applyFont="1" applyBorder="1" applyAlignment="1"/>
    <xf numFmtId="0" fontId="1305" fillId="0" borderId="1305" xfId="0" applyFont="1" applyBorder="1" applyAlignment="1"/>
    <xf numFmtId="0" fontId="1306" fillId="0" borderId="1306" xfId="0" applyFont="1" applyBorder="1" applyAlignment="1"/>
    <xf numFmtId="0" fontId="1307" fillId="0" borderId="1307" xfId="0" applyFont="1" applyBorder="1" applyAlignment="1"/>
    <xf numFmtId="0" fontId="1308" fillId="0" borderId="1308" xfId="0" applyFont="1" applyBorder="1" applyAlignment="1"/>
    <xf numFmtId="0" fontId="1309" fillId="0" borderId="1309" xfId="0" applyFont="1" applyBorder="1" applyAlignment="1"/>
    <xf numFmtId="0" fontId="1310" fillId="0" borderId="1310" xfId="0" applyFont="1" applyBorder="1" applyAlignment="1"/>
    <xf numFmtId="0" fontId="1311" fillId="0" borderId="1311" xfId="0" applyFont="1" applyBorder="1" applyAlignment="1"/>
    <xf numFmtId="0" fontId="1312" fillId="0" borderId="1312" xfId="0" applyFont="1" applyBorder="1" applyAlignment="1"/>
    <xf numFmtId="0" fontId="1313" fillId="0" borderId="1313" xfId="0" applyFont="1" applyBorder="1" applyAlignment="1"/>
    <xf numFmtId="0" fontId="1314" fillId="0" borderId="1314" xfId="0" applyFont="1" applyBorder="1" applyAlignment="1"/>
    <xf numFmtId="0" fontId="1315" fillId="0" borderId="1315" xfId="0" applyFont="1" applyBorder="1" applyAlignment="1"/>
    <xf numFmtId="0" fontId="1316" fillId="0" borderId="1316" xfId="0" applyFont="1" applyBorder="1" applyAlignment="1"/>
    <xf numFmtId="0" fontId="1317" fillId="0" borderId="1317" xfId="0" applyFont="1" applyBorder="1" applyAlignment="1"/>
    <xf numFmtId="0" fontId="1318" fillId="0" borderId="1318" xfId="0" applyFont="1" applyBorder="1" applyAlignment="1"/>
    <xf numFmtId="0" fontId="1319" fillId="0" borderId="1319" xfId="0" applyFont="1" applyBorder="1" applyAlignment="1"/>
    <xf numFmtId="0" fontId="1320" fillId="0" borderId="1320" xfId="0" applyFont="1" applyBorder="1" applyAlignment="1"/>
    <xf numFmtId="0" fontId="1321" fillId="0" borderId="1321" xfId="0" applyFont="1" applyBorder="1" applyAlignment="1"/>
    <xf numFmtId="0" fontId="1322" fillId="0" borderId="1322" xfId="0" applyFont="1" applyBorder="1" applyAlignment="1"/>
    <xf numFmtId="0" fontId="1323" fillId="0" borderId="1323" xfId="0" applyFont="1" applyBorder="1" applyAlignment="1"/>
    <xf numFmtId="0" fontId="1324" fillId="0" borderId="1324" xfId="0" applyFont="1" applyBorder="1" applyAlignment="1"/>
    <xf numFmtId="0" fontId="1325" fillId="0" borderId="1325" xfId="0" applyFont="1" applyBorder="1" applyAlignment="1"/>
    <xf numFmtId="0" fontId="1326" fillId="0" borderId="1326" xfId="0" applyFont="1" applyBorder="1" applyAlignment="1"/>
    <xf numFmtId="0" fontId="1327" fillId="0" borderId="1327" xfId="0" applyFont="1" applyBorder="1" applyAlignment="1"/>
    <xf numFmtId="0" fontId="1328" fillId="0" borderId="1328" xfId="0" applyFont="1" applyBorder="1" applyAlignment="1"/>
    <xf numFmtId="0" fontId="1329" fillId="0" borderId="1329" xfId="0" applyFont="1" applyBorder="1" applyAlignment="1"/>
    <xf numFmtId="0" fontId="1330" fillId="0" borderId="1330" xfId="0" applyFont="1" applyBorder="1" applyAlignment="1"/>
    <xf numFmtId="0" fontId="1331" fillId="0" borderId="1331" xfId="0" applyFont="1" applyBorder="1" applyAlignment="1"/>
    <xf numFmtId="0" fontId="1332" fillId="0" borderId="1332" xfId="0" applyFont="1" applyBorder="1" applyAlignment="1"/>
    <xf numFmtId="0" fontId="1333" fillId="0" borderId="1333" xfId="0" applyFont="1" applyBorder="1" applyAlignment="1"/>
    <xf numFmtId="0" fontId="1334" fillId="0" borderId="1334" xfId="0" applyFont="1" applyBorder="1" applyAlignment="1"/>
    <xf numFmtId="0" fontId="1335" fillId="0" borderId="1335" xfId="0" applyFont="1" applyBorder="1" applyAlignment="1"/>
    <xf numFmtId="0" fontId="1336" fillId="0" borderId="1336" xfId="0" applyFont="1" applyBorder="1" applyAlignment="1"/>
    <xf numFmtId="0" fontId="1337" fillId="0" borderId="1337" xfId="0" applyFont="1" applyBorder="1" applyAlignment="1"/>
    <xf numFmtId="0" fontId="1338" fillId="0" borderId="1338" xfId="0" applyFont="1" applyBorder="1" applyAlignment="1"/>
    <xf numFmtId="0" fontId="1339" fillId="0" borderId="1339" xfId="0" applyFont="1" applyBorder="1" applyAlignment="1"/>
    <xf numFmtId="0" fontId="1340" fillId="0" borderId="1340" xfId="0" applyFont="1" applyBorder="1" applyAlignment="1"/>
    <xf numFmtId="0" fontId="1341" fillId="0" borderId="1341" xfId="0" applyFont="1" applyBorder="1" applyAlignment="1"/>
    <xf numFmtId="0" fontId="1342" fillId="0" borderId="1342" xfId="0" applyFont="1" applyBorder="1" applyAlignment="1"/>
    <xf numFmtId="0" fontId="1343" fillId="0" borderId="1343" xfId="0" applyFont="1" applyBorder="1" applyAlignment="1"/>
    <xf numFmtId="0" fontId="1344" fillId="0" borderId="1344" xfId="0" applyFont="1" applyBorder="1" applyAlignment="1"/>
    <xf numFmtId="0" fontId="1345" fillId="0" borderId="1345" xfId="0" applyFont="1" applyBorder="1" applyAlignment="1"/>
    <xf numFmtId="0" fontId="1346" fillId="0" borderId="1346" xfId="0" applyFont="1" applyBorder="1" applyAlignment="1"/>
    <xf numFmtId="0" fontId="1347" fillId="0" borderId="1347" xfId="0" applyFont="1" applyBorder="1" applyAlignment="1"/>
    <xf numFmtId="0" fontId="1348" fillId="0" borderId="1348" xfId="0" applyFont="1" applyBorder="1" applyAlignment="1"/>
    <xf numFmtId="0" fontId="1349" fillId="0" borderId="1349" xfId="0" applyFont="1" applyBorder="1" applyAlignment="1"/>
    <xf numFmtId="0" fontId="1350" fillId="0" borderId="1350" xfId="0" applyFont="1" applyBorder="1" applyAlignment="1"/>
    <xf numFmtId="0" fontId="1351" fillId="0" borderId="1351" xfId="0" applyFont="1" applyBorder="1" applyAlignment="1"/>
    <xf numFmtId="0" fontId="1352" fillId="0" borderId="1352" xfId="0" applyFont="1" applyBorder="1" applyAlignment="1"/>
    <xf numFmtId="0" fontId="1353" fillId="0" borderId="1353" xfId="0" applyFont="1" applyBorder="1" applyAlignment="1"/>
    <xf numFmtId="0" fontId="1354" fillId="0" borderId="1354" xfId="0" applyFont="1" applyBorder="1" applyAlignment="1"/>
    <xf numFmtId="0" fontId="1355" fillId="0" borderId="1355" xfId="0" applyFont="1" applyBorder="1" applyAlignment="1"/>
    <xf numFmtId="0" fontId="1356" fillId="0" borderId="1356" xfId="0" applyFont="1" applyBorder="1" applyAlignment="1"/>
    <xf numFmtId="0" fontId="1357" fillId="0" borderId="1357" xfId="0" applyFont="1" applyBorder="1" applyAlignment="1"/>
    <xf numFmtId="0" fontId="1358" fillId="0" borderId="1358" xfId="0" applyFont="1" applyBorder="1" applyAlignment="1"/>
    <xf numFmtId="0" fontId="1359" fillId="0" borderId="1359" xfId="0" applyFont="1" applyBorder="1" applyAlignment="1"/>
    <xf numFmtId="0" fontId="1360" fillId="0" borderId="1360" xfId="0" applyFont="1" applyBorder="1" applyAlignment="1"/>
    <xf numFmtId="0" fontId="1361" fillId="0" borderId="1361" xfId="0" applyFont="1" applyBorder="1" applyAlignment="1"/>
    <xf numFmtId="0" fontId="1362" fillId="0" borderId="1362" xfId="0" applyFont="1" applyBorder="1" applyAlignment="1"/>
    <xf numFmtId="0" fontId="1363" fillId="0" borderId="1363" xfId="0" applyFont="1" applyBorder="1" applyAlignment="1"/>
    <xf numFmtId="0" fontId="1364" fillId="0" borderId="1364" xfId="0" applyFont="1" applyBorder="1" applyAlignment="1"/>
    <xf numFmtId="0" fontId="1365" fillId="0" borderId="1365" xfId="0" applyFont="1" applyBorder="1" applyAlignment="1"/>
    <xf numFmtId="0" fontId="1366" fillId="0" borderId="1366" xfId="0" applyFont="1" applyBorder="1" applyAlignment="1"/>
    <xf numFmtId="0" fontId="1367" fillId="0" borderId="1367" xfId="0" applyFont="1" applyBorder="1" applyAlignment="1"/>
    <xf numFmtId="0" fontId="1368" fillId="0" borderId="1368" xfId="0" applyFont="1" applyBorder="1" applyAlignment="1"/>
    <xf numFmtId="0" fontId="1369" fillId="0" borderId="1369" xfId="0" applyFont="1" applyBorder="1" applyAlignment="1"/>
    <xf numFmtId="0" fontId="1370" fillId="0" borderId="1370" xfId="0" applyFont="1" applyBorder="1" applyAlignment="1"/>
    <xf numFmtId="0" fontId="1371" fillId="0" borderId="1371" xfId="0" applyFont="1" applyBorder="1" applyAlignment="1"/>
    <xf numFmtId="0" fontId="1372" fillId="0" borderId="1372" xfId="0" applyFont="1" applyBorder="1" applyAlignment="1"/>
    <xf numFmtId="0" fontId="1373" fillId="0" borderId="1373" xfId="0" applyFont="1" applyBorder="1" applyAlignment="1"/>
    <xf numFmtId="0" fontId="1374" fillId="0" borderId="1374" xfId="0" applyFont="1" applyBorder="1" applyAlignment="1"/>
    <xf numFmtId="0" fontId="1375" fillId="0" borderId="1375" xfId="0" applyFont="1" applyBorder="1" applyAlignment="1"/>
    <xf numFmtId="0" fontId="1376" fillId="0" borderId="1376" xfId="0" applyFont="1" applyBorder="1" applyAlignment="1"/>
    <xf numFmtId="0" fontId="1377" fillId="0" borderId="1377" xfId="0" applyFont="1" applyBorder="1" applyAlignment="1"/>
    <xf numFmtId="0" fontId="1378" fillId="0" borderId="1378" xfId="0" applyFont="1" applyBorder="1" applyAlignment="1"/>
    <xf numFmtId="0" fontId="1379" fillId="0" borderId="1379" xfId="0" applyFont="1" applyBorder="1" applyAlignment="1"/>
    <xf numFmtId="0" fontId="1380" fillId="0" borderId="1380" xfId="0" applyFont="1" applyBorder="1" applyAlignment="1"/>
    <xf numFmtId="0" fontId="1381" fillId="0" borderId="1381" xfId="0" applyFont="1" applyBorder="1" applyAlignment="1"/>
    <xf numFmtId="0" fontId="1382" fillId="0" borderId="1382" xfId="0" applyFont="1" applyBorder="1" applyAlignment="1"/>
    <xf numFmtId="0" fontId="1383" fillId="0" borderId="1383" xfId="0" applyFont="1" applyBorder="1" applyAlignment="1"/>
    <xf numFmtId="0" fontId="1384" fillId="0" borderId="1384" xfId="0" applyFont="1" applyBorder="1" applyAlignment="1"/>
    <xf numFmtId="0" fontId="1385" fillId="0" borderId="1385" xfId="0" applyFont="1" applyBorder="1" applyAlignment="1"/>
    <xf numFmtId="0" fontId="1386" fillId="0" borderId="1386" xfId="0" applyFont="1" applyBorder="1" applyAlignment="1"/>
    <xf numFmtId="0" fontId="1387" fillId="0" borderId="1387" xfId="0" applyFont="1" applyBorder="1" applyAlignment="1"/>
    <xf numFmtId="0" fontId="1388" fillId="0" borderId="1388" xfId="0" applyFont="1" applyBorder="1" applyAlignment="1"/>
    <xf numFmtId="0" fontId="1389" fillId="0" borderId="1389" xfId="0" applyFont="1" applyBorder="1" applyAlignment="1"/>
    <xf numFmtId="0" fontId="1390" fillId="0" borderId="1390" xfId="0" applyFont="1" applyBorder="1" applyAlignment="1"/>
    <xf numFmtId="0" fontId="1391" fillId="0" borderId="1391" xfId="0" applyFont="1" applyBorder="1" applyAlignment="1"/>
    <xf numFmtId="0" fontId="1392" fillId="0" borderId="1392" xfId="0" applyFont="1" applyBorder="1" applyAlignment="1"/>
    <xf numFmtId="0" fontId="1393" fillId="0" borderId="1393" xfId="0" applyFont="1" applyBorder="1" applyAlignment="1"/>
    <xf numFmtId="0" fontId="1394" fillId="0" borderId="1394" xfId="0" applyFont="1" applyBorder="1" applyAlignment="1"/>
    <xf numFmtId="0" fontId="1395" fillId="0" borderId="1395" xfId="0" applyFont="1" applyBorder="1" applyAlignment="1"/>
    <xf numFmtId="0" fontId="1396" fillId="0" borderId="1396" xfId="0" applyFont="1" applyBorder="1" applyAlignment="1"/>
    <xf numFmtId="0" fontId="1397" fillId="0" borderId="1397" xfId="0" applyFont="1" applyBorder="1" applyAlignment="1"/>
    <xf numFmtId="0" fontId="1398" fillId="0" borderId="1398" xfId="0" applyFont="1" applyBorder="1" applyAlignment="1"/>
    <xf numFmtId="0" fontId="1399" fillId="0" borderId="1399" xfId="0" applyFont="1" applyBorder="1" applyAlignment="1"/>
    <xf numFmtId="0" fontId="1400" fillId="0" borderId="1400" xfId="0" applyFont="1" applyBorder="1" applyAlignment="1"/>
    <xf numFmtId="0" fontId="1401" fillId="0" borderId="1401" xfId="0" applyFont="1" applyBorder="1" applyAlignment="1"/>
    <xf numFmtId="0" fontId="1402" fillId="0" borderId="1402" xfId="0" applyFont="1" applyBorder="1" applyAlignment="1"/>
    <xf numFmtId="0" fontId="1403" fillId="0" borderId="1403" xfId="0" applyFont="1" applyBorder="1" applyAlignment="1"/>
    <xf numFmtId="0" fontId="1404" fillId="0" borderId="1404" xfId="0" applyFont="1" applyBorder="1" applyAlignment="1"/>
    <xf numFmtId="0" fontId="1405" fillId="0" borderId="1405" xfId="0" applyFont="1" applyBorder="1" applyAlignment="1"/>
    <xf numFmtId="0" fontId="1406" fillId="0" borderId="1406" xfId="0" applyFont="1" applyBorder="1" applyAlignment="1"/>
    <xf numFmtId="0" fontId="1407" fillId="0" borderId="1407" xfId="0" applyFont="1" applyBorder="1" applyAlignment="1"/>
    <xf numFmtId="0" fontId="1408" fillId="0" borderId="1408" xfId="0" applyFont="1" applyBorder="1" applyAlignment="1"/>
    <xf numFmtId="0" fontId="1409" fillId="0" borderId="1409" xfId="0" applyFont="1" applyBorder="1" applyAlignment="1"/>
    <xf numFmtId="0" fontId="1410" fillId="0" borderId="1410" xfId="0" applyFont="1" applyBorder="1" applyAlignment="1"/>
    <xf numFmtId="0" fontId="1411" fillId="0" borderId="1411" xfId="0" applyFont="1" applyBorder="1" applyAlignment="1"/>
    <xf numFmtId="0" fontId="1412" fillId="0" borderId="1412" xfId="0" applyFont="1" applyBorder="1" applyAlignment="1"/>
    <xf numFmtId="0" fontId="1413" fillId="0" borderId="1413" xfId="0" applyFont="1" applyBorder="1" applyAlignment="1"/>
    <xf numFmtId="0" fontId="1414" fillId="0" borderId="1414" xfId="0" applyFont="1" applyBorder="1" applyAlignment="1"/>
    <xf numFmtId="0" fontId="1415" fillId="0" borderId="1415" xfId="0" applyFont="1" applyBorder="1" applyAlignment="1"/>
    <xf numFmtId="0" fontId="1416" fillId="0" borderId="1416" xfId="0" applyFont="1" applyBorder="1" applyAlignment="1"/>
    <xf numFmtId="0" fontId="1417" fillId="0" borderId="1417" xfId="0" applyFont="1" applyBorder="1" applyAlignment="1"/>
    <xf numFmtId="0" fontId="1418" fillId="0" borderId="1418" xfId="0" applyFont="1" applyBorder="1" applyAlignment="1"/>
    <xf numFmtId="0" fontId="1419" fillId="0" borderId="1419" xfId="0" applyFont="1" applyBorder="1" applyAlignment="1"/>
    <xf numFmtId="0" fontId="1420" fillId="0" borderId="1420" xfId="0" applyFont="1" applyBorder="1" applyAlignment="1"/>
    <xf numFmtId="0" fontId="1421" fillId="0" borderId="1421" xfId="0" applyFont="1" applyBorder="1" applyAlignment="1"/>
    <xf numFmtId="0" fontId="1422" fillId="0" borderId="1422" xfId="0" applyFont="1" applyBorder="1" applyAlignment="1"/>
    <xf numFmtId="0" fontId="1423" fillId="0" borderId="1423" xfId="0" applyFont="1" applyBorder="1" applyAlignment="1"/>
    <xf numFmtId="0" fontId="1424" fillId="0" borderId="1424" xfId="0" applyFont="1" applyBorder="1" applyAlignment="1"/>
    <xf numFmtId="0" fontId="1425" fillId="0" borderId="1425" xfId="0" applyFont="1" applyBorder="1" applyAlignment="1"/>
    <xf numFmtId="0" fontId="1426" fillId="0" borderId="1426" xfId="0" applyFont="1" applyBorder="1" applyAlignment="1"/>
    <xf numFmtId="0" fontId="1427" fillId="0" borderId="1427" xfId="0" applyFont="1" applyBorder="1" applyAlignment="1"/>
    <xf numFmtId="0" fontId="1428" fillId="0" borderId="1428" xfId="0" applyFont="1" applyBorder="1" applyAlignment="1"/>
    <xf numFmtId="0" fontId="1429" fillId="0" borderId="1429" xfId="0" applyFont="1" applyBorder="1" applyAlignment="1"/>
    <xf numFmtId="0" fontId="1430" fillId="0" borderId="1430" xfId="0" applyFont="1" applyBorder="1" applyAlignment="1"/>
    <xf numFmtId="0" fontId="1431" fillId="0" borderId="1431" xfId="0" applyFont="1" applyBorder="1" applyAlignment="1"/>
    <xf numFmtId="0" fontId="1432" fillId="0" borderId="1432" xfId="0" applyFont="1" applyBorder="1" applyAlignment="1"/>
    <xf numFmtId="0" fontId="1433" fillId="0" borderId="1433" xfId="0" applyFont="1" applyBorder="1" applyAlignment="1"/>
    <xf numFmtId="0" fontId="1434" fillId="0" borderId="1434" xfId="0" applyFont="1" applyBorder="1" applyAlignment="1"/>
    <xf numFmtId="0" fontId="1435" fillId="0" borderId="1435" xfId="0" applyFont="1" applyBorder="1" applyAlignment="1"/>
    <xf numFmtId="0" fontId="1436" fillId="0" borderId="1436" xfId="0" applyFont="1" applyBorder="1" applyAlignment="1"/>
    <xf numFmtId="0" fontId="1437" fillId="0" borderId="1437" xfId="0" applyFont="1" applyBorder="1" applyAlignment="1"/>
    <xf numFmtId="0" fontId="1438" fillId="0" borderId="1438" xfId="0" applyFont="1" applyBorder="1" applyAlignment="1"/>
    <xf numFmtId="0" fontId="1439" fillId="0" borderId="1439" xfId="0" applyFont="1" applyBorder="1" applyAlignment="1"/>
    <xf numFmtId="0" fontId="1440" fillId="0" borderId="1440" xfId="0" applyFont="1" applyBorder="1" applyAlignment="1"/>
    <xf numFmtId="0" fontId="1441" fillId="0" borderId="1441" xfId="0" applyFont="1" applyBorder="1" applyAlignment="1"/>
    <xf numFmtId="0" fontId="1442" fillId="0" borderId="1442" xfId="0" applyFont="1" applyBorder="1" applyAlignment="1"/>
    <xf numFmtId="0" fontId="1443" fillId="0" borderId="1443" xfId="0" applyFont="1" applyBorder="1" applyAlignment="1"/>
    <xf numFmtId="0" fontId="1444" fillId="0" borderId="1444" xfId="0" applyFont="1" applyBorder="1" applyAlignment="1"/>
    <xf numFmtId="0" fontId="1445" fillId="0" borderId="1445" xfId="0" applyFont="1" applyBorder="1" applyAlignment="1"/>
    <xf numFmtId="0" fontId="1446" fillId="0" borderId="1446" xfId="0" applyFont="1" applyBorder="1" applyAlignment="1"/>
    <xf numFmtId="0" fontId="1447" fillId="0" borderId="1447" xfId="0" applyFont="1" applyBorder="1" applyAlignment="1"/>
    <xf numFmtId="0" fontId="1448" fillId="0" borderId="1448" xfId="0" applyFont="1" applyBorder="1" applyAlignment="1"/>
    <xf numFmtId="0" fontId="1449" fillId="0" borderId="1449" xfId="0" applyFont="1" applyBorder="1" applyAlignment="1"/>
    <xf numFmtId="0" fontId="1450" fillId="0" borderId="1450" xfId="0" applyFont="1" applyBorder="1" applyAlignment="1"/>
    <xf numFmtId="0" fontId="1451" fillId="0" borderId="1451" xfId="0" applyFont="1" applyBorder="1" applyAlignment="1"/>
    <xf numFmtId="0" fontId="1452" fillId="0" borderId="1452" xfId="0" applyFont="1" applyBorder="1" applyAlignment="1"/>
    <xf numFmtId="0" fontId="1453" fillId="0" borderId="1453" xfId="0" applyFont="1" applyBorder="1" applyAlignment="1"/>
    <xf numFmtId="0" fontId="1454" fillId="0" borderId="1454" xfId="0" applyFont="1" applyBorder="1" applyAlignment="1"/>
    <xf numFmtId="0" fontId="1455" fillId="0" borderId="1455" xfId="0" applyFont="1" applyBorder="1" applyAlignment="1"/>
    <xf numFmtId="0" fontId="1456" fillId="0" borderId="1456" xfId="0" applyFont="1" applyBorder="1" applyAlignment="1"/>
    <xf numFmtId="0" fontId="1457" fillId="0" borderId="1457" xfId="0" applyFont="1" applyBorder="1" applyAlignment="1"/>
    <xf numFmtId="0" fontId="1458" fillId="0" borderId="1458" xfId="0" applyFont="1" applyBorder="1" applyAlignment="1"/>
    <xf numFmtId="0" fontId="1459" fillId="0" borderId="1459" xfId="0" applyFont="1" applyBorder="1" applyAlignment="1"/>
    <xf numFmtId="0" fontId="1460" fillId="0" borderId="1460" xfId="0" applyFont="1" applyBorder="1" applyAlignment="1"/>
    <xf numFmtId="0" fontId="1461" fillId="0" borderId="1461" xfId="0" applyFont="1" applyBorder="1" applyAlignment="1"/>
    <xf numFmtId="0" fontId="1462" fillId="0" borderId="1462" xfId="0" applyFont="1" applyBorder="1" applyAlignment="1"/>
    <xf numFmtId="0" fontId="1463" fillId="0" borderId="1463" xfId="0" applyFont="1" applyBorder="1" applyAlignment="1"/>
    <xf numFmtId="0" fontId="1464" fillId="0" borderId="1464" xfId="0" applyFont="1" applyBorder="1" applyAlignment="1"/>
    <xf numFmtId="0" fontId="1465" fillId="0" borderId="1465" xfId="0" applyFont="1" applyBorder="1" applyAlignment="1"/>
    <xf numFmtId="0" fontId="1466" fillId="0" borderId="1466" xfId="0" applyFont="1" applyBorder="1" applyAlignment="1"/>
    <xf numFmtId="0" fontId="1467" fillId="0" borderId="1467" xfId="0" applyFont="1" applyBorder="1" applyAlignment="1"/>
    <xf numFmtId="0" fontId="1468" fillId="0" borderId="1468" xfId="0" applyFont="1" applyBorder="1" applyAlignment="1"/>
    <xf numFmtId="0" fontId="1469" fillId="0" borderId="1469" xfId="0" applyFont="1" applyBorder="1" applyAlignment="1"/>
    <xf numFmtId="0" fontId="1470" fillId="0" borderId="1470" xfId="0" applyFont="1" applyBorder="1" applyAlignment="1"/>
    <xf numFmtId="0" fontId="1471" fillId="0" borderId="1471" xfId="0" applyFont="1" applyBorder="1" applyAlignment="1"/>
    <xf numFmtId="0" fontId="1472" fillId="0" borderId="1472" xfId="0" applyFont="1" applyBorder="1" applyAlignment="1"/>
    <xf numFmtId="0" fontId="1473" fillId="0" borderId="1473" xfId="0" applyFont="1" applyBorder="1" applyAlignment="1"/>
    <xf numFmtId="0" fontId="1474" fillId="0" borderId="1474" xfId="0" applyFont="1" applyBorder="1" applyAlignment="1"/>
    <xf numFmtId="0" fontId="1475" fillId="0" borderId="1475" xfId="0" applyFont="1" applyBorder="1" applyAlignment="1"/>
    <xf numFmtId="0" fontId="1476" fillId="0" borderId="1476" xfId="0" applyFont="1" applyBorder="1" applyAlignment="1"/>
    <xf numFmtId="0" fontId="1477" fillId="0" borderId="1477" xfId="0" applyFont="1" applyBorder="1" applyAlignment="1"/>
    <xf numFmtId="0" fontId="1478" fillId="0" borderId="1478" xfId="0" applyFont="1" applyBorder="1" applyAlignment="1"/>
    <xf numFmtId="0" fontId="1479" fillId="0" borderId="1479" xfId="0" applyFont="1" applyBorder="1" applyAlignment="1"/>
    <xf numFmtId="0" fontId="1480" fillId="0" borderId="1480" xfId="0" applyFont="1" applyBorder="1" applyAlignment="1"/>
    <xf numFmtId="0" fontId="1481" fillId="0" borderId="1481" xfId="0" applyFont="1" applyBorder="1" applyAlignment="1"/>
    <xf numFmtId="0" fontId="1482" fillId="0" borderId="1482" xfId="0" applyFont="1" applyBorder="1" applyAlignment="1"/>
    <xf numFmtId="0" fontId="1483" fillId="0" borderId="1483" xfId="0" applyFont="1" applyBorder="1" applyAlignment="1"/>
    <xf numFmtId="0" fontId="1484" fillId="0" borderId="1484" xfId="0" applyFont="1" applyBorder="1" applyAlignment="1"/>
    <xf numFmtId="0" fontId="1485" fillId="0" borderId="1485" xfId="0" applyFont="1" applyBorder="1" applyAlignment="1"/>
    <xf numFmtId="0" fontId="1486" fillId="0" borderId="1486" xfId="0" applyFont="1" applyBorder="1" applyAlignment="1"/>
    <xf numFmtId="0" fontId="1487" fillId="0" borderId="1487" xfId="0" applyFont="1" applyBorder="1" applyAlignment="1"/>
    <xf numFmtId="0" fontId="1488" fillId="0" borderId="1488" xfId="0" applyFont="1" applyBorder="1" applyAlignment="1"/>
    <xf numFmtId="0" fontId="1489" fillId="0" borderId="1489" xfId="0" applyFont="1" applyBorder="1" applyAlignment="1"/>
    <xf numFmtId="0" fontId="1490" fillId="0" borderId="1490" xfId="0" applyFont="1" applyBorder="1" applyAlignment="1"/>
    <xf numFmtId="0" fontId="1491" fillId="0" borderId="1491" xfId="0" applyFont="1" applyBorder="1" applyAlignment="1"/>
    <xf numFmtId="0" fontId="1492" fillId="0" borderId="1492" xfId="0" applyFont="1" applyBorder="1" applyAlignment="1"/>
    <xf numFmtId="0" fontId="1493" fillId="0" borderId="1493" xfId="0" applyFont="1" applyBorder="1" applyAlignment="1"/>
    <xf numFmtId="0" fontId="1494" fillId="0" borderId="1494" xfId="0" applyFont="1" applyBorder="1" applyAlignment="1"/>
    <xf numFmtId="0" fontId="1495" fillId="0" borderId="1495" xfId="0" applyFont="1" applyBorder="1" applyAlignment="1"/>
    <xf numFmtId="0" fontId="1496" fillId="0" borderId="1496" xfId="0" applyFont="1" applyBorder="1" applyAlignment="1"/>
    <xf numFmtId="0" fontId="1497" fillId="0" borderId="1497" xfId="0" applyFont="1" applyBorder="1" applyAlignment="1"/>
    <xf numFmtId="0" fontId="1498" fillId="0" borderId="1498" xfId="0" applyFont="1" applyBorder="1" applyAlignment="1"/>
    <xf numFmtId="0" fontId="1499" fillId="0" borderId="1499" xfId="0" applyFont="1" applyBorder="1" applyAlignment="1"/>
    <xf numFmtId="0" fontId="1500" fillId="0" borderId="1500" xfId="0" applyFont="1" applyBorder="1" applyAlignment="1"/>
    <xf numFmtId="0" fontId="1501" fillId="0" borderId="1501" xfId="0" applyFont="1" applyBorder="1" applyAlignment="1"/>
    <xf numFmtId="0" fontId="1502" fillId="0" borderId="1502" xfId="0" applyFont="1" applyBorder="1" applyAlignment="1"/>
    <xf numFmtId="0" fontId="1503" fillId="0" borderId="1503" xfId="0" applyFont="1" applyBorder="1" applyAlignment="1"/>
    <xf numFmtId="0" fontId="1504" fillId="0" borderId="1504" xfId="0" applyFont="1" applyBorder="1" applyAlignment="1"/>
    <xf numFmtId="0" fontId="1505" fillId="0" borderId="1505" xfId="0" applyFont="1" applyBorder="1" applyAlignment="1"/>
    <xf numFmtId="0" fontId="1506" fillId="0" borderId="1506" xfId="0" applyFont="1" applyBorder="1" applyAlignment="1"/>
    <xf numFmtId="0" fontId="1507" fillId="0" borderId="1507" xfId="0" applyFont="1" applyBorder="1" applyAlignment="1"/>
    <xf numFmtId="0" fontId="1508" fillId="0" borderId="1508" xfId="0" applyFont="1" applyBorder="1" applyAlignment="1"/>
    <xf numFmtId="0" fontId="1509" fillId="0" borderId="1509" xfId="0" applyFont="1" applyBorder="1" applyAlignment="1"/>
    <xf numFmtId="0" fontId="1510" fillId="0" borderId="1510" xfId="0" applyFont="1" applyBorder="1" applyAlignment="1"/>
    <xf numFmtId="0" fontId="1511" fillId="0" borderId="1511" xfId="0" applyFont="1" applyBorder="1" applyAlignment="1"/>
    <xf numFmtId="0" fontId="1512" fillId="0" borderId="1512" xfId="0" applyFont="1" applyBorder="1" applyAlignment="1"/>
    <xf numFmtId="0" fontId="1513" fillId="0" borderId="1513" xfId="0" applyFont="1" applyBorder="1" applyAlignment="1"/>
    <xf numFmtId="0" fontId="1514" fillId="0" borderId="1514" xfId="0" applyFont="1" applyBorder="1" applyAlignment="1"/>
    <xf numFmtId="0" fontId="1515" fillId="0" borderId="1515" xfId="0" applyFont="1" applyBorder="1" applyAlignment="1"/>
    <xf numFmtId="0" fontId="1516" fillId="0" borderId="1516" xfId="0" applyFont="1" applyBorder="1" applyAlignment="1"/>
    <xf numFmtId="0" fontId="1517" fillId="0" borderId="1517" xfId="0" applyFont="1" applyBorder="1" applyAlignment="1"/>
    <xf numFmtId="0" fontId="1518" fillId="0" borderId="1518" xfId="0" applyFont="1" applyBorder="1" applyAlignment="1"/>
    <xf numFmtId="0" fontId="1519" fillId="0" borderId="1519" xfId="0" applyFont="1" applyBorder="1" applyAlignment="1"/>
    <xf numFmtId="0" fontId="1520" fillId="0" borderId="1520" xfId="0" applyFont="1" applyBorder="1" applyAlignment="1"/>
    <xf numFmtId="0" fontId="1521" fillId="0" borderId="1521" xfId="0" applyFont="1" applyBorder="1" applyAlignment="1"/>
    <xf numFmtId="0" fontId="1522" fillId="0" borderId="1522" xfId="0" applyFont="1" applyBorder="1" applyAlignment="1"/>
    <xf numFmtId="0" fontId="1523" fillId="0" borderId="1523" xfId="0" applyFont="1" applyBorder="1" applyAlignment="1"/>
    <xf numFmtId="0" fontId="1524" fillId="0" borderId="1524" xfId="0" applyFont="1" applyBorder="1" applyAlignment="1"/>
    <xf numFmtId="0" fontId="1525" fillId="0" borderId="1525" xfId="0" applyFont="1" applyBorder="1" applyAlignment="1"/>
    <xf numFmtId="0" fontId="1526" fillId="0" borderId="1526" xfId="0" applyFont="1" applyBorder="1" applyAlignment="1"/>
    <xf numFmtId="0" fontId="1527" fillId="0" borderId="1527" xfId="0" applyFont="1" applyBorder="1" applyAlignment="1"/>
    <xf numFmtId="0" fontId="1528" fillId="0" borderId="1528" xfId="0" applyFont="1" applyBorder="1" applyAlignment="1"/>
    <xf numFmtId="0" fontId="1529" fillId="0" borderId="1529" xfId="0" applyFont="1" applyBorder="1" applyAlignment="1"/>
    <xf numFmtId="0" fontId="1530" fillId="0" borderId="1530" xfId="0" applyFont="1" applyBorder="1" applyAlignment="1"/>
    <xf numFmtId="0" fontId="1531" fillId="0" borderId="1531" xfId="0" applyFont="1" applyBorder="1" applyAlignment="1"/>
    <xf numFmtId="0" fontId="1532" fillId="0" borderId="1532" xfId="0" applyFont="1" applyBorder="1" applyAlignment="1"/>
    <xf numFmtId="0" fontId="1533" fillId="0" borderId="1533" xfId="0" applyFont="1" applyBorder="1" applyAlignment="1"/>
    <xf numFmtId="0" fontId="1534" fillId="0" borderId="1534" xfId="0" applyFont="1" applyBorder="1" applyAlignment="1"/>
    <xf numFmtId="0" fontId="1535" fillId="0" borderId="1535" xfId="0" applyFont="1" applyBorder="1" applyAlignment="1"/>
    <xf numFmtId="0" fontId="1536" fillId="0" borderId="1536" xfId="0" applyFont="1" applyBorder="1" applyAlignment="1"/>
    <xf numFmtId="0" fontId="1537" fillId="0" borderId="1537" xfId="0" applyFont="1" applyBorder="1" applyAlignment="1"/>
    <xf numFmtId="0" fontId="1538" fillId="0" borderId="1538" xfId="0" applyFont="1" applyBorder="1" applyAlignment="1"/>
    <xf numFmtId="0" fontId="1539" fillId="0" borderId="1539" xfId="0" applyFont="1" applyBorder="1" applyAlignment="1"/>
    <xf numFmtId="0" fontId="1540" fillId="0" borderId="1540" xfId="0" applyFont="1" applyBorder="1" applyAlignment="1"/>
    <xf numFmtId="0" fontId="1541" fillId="0" borderId="1541" xfId="0" applyFont="1" applyBorder="1" applyAlignment="1"/>
    <xf numFmtId="0" fontId="1542" fillId="0" borderId="1542" xfId="0" applyFont="1" applyBorder="1" applyAlignment="1"/>
    <xf numFmtId="0" fontId="1543" fillId="0" borderId="1543" xfId="0" applyFont="1" applyBorder="1" applyAlignment="1"/>
    <xf numFmtId="0" fontId="1544" fillId="0" borderId="1544" xfId="0" applyFont="1" applyBorder="1" applyAlignment="1"/>
    <xf numFmtId="0" fontId="1545" fillId="0" borderId="1545" xfId="0" applyFont="1" applyBorder="1" applyAlignment="1"/>
    <xf numFmtId="0" fontId="1546" fillId="0" borderId="1546" xfId="0" applyFont="1" applyBorder="1" applyAlignment="1"/>
    <xf numFmtId="0" fontId="1547" fillId="0" borderId="1547" xfId="0" applyFont="1" applyBorder="1" applyAlignment="1"/>
    <xf numFmtId="0" fontId="1548" fillId="0" borderId="1548" xfId="0" applyFont="1" applyBorder="1" applyAlignment="1"/>
    <xf numFmtId="0" fontId="1549" fillId="0" borderId="1549" xfId="0" applyFont="1" applyBorder="1" applyAlignment="1"/>
    <xf numFmtId="0" fontId="1550" fillId="0" borderId="1550" xfId="0" applyFont="1" applyBorder="1" applyAlignment="1"/>
    <xf numFmtId="0" fontId="1551" fillId="0" borderId="1551" xfId="0" applyFont="1" applyBorder="1" applyAlignment="1"/>
    <xf numFmtId="0" fontId="1552" fillId="0" borderId="1552" xfId="0" applyFont="1" applyBorder="1" applyAlignment="1"/>
    <xf numFmtId="0" fontId="1553" fillId="0" borderId="1553" xfId="0" applyFont="1" applyBorder="1" applyAlignment="1"/>
    <xf numFmtId="0" fontId="1554" fillId="0" borderId="1554" xfId="0" applyFont="1" applyBorder="1" applyAlignment="1"/>
    <xf numFmtId="0" fontId="1555" fillId="0" borderId="1555" xfId="0" applyFont="1" applyBorder="1" applyAlignment="1"/>
    <xf numFmtId="0" fontId="1556" fillId="0" borderId="1556" xfId="0" applyFont="1" applyBorder="1" applyAlignment="1"/>
    <xf numFmtId="0" fontId="1557" fillId="0" borderId="1557" xfId="0" applyFont="1" applyBorder="1" applyAlignment="1"/>
    <xf numFmtId="0" fontId="1558" fillId="0" borderId="1558" xfId="0" applyFont="1" applyBorder="1" applyAlignment="1"/>
    <xf numFmtId="0" fontId="1559" fillId="0" borderId="1559" xfId="0" applyFont="1" applyBorder="1" applyAlignment="1"/>
    <xf numFmtId="0" fontId="1560" fillId="0" borderId="1560" xfId="0" applyFont="1" applyBorder="1" applyAlignment="1"/>
    <xf numFmtId="0" fontId="1561" fillId="0" borderId="1561" xfId="0" applyFont="1" applyBorder="1" applyAlignment="1"/>
    <xf numFmtId="0" fontId="1562" fillId="0" borderId="1562" xfId="0" applyFont="1" applyBorder="1" applyAlignment="1"/>
    <xf numFmtId="0" fontId="1563" fillId="0" borderId="1563" xfId="0" applyFont="1" applyBorder="1" applyAlignment="1"/>
    <xf numFmtId="0" fontId="1564" fillId="0" borderId="1564" xfId="0" applyFont="1" applyBorder="1" applyAlignment="1"/>
    <xf numFmtId="0" fontId="1565" fillId="0" borderId="1565" xfId="0" applyFont="1" applyBorder="1" applyAlignment="1"/>
    <xf numFmtId="0" fontId="1566" fillId="0" borderId="1566" xfId="0" applyFont="1" applyBorder="1" applyAlignment="1"/>
    <xf numFmtId="0" fontId="1567" fillId="0" borderId="1567" xfId="0" applyFont="1" applyBorder="1" applyAlignment="1"/>
    <xf numFmtId="0" fontId="1568" fillId="0" borderId="1568" xfId="0" applyFont="1" applyBorder="1" applyAlignment="1"/>
    <xf numFmtId="0" fontId="1569" fillId="0" borderId="1569" xfId="0" applyFont="1" applyBorder="1" applyAlignment="1"/>
    <xf numFmtId="0" fontId="1570" fillId="0" borderId="1570" xfId="0" applyFont="1" applyBorder="1" applyAlignment="1"/>
    <xf numFmtId="0" fontId="1571" fillId="0" borderId="1571" xfId="0" applyFont="1" applyBorder="1" applyAlignment="1"/>
    <xf numFmtId="0" fontId="1572" fillId="0" borderId="1572" xfId="0" applyFont="1" applyBorder="1" applyAlignment="1"/>
    <xf numFmtId="0" fontId="1573" fillId="0" borderId="1573" xfId="0" applyFont="1" applyBorder="1" applyAlignment="1"/>
    <xf numFmtId="0" fontId="1574" fillId="0" borderId="1574" xfId="0" applyFont="1" applyBorder="1" applyAlignment="1"/>
    <xf numFmtId="0" fontId="1575" fillId="0" borderId="1575" xfId="0" applyFont="1" applyBorder="1" applyAlignment="1"/>
    <xf numFmtId="0" fontId="1576" fillId="0" borderId="1576" xfId="0" applyFont="1" applyBorder="1" applyAlignment="1"/>
    <xf numFmtId="0" fontId="1577" fillId="0" borderId="1577" xfId="0" applyFont="1" applyBorder="1" applyAlignment="1"/>
    <xf numFmtId="0" fontId="1578" fillId="0" borderId="1578" xfId="0" applyFont="1" applyBorder="1" applyAlignment="1"/>
    <xf numFmtId="0" fontId="1579" fillId="0" borderId="1579" xfId="0" applyFont="1" applyBorder="1" applyAlignment="1"/>
    <xf numFmtId="0" fontId="1580" fillId="0" borderId="1580" xfId="0" applyFont="1" applyBorder="1" applyAlignment="1"/>
    <xf numFmtId="0" fontId="1581" fillId="0" borderId="1581" xfId="0" applyFont="1" applyBorder="1" applyAlignment="1"/>
    <xf numFmtId="0" fontId="1582" fillId="0" borderId="1582" xfId="0" applyFont="1" applyBorder="1" applyAlignment="1"/>
    <xf numFmtId="0" fontId="1583" fillId="0" borderId="1583" xfId="0" applyFont="1" applyBorder="1" applyAlignment="1"/>
    <xf numFmtId="0" fontId="1584" fillId="0" borderId="1584" xfId="0" applyFont="1" applyBorder="1" applyAlignment="1"/>
    <xf numFmtId="0" fontId="1585" fillId="0" borderId="1585" xfId="0" applyFont="1" applyBorder="1" applyAlignment="1"/>
    <xf numFmtId="0" fontId="1586" fillId="0" borderId="1586" xfId="0" applyFont="1" applyBorder="1" applyAlignment="1"/>
    <xf numFmtId="0" fontId="1587" fillId="0" borderId="1587" xfId="0" applyFont="1" applyBorder="1" applyAlignment="1"/>
    <xf numFmtId="0" fontId="1588" fillId="0" borderId="1588" xfId="0" applyFont="1" applyBorder="1" applyAlignment="1"/>
    <xf numFmtId="0" fontId="1589" fillId="0" borderId="1589" xfId="0" applyFont="1" applyBorder="1" applyAlignment="1"/>
    <xf numFmtId="0" fontId="1590" fillId="0" borderId="1590" xfId="0" applyFont="1" applyBorder="1" applyAlignment="1"/>
    <xf numFmtId="0" fontId="1591" fillId="0" borderId="1591" xfId="0" applyFont="1" applyBorder="1" applyAlignment="1"/>
    <xf numFmtId="0" fontId="1592" fillId="0" borderId="1592" xfId="0" applyFont="1" applyBorder="1" applyAlignment="1"/>
    <xf numFmtId="0" fontId="1593" fillId="0" borderId="1593" xfId="0" applyFont="1" applyBorder="1" applyAlignment="1"/>
    <xf numFmtId="0" fontId="1594" fillId="0" borderId="1594" xfId="0" applyFont="1" applyBorder="1" applyAlignment="1"/>
    <xf numFmtId="0" fontId="1595" fillId="0" borderId="1595" xfId="0" applyFont="1" applyBorder="1" applyAlignment="1"/>
    <xf numFmtId="0" fontId="1596" fillId="0" borderId="1596" xfId="0" applyFont="1" applyBorder="1" applyAlignment="1"/>
    <xf numFmtId="0" fontId="1597" fillId="0" borderId="1597" xfId="0" applyFont="1" applyBorder="1" applyAlignment="1"/>
    <xf numFmtId="0" fontId="1598" fillId="0" borderId="1598" xfId="0" applyFont="1" applyBorder="1" applyAlignment="1"/>
    <xf numFmtId="0" fontId="1599" fillId="0" borderId="1599" xfId="0" applyFont="1" applyBorder="1" applyAlignment="1"/>
    <xf numFmtId="0" fontId="1600" fillId="0" borderId="1600" xfId="0" applyFont="1" applyBorder="1" applyAlignment="1"/>
    <xf numFmtId="0" fontId="1601" fillId="0" borderId="1601" xfId="0" applyFont="1" applyBorder="1" applyAlignment="1"/>
    <xf numFmtId="0" fontId="1602" fillId="0" borderId="1602" xfId="0" applyFont="1" applyBorder="1" applyAlignment="1"/>
    <xf numFmtId="0" fontId="1603" fillId="0" borderId="1603" xfId="0" applyFont="1" applyBorder="1" applyAlignment="1"/>
    <xf numFmtId="0" fontId="1604" fillId="0" borderId="1604" xfId="0" applyFont="1" applyBorder="1" applyAlignment="1"/>
    <xf numFmtId="0" fontId="1605" fillId="0" borderId="1605" xfId="0" applyFont="1" applyBorder="1" applyAlignment="1"/>
    <xf numFmtId="0" fontId="1606" fillId="0" borderId="1606" xfId="0" applyFont="1" applyBorder="1" applyAlignment="1"/>
    <xf numFmtId="0" fontId="1607" fillId="0" borderId="1607" xfId="0" applyFont="1" applyBorder="1" applyAlignment="1"/>
    <xf numFmtId="0" fontId="1608" fillId="0" borderId="1608" xfId="0" applyFont="1" applyBorder="1" applyAlignment="1"/>
    <xf numFmtId="0" fontId="1609" fillId="0" borderId="1609" xfId="0" applyFont="1" applyBorder="1" applyAlignment="1"/>
    <xf numFmtId="0" fontId="1610" fillId="0" borderId="1610" xfId="0" applyFont="1" applyBorder="1" applyAlignment="1"/>
    <xf numFmtId="0" fontId="1611" fillId="0" borderId="1611" xfId="0" applyFont="1" applyBorder="1" applyAlignment="1"/>
    <xf numFmtId="0" fontId="1612" fillId="0" borderId="1612" xfId="0" applyFont="1" applyBorder="1" applyAlignment="1"/>
    <xf numFmtId="0" fontId="1613" fillId="0" borderId="1613" xfId="0" applyFont="1" applyBorder="1" applyAlignment="1"/>
    <xf numFmtId="0" fontId="1614" fillId="0" borderId="1614" xfId="0" applyFont="1" applyBorder="1" applyAlignment="1"/>
    <xf numFmtId="0" fontId="1615" fillId="0" borderId="1615" xfId="0" applyFont="1" applyBorder="1" applyAlignment="1"/>
    <xf numFmtId="0" fontId="1616" fillId="0" borderId="1616" xfId="0" applyFont="1" applyBorder="1" applyAlignment="1"/>
    <xf numFmtId="0" fontId="1617" fillId="0" borderId="1617" xfId="0" applyFont="1" applyBorder="1" applyAlignment="1"/>
    <xf numFmtId="0" fontId="1618" fillId="0" borderId="1618" xfId="0" applyFont="1" applyBorder="1" applyAlignment="1"/>
    <xf numFmtId="0" fontId="1619" fillId="0" borderId="1619" xfId="0" applyFont="1" applyBorder="1" applyAlignment="1"/>
    <xf numFmtId="0" fontId="1620" fillId="0" borderId="1620" xfId="0" applyFont="1" applyBorder="1" applyAlignment="1"/>
    <xf numFmtId="0" fontId="1621" fillId="0" borderId="1621" xfId="0" applyFont="1" applyBorder="1" applyAlignment="1"/>
    <xf numFmtId="0" fontId="1622" fillId="0" borderId="1622" xfId="0" applyFont="1" applyBorder="1" applyAlignment="1"/>
    <xf numFmtId="0" fontId="1623" fillId="0" borderId="1623" xfId="0" applyFont="1" applyBorder="1" applyAlignment="1"/>
    <xf numFmtId="0" fontId="1624" fillId="0" borderId="1624" xfId="0" applyFont="1" applyBorder="1" applyAlignment="1"/>
    <xf numFmtId="0" fontId="1625" fillId="0" borderId="1625" xfId="0" applyFont="1" applyBorder="1" applyAlignment="1"/>
    <xf numFmtId="0" fontId="1626" fillId="0" borderId="1626" xfId="0" applyFont="1" applyBorder="1" applyAlignment="1"/>
    <xf numFmtId="0" fontId="1627" fillId="0" borderId="1627" xfId="0" applyFont="1" applyBorder="1" applyAlignment="1"/>
    <xf numFmtId="0" fontId="1628" fillId="0" borderId="1628" xfId="0" applyFont="1" applyBorder="1" applyAlignment="1"/>
    <xf numFmtId="0" fontId="1629" fillId="0" borderId="1629" xfId="0" applyFont="1" applyBorder="1" applyAlignment="1"/>
    <xf numFmtId="0" fontId="1630" fillId="0" borderId="1630" xfId="0" applyFont="1" applyBorder="1" applyAlignment="1"/>
    <xf numFmtId="0" fontId="1631" fillId="0" borderId="1631" xfId="0" applyFont="1" applyBorder="1" applyAlignment="1"/>
    <xf numFmtId="0" fontId="1632" fillId="0" borderId="1632" xfId="0" applyFont="1" applyBorder="1" applyAlignment="1"/>
    <xf numFmtId="0" fontId="1633" fillId="0" borderId="1633" xfId="0" applyFont="1" applyBorder="1" applyAlignment="1"/>
    <xf numFmtId="0" fontId="1634" fillId="0" borderId="1634" xfId="0" applyFont="1" applyBorder="1" applyAlignment="1"/>
    <xf numFmtId="0" fontId="1635" fillId="0" borderId="1635" xfId="0" applyFont="1" applyBorder="1" applyAlignment="1"/>
    <xf numFmtId="0" fontId="1636" fillId="0" borderId="1636" xfId="0" applyFont="1" applyBorder="1" applyAlignment="1"/>
    <xf numFmtId="0" fontId="1637" fillId="0" borderId="1637" xfId="0" applyFont="1" applyBorder="1" applyAlignment="1"/>
    <xf numFmtId="0" fontId="1638" fillId="0" borderId="1638" xfId="0" applyFont="1" applyBorder="1" applyAlignment="1"/>
    <xf numFmtId="0" fontId="1639" fillId="0" borderId="1639" xfId="0" applyFont="1" applyBorder="1" applyAlignment="1"/>
    <xf numFmtId="0" fontId="1640" fillId="0" borderId="1640" xfId="0" applyFont="1" applyBorder="1" applyAlignment="1"/>
    <xf numFmtId="0" fontId="1641" fillId="0" borderId="1641" xfId="0" applyFont="1" applyBorder="1" applyAlignment="1"/>
    <xf numFmtId="0" fontId="1642" fillId="0" borderId="1642" xfId="0" applyFont="1" applyBorder="1" applyAlignment="1"/>
    <xf numFmtId="0" fontId="1643" fillId="0" borderId="1643" xfId="0" applyFont="1" applyBorder="1" applyAlignment="1"/>
    <xf numFmtId="0" fontId="1644" fillId="0" borderId="1644" xfId="0" applyFont="1" applyBorder="1" applyAlignment="1"/>
    <xf numFmtId="0" fontId="1645" fillId="0" borderId="1645" xfId="0" applyFont="1" applyBorder="1" applyAlignment="1"/>
    <xf numFmtId="0" fontId="1646" fillId="0" borderId="1646" xfId="0" applyFont="1" applyBorder="1" applyAlignment="1"/>
    <xf numFmtId="0" fontId="1647" fillId="0" borderId="1647" xfId="0" applyFont="1" applyBorder="1" applyAlignment="1"/>
    <xf numFmtId="0" fontId="1648" fillId="0" borderId="1648" xfId="0" applyFont="1" applyBorder="1" applyAlignment="1"/>
    <xf numFmtId="0" fontId="1649" fillId="0" borderId="1649" xfId="0" applyFont="1" applyBorder="1" applyAlignment="1"/>
    <xf numFmtId="0" fontId="1650" fillId="0" borderId="1650" xfId="0" applyFont="1" applyBorder="1" applyAlignment="1"/>
    <xf numFmtId="0" fontId="1651" fillId="0" borderId="1651" xfId="0" applyFont="1" applyBorder="1" applyAlignment="1"/>
    <xf numFmtId="0" fontId="1652" fillId="0" borderId="1652" xfId="0" applyFont="1" applyBorder="1" applyAlignment="1"/>
    <xf numFmtId="0" fontId="1653" fillId="0" borderId="1653" xfId="0" applyFont="1" applyBorder="1" applyAlignment="1"/>
    <xf numFmtId="0" fontId="1654" fillId="0" borderId="1654" xfId="0" applyFont="1" applyBorder="1" applyAlignment="1"/>
    <xf numFmtId="0" fontId="1655" fillId="0" borderId="1655" xfId="0" applyFont="1" applyBorder="1" applyAlignment="1"/>
    <xf numFmtId="0" fontId="1656" fillId="0" borderId="1656" xfId="0" applyFont="1" applyBorder="1" applyAlignment="1"/>
    <xf numFmtId="0" fontId="1657" fillId="0" borderId="1657" xfId="0" applyFont="1" applyBorder="1" applyAlignment="1"/>
    <xf numFmtId="0" fontId="1658" fillId="0" borderId="1658" xfId="0" applyFont="1" applyBorder="1" applyAlignment="1"/>
    <xf numFmtId="0" fontId="1659" fillId="0" borderId="1659" xfId="0" applyFont="1" applyBorder="1" applyAlignment="1"/>
    <xf numFmtId="0" fontId="1660" fillId="0" borderId="1660" xfId="0" applyFont="1" applyBorder="1" applyAlignment="1"/>
    <xf numFmtId="0" fontId="1661" fillId="0" borderId="1661" xfId="0" applyFont="1" applyBorder="1" applyAlignment="1"/>
    <xf numFmtId="0" fontId="1662" fillId="0" borderId="1662" xfId="0" applyFont="1" applyBorder="1" applyAlignment="1"/>
    <xf numFmtId="0" fontId="1663" fillId="0" borderId="1663" xfId="0" applyFont="1" applyBorder="1" applyAlignment="1"/>
    <xf numFmtId="0" fontId="1664" fillId="0" borderId="1664" xfId="0" applyFont="1" applyBorder="1" applyAlignment="1"/>
    <xf numFmtId="0" fontId="1665" fillId="0" borderId="1665" xfId="0" applyFont="1" applyBorder="1" applyAlignment="1"/>
    <xf numFmtId="0" fontId="1666" fillId="0" borderId="1666" xfId="0" applyFont="1" applyBorder="1" applyAlignment="1"/>
    <xf numFmtId="0" fontId="1667" fillId="0" borderId="1667" xfId="0" applyFont="1" applyBorder="1" applyAlignment="1"/>
    <xf numFmtId="0" fontId="1668" fillId="0" borderId="1668" xfId="0" applyFont="1" applyBorder="1" applyAlignment="1"/>
    <xf numFmtId="0" fontId="1669" fillId="0" borderId="1669" xfId="0" applyFont="1" applyBorder="1" applyAlignment="1"/>
    <xf numFmtId="0" fontId="1670" fillId="0" borderId="1670" xfId="0" applyFont="1" applyBorder="1" applyAlignment="1"/>
    <xf numFmtId="0" fontId="1671" fillId="0" borderId="1671" xfId="0" applyFont="1" applyBorder="1" applyAlignment="1"/>
    <xf numFmtId="0" fontId="1672" fillId="0" borderId="1672" xfId="0" applyFont="1" applyBorder="1" applyAlignment="1"/>
    <xf numFmtId="0" fontId="1673" fillId="0" borderId="1673" xfId="0" applyFont="1" applyBorder="1" applyAlignment="1"/>
    <xf numFmtId="0" fontId="1674" fillId="0" borderId="1674" xfId="0" applyFont="1" applyBorder="1" applyAlignment="1"/>
    <xf numFmtId="0" fontId="1675" fillId="0" borderId="1675" xfId="0" applyFont="1" applyBorder="1" applyAlignment="1"/>
    <xf numFmtId="0" fontId="1676" fillId="0" borderId="1676" xfId="0" applyFont="1" applyBorder="1" applyAlignment="1"/>
    <xf numFmtId="0" fontId="1677" fillId="0" borderId="1677" xfId="0" applyFont="1" applyBorder="1" applyAlignment="1"/>
    <xf numFmtId="0" fontId="1678" fillId="0" borderId="1678" xfId="0" applyFont="1" applyBorder="1" applyAlignment="1"/>
    <xf numFmtId="0" fontId="1679" fillId="0" borderId="1679" xfId="0" applyFont="1" applyBorder="1" applyAlignment="1"/>
    <xf numFmtId="0" fontId="1680" fillId="0" borderId="1680" xfId="0" applyFont="1" applyBorder="1" applyAlignment="1"/>
    <xf numFmtId="0" fontId="1681" fillId="0" borderId="1681" xfId="0" applyFont="1" applyBorder="1" applyAlignment="1"/>
    <xf numFmtId="0" fontId="1682" fillId="0" borderId="1682" xfId="0" applyFont="1" applyBorder="1" applyAlignment="1"/>
    <xf numFmtId="0" fontId="1683" fillId="0" borderId="1683" xfId="0" applyFont="1" applyBorder="1" applyAlignment="1"/>
    <xf numFmtId="0" fontId="1684" fillId="0" borderId="1684" xfId="0" applyFont="1" applyBorder="1" applyAlignment="1"/>
    <xf numFmtId="0" fontId="1685" fillId="0" borderId="1685" xfId="0" applyFont="1" applyBorder="1" applyAlignment="1"/>
    <xf numFmtId="0" fontId="1686" fillId="0" borderId="1686" xfId="0" applyFont="1" applyBorder="1" applyAlignment="1"/>
    <xf numFmtId="0" fontId="1687" fillId="0" borderId="1687" xfId="0" applyFont="1" applyBorder="1" applyAlignment="1"/>
    <xf numFmtId="0" fontId="1688" fillId="0" borderId="1688" xfId="0" applyFont="1" applyBorder="1" applyAlignment="1"/>
    <xf numFmtId="0" fontId="1689" fillId="0" borderId="1689" xfId="0" applyFont="1" applyBorder="1" applyAlignment="1"/>
    <xf numFmtId="0" fontId="1690" fillId="0" borderId="1690" xfId="0" applyFont="1" applyBorder="1" applyAlignment="1"/>
    <xf numFmtId="0" fontId="1691" fillId="0" borderId="1691" xfId="0" applyFont="1" applyBorder="1" applyAlignment="1"/>
    <xf numFmtId="0" fontId="1692" fillId="0" borderId="1692" xfId="0" applyFont="1" applyBorder="1" applyAlignment="1"/>
    <xf numFmtId="0" fontId="1693" fillId="0" borderId="1693" xfId="0" applyFont="1" applyBorder="1" applyAlignment="1"/>
    <xf numFmtId="0" fontId="1694" fillId="0" borderId="1694" xfId="0" applyFont="1" applyBorder="1" applyAlignment="1"/>
    <xf numFmtId="0" fontId="1695" fillId="0" borderId="1695" xfId="0" applyFont="1" applyBorder="1" applyAlignment="1"/>
    <xf numFmtId="0" fontId="1696" fillId="0" borderId="1696" xfId="0" applyFont="1" applyBorder="1" applyAlignment="1"/>
    <xf numFmtId="0" fontId="1697" fillId="0" borderId="1697" xfId="0" applyFont="1" applyBorder="1" applyAlignment="1"/>
    <xf numFmtId="0" fontId="1698" fillId="0" borderId="1698" xfId="0" applyFont="1" applyBorder="1" applyAlignment="1"/>
    <xf numFmtId="0" fontId="1699" fillId="0" borderId="1699" xfId="0" applyFont="1" applyBorder="1" applyAlignment="1"/>
    <xf numFmtId="0" fontId="1700" fillId="0" borderId="1700" xfId="0" applyFont="1" applyBorder="1" applyAlignment="1"/>
    <xf numFmtId="0" fontId="1701" fillId="0" borderId="1701" xfId="0" applyFont="1" applyBorder="1" applyAlignment="1"/>
    <xf numFmtId="0" fontId="1702" fillId="0" borderId="1702" xfId="0" applyFont="1" applyBorder="1" applyAlignment="1"/>
    <xf numFmtId="0" fontId="1703" fillId="0" borderId="1703" xfId="0" applyFont="1" applyBorder="1" applyAlignment="1"/>
    <xf numFmtId="0" fontId="1704" fillId="0" borderId="1704" xfId="0" applyFont="1" applyBorder="1" applyAlignment="1"/>
    <xf numFmtId="0" fontId="1705" fillId="0" borderId="1705" xfId="0" applyFont="1" applyBorder="1" applyAlignment="1"/>
    <xf numFmtId="0" fontId="1706" fillId="0" borderId="1706" xfId="0" applyFont="1" applyBorder="1" applyAlignment="1"/>
    <xf numFmtId="0" fontId="1707" fillId="0" borderId="1707" xfId="0" applyFont="1" applyBorder="1" applyAlignment="1"/>
    <xf numFmtId="0" fontId="1708" fillId="0" borderId="1708" xfId="0" applyFont="1" applyBorder="1" applyAlignment="1"/>
    <xf numFmtId="0" fontId="1709" fillId="0" borderId="1709" xfId="0" applyFont="1" applyBorder="1" applyAlignment="1"/>
    <xf numFmtId="0" fontId="1710" fillId="0" borderId="1710" xfId="0" applyFont="1" applyBorder="1" applyAlignment="1"/>
    <xf numFmtId="0" fontId="1711" fillId="0" borderId="1711" xfId="0" applyFont="1" applyBorder="1" applyAlignment="1"/>
    <xf numFmtId="0" fontId="1712" fillId="0" borderId="1712" xfId="0" applyFont="1" applyBorder="1" applyAlignment="1"/>
    <xf numFmtId="0" fontId="1713" fillId="0" borderId="1713" xfId="0" applyFont="1" applyBorder="1" applyAlignment="1"/>
    <xf numFmtId="0" fontId="1714" fillId="0" borderId="1714" xfId="0" applyFont="1" applyBorder="1" applyAlignment="1"/>
    <xf numFmtId="0" fontId="1715" fillId="0" borderId="1715" xfId="0" applyFont="1" applyBorder="1" applyAlignment="1"/>
    <xf numFmtId="0" fontId="1716" fillId="0" borderId="1716" xfId="0" applyFont="1" applyBorder="1" applyAlignment="1"/>
    <xf numFmtId="0" fontId="1717" fillId="0" borderId="1717" xfId="0" applyFont="1" applyBorder="1" applyAlignment="1"/>
    <xf numFmtId="0" fontId="1718" fillId="0" borderId="1718" xfId="0" applyFont="1" applyBorder="1" applyAlignment="1"/>
    <xf numFmtId="0" fontId="1719" fillId="0" borderId="1719" xfId="0" applyFont="1" applyBorder="1" applyAlignment="1"/>
    <xf numFmtId="0" fontId="1720" fillId="0" borderId="1720" xfId="0" applyFont="1" applyBorder="1" applyAlignment="1"/>
    <xf numFmtId="0" fontId="1721" fillId="0" borderId="1721" xfId="0" applyFont="1" applyBorder="1" applyAlignment="1"/>
    <xf numFmtId="0" fontId="1722" fillId="0" borderId="1722" xfId="0" applyFont="1" applyBorder="1" applyAlignment="1"/>
    <xf numFmtId="0" fontId="1723" fillId="0" borderId="1723" xfId="0" applyFont="1" applyBorder="1" applyAlignment="1"/>
    <xf numFmtId="0" fontId="1724" fillId="0" borderId="1724" xfId="0" applyFont="1" applyBorder="1" applyAlignment="1"/>
    <xf numFmtId="0" fontId="1725" fillId="0" borderId="1725" xfId="0" applyFont="1" applyBorder="1" applyAlignment="1"/>
    <xf numFmtId="0" fontId="1726" fillId="0" borderId="1726" xfId="0" applyFont="1" applyBorder="1" applyAlignment="1"/>
    <xf numFmtId="0" fontId="1727" fillId="0" borderId="1727" xfId="0" applyFont="1" applyBorder="1" applyAlignment="1"/>
    <xf numFmtId="0" fontId="1728" fillId="0" borderId="1728" xfId="0" applyFont="1" applyBorder="1" applyAlignment="1"/>
    <xf numFmtId="0" fontId="1729" fillId="0" borderId="1729" xfId="0" applyFont="1" applyBorder="1" applyAlignment="1"/>
    <xf numFmtId="0" fontId="1730" fillId="0" borderId="1730" xfId="0" applyFont="1" applyBorder="1" applyAlignment="1"/>
    <xf numFmtId="0" fontId="1731" fillId="0" borderId="1731" xfId="0" applyFont="1" applyBorder="1" applyAlignment="1"/>
    <xf numFmtId="0" fontId="1732" fillId="0" borderId="1732" xfId="0" applyFont="1" applyBorder="1" applyAlignment="1"/>
    <xf numFmtId="0" fontId="1733" fillId="0" borderId="1733" xfId="0" applyFont="1" applyBorder="1" applyAlignment="1"/>
    <xf numFmtId="0" fontId="1734" fillId="0" borderId="1734" xfId="0" applyFont="1" applyBorder="1" applyAlignment="1"/>
    <xf numFmtId="0" fontId="1735" fillId="0" borderId="1735" xfId="0" applyFont="1" applyBorder="1" applyAlignment="1"/>
    <xf numFmtId="0" fontId="1736" fillId="0" borderId="1736" xfId="0" applyFont="1" applyBorder="1" applyAlignment="1"/>
    <xf numFmtId="0" fontId="1737" fillId="0" borderId="1737" xfId="0" applyFont="1" applyBorder="1" applyAlignment="1"/>
    <xf numFmtId="0" fontId="1738" fillId="0" borderId="1738" xfId="0" applyFont="1" applyBorder="1" applyAlignment="1"/>
    <xf numFmtId="0" fontId="1739" fillId="0" borderId="1739" xfId="0" applyFont="1" applyBorder="1" applyAlignment="1"/>
    <xf numFmtId="0" fontId="1740" fillId="0" borderId="1740" xfId="0" applyFont="1" applyBorder="1" applyAlignment="1"/>
    <xf numFmtId="0" fontId="1741" fillId="0" borderId="1741" xfId="0" applyFont="1" applyBorder="1" applyAlignment="1"/>
    <xf numFmtId="0" fontId="1742" fillId="0" borderId="1742" xfId="0" applyFont="1" applyBorder="1" applyAlignment="1"/>
    <xf numFmtId="0" fontId="1743" fillId="0" borderId="1743" xfId="0" applyFont="1" applyBorder="1" applyAlignment="1"/>
    <xf numFmtId="0" fontId="1744" fillId="0" borderId="1744" xfId="0" applyFont="1" applyBorder="1" applyAlignment="1"/>
    <xf numFmtId="0" fontId="1745" fillId="0" borderId="1745" xfId="0" applyFont="1" applyBorder="1" applyAlignment="1"/>
    <xf numFmtId="0" fontId="1746" fillId="0" borderId="1746" xfId="0" applyFont="1" applyBorder="1" applyAlignment="1"/>
    <xf numFmtId="0" fontId="1747" fillId="0" borderId="1747" xfId="0" applyFont="1" applyBorder="1" applyAlignment="1"/>
    <xf numFmtId="0" fontId="1748" fillId="0" borderId="1748" xfId="0" applyFont="1" applyBorder="1" applyAlignment="1"/>
    <xf numFmtId="0" fontId="1749" fillId="0" borderId="1749" xfId="0" applyFont="1" applyBorder="1" applyAlignment="1"/>
    <xf numFmtId="0" fontId="1750" fillId="0" borderId="1750" xfId="0" applyFont="1" applyBorder="1" applyAlignment="1"/>
    <xf numFmtId="0" fontId="1751" fillId="0" borderId="1751" xfId="0" applyFont="1" applyBorder="1" applyAlignment="1"/>
    <xf numFmtId="0" fontId="1752" fillId="0" borderId="1752" xfId="0" applyFont="1" applyBorder="1" applyAlignment="1"/>
    <xf numFmtId="0" fontId="1753" fillId="0" borderId="1753" xfId="0" applyFont="1" applyBorder="1" applyAlignment="1"/>
    <xf numFmtId="0" fontId="1754" fillId="0" borderId="1754" xfId="0" applyFont="1" applyBorder="1" applyAlignment="1"/>
    <xf numFmtId="0" fontId="1755" fillId="0" borderId="1755" xfId="0" applyFont="1" applyBorder="1" applyAlignment="1"/>
    <xf numFmtId="0" fontId="1756" fillId="0" borderId="1756" xfId="0" applyFont="1" applyBorder="1" applyAlignment="1"/>
    <xf numFmtId="0" fontId="1757" fillId="0" borderId="1757" xfId="0" applyFont="1" applyBorder="1" applyAlignment="1"/>
    <xf numFmtId="0" fontId="1758" fillId="0" borderId="1758" xfId="0" applyFont="1" applyBorder="1" applyAlignment="1"/>
    <xf numFmtId="0" fontId="1759" fillId="0" borderId="1759" xfId="0" applyFont="1" applyBorder="1" applyAlignment="1"/>
    <xf numFmtId="0" fontId="1760" fillId="0" borderId="1760" xfId="0" applyFont="1" applyBorder="1" applyAlignment="1"/>
    <xf numFmtId="0" fontId="1761" fillId="0" borderId="1761" xfId="0" applyFont="1" applyBorder="1" applyAlignment="1"/>
    <xf numFmtId="0" fontId="1762" fillId="0" borderId="1762" xfId="0" applyFont="1" applyBorder="1" applyAlignment="1"/>
    <xf numFmtId="0" fontId="1763" fillId="0" borderId="1763" xfId="0" applyFont="1" applyBorder="1" applyAlignment="1"/>
    <xf numFmtId="0" fontId="1764" fillId="0" borderId="1764" xfId="0" applyFont="1" applyBorder="1" applyAlignment="1"/>
    <xf numFmtId="0" fontId="1765" fillId="0" borderId="1765" xfId="0" applyFont="1" applyBorder="1" applyAlignment="1"/>
    <xf numFmtId="0" fontId="1766" fillId="0" borderId="1766" xfId="0" applyFont="1" applyBorder="1" applyAlignment="1"/>
    <xf numFmtId="0" fontId="1767" fillId="0" borderId="1767" xfId="0" applyFont="1" applyBorder="1" applyAlignment="1"/>
    <xf numFmtId="0" fontId="1768" fillId="0" borderId="1768" xfId="0" applyFont="1" applyBorder="1" applyAlignment="1"/>
    <xf numFmtId="0" fontId="1769" fillId="0" borderId="1769" xfId="0" applyFont="1" applyBorder="1" applyAlignment="1"/>
    <xf numFmtId="0" fontId="1770" fillId="0" borderId="1770" xfId="0" applyFont="1" applyBorder="1" applyAlignment="1"/>
    <xf numFmtId="0" fontId="1771" fillId="0" borderId="1771" xfId="0" applyFont="1" applyBorder="1" applyAlignment="1"/>
    <xf numFmtId="0" fontId="1772" fillId="0" borderId="1772" xfId="0" applyFont="1" applyBorder="1" applyAlignment="1"/>
    <xf numFmtId="0" fontId="1773" fillId="0" borderId="1773" xfId="0" applyFont="1" applyBorder="1" applyAlignment="1"/>
    <xf numFmtId="0" fontId="1774" fillId="0" borderId="1774" xfId="0" applyFont="1" applyBorder="1" applyAlignment="1"/>
    <xf numFmtId="0" fontId="1775" fillId="0" borderId="1775" xfId="0" applyFont="1" applyBorder="1" applyAlignment="1"/>
    <xf numFmtId="0" fontId="1776" fillId="0" borderId="1776" xfId="0" applyFont="1" applyBorder="1" applyAlignment="1"/>
    <xf numFmtId="0" fontId="1777" fillId="0" borderId="1777" xfId="0" applyFont="1" applyBorder="1" applyAlignment="1"/>
    <xf numFmtId="0" fontId="1778" fillId="0" borderId="1778" xfId="0" applyFont="1" applyBorder="1" applyAlignment="1"/>
    <xf numFmtId="0" fontId="1779" fillId="0" borderId="1779" xfId="0" applyFont="1" applyBorder="1" applyAlignment="1"/>
    <xf numFmtId="0" fontId="1780" fillId="0" borderId="1780" xfId="0" applyFont="1" applyBorder="1" applyAlignment="1"/>
    <xf numFmtId="0" fontId="1781" fillId="0" borderId="1781" xfId="0" applyFont="1" applyBorder="1" applyAlignment="1"/>
    <xf numFmtId="0" fontId="1782" fillId="0" borderId="1782" xfId="0" applyFont="1" applyBorder="1" applyAlignment="1"/>
    <xf numFmtId="0" fontId="1783" fillId="0" borderId="1783" xfId="0" applyFont="1" applyBorder="1" applyAlignment="1"/>
    <xf numFmtId="0" fontId="1784" fillId="0" borderId="1784" xfId="0" applyFont="1" applyBorder="1" applyAlignment="1"/>
    <xf numFmtId="0" fontId="1785" fillId="0" borderId="1785" xfId="0" applyFont="1" applyBorder="1" applyAlignment="1"/>
    <xf numFmtId="0" fontId="1786" fillId="0" borderId="1786" xfId="0" applyFont="1" applyBorder="1" applyAlignment="1"/>
    <xf numFmtId="0" fontId="1787" fillId="0" borderId="1787" xfId="0" applyFont="1" applyBorder="1" applyAlignment="1"/>
    <xf numFmtId="0" fontId="1788" fillId="0" borderId="1788" xfId="0" applyFont="1" applyBorder="1" applyAlignment="1"/>
    <xf numFmtId="0" fontId="1789" fillId="0" borderId="1789" xfId="0" applyFont="1" applyBorder="1" applyAlignment="1"/>
    <xf numFmtId="0" fontId="1790" fillId="0" borderId="1790" xfId="0" applyFont="1" applyBorder="1" applyAlignment="1"/>
    <xf numFmtId="0" fontId="1791" fillId="0" borderId="1791" xfId="0" applyFont="1" applyBorder="1" applyAlignment="1"/>
    <xf numFmtId="0" fontId="1792" fillId="0" borderId="1792" xfId="0" applyFont="1" applyBorder="1" applyAlignment="1"/>
    <xf numFmtId="0" fontId="1793" fillId="0" borderId="1793" xfId="0" applyFont="1" applyBorder="1" applyAlignment="1"/>
    <xf numFmtId="0" fontId="1794" fillId="0" borderId="1794" xfId="0" applyFont="1" applyBorder="1" applyAlignment="1"/>
    <xf numFmtId="0" fontId="1795" fillId="0" borderId="1795" xfId="0" applyFont="1" applyBorder="1" applyAlignment="1"/>
    <xf numFmtId="0" fontId="1796" fillId="0" borderId="1796" xfId="0" applyFont="1" applyBorder="1" applyAlignment="1"/>
    <xf numFmtId="0" fontId="1797" fillId="0" borderId="1797" xfId="0" applyFont="1" applyBorder="1" applyAlignment="1"/>
    <xf numFmtId="0" fontId="1798" fillId="0" borderId="1798" xfId="0" applyFont="1" applyBorder="1" applyAlignment="1"/>
    <xf numFmtId="0" fontId="1799" fillId="0" borderId="1799" xfId="0" applyFont="1" applyBorder="1" applyAlignment="1"/>
    <xf numFmtId="0" fontId="1800" fillId="0" borderId="1800" xfId="0" applyFont="1" applyBorder="1" applyAlignment="1"/>
    <xf numFmtId="0" fontId="1801" fillId="0" borderId="1801" xfId="0" applyFont="1" applyBorder="1" applyAlignment="1"/>
    <xf numFmtId="0" fontId="1802" fillId="0" borderId="1802" xfId="0" applyFont="1" applyBorder="1" applyAlignment="1"/>
    <xf numFmtId="0" fontId="1803" fillId="0" borderId="1803" xfId="0" applyFont="1" applyBorder="1" applyAlignment="1"/>
    <xf numFmtId="0" fontId="1804" fillId="0" borderId="1804" xfId="0" applyFont="1" applyBorder="1" applyAlignment="1"/>
    <xf numFmtId="0" fontId="1805" fillId="0" borderId="1805" xfId="0" applyFont="1" applyBorder="1" applyAlignment="1"/>
    <xf numFmtId="0" fontId="1806" fillId="0" borderId="1806" xfId="0" applyFont="1" applyBorder="1" applyAlignment="1"/>
    <xf numFmtId="0" fontId="1807" fillId="0" borderId="1807" xfId="0" applyFont="1" applyBorder="1" applyAlignment="1"/>
    <xf numFmtId="0" fontId="1808" fillId="0" borderId="1808" xfId="0" applyFont="1" applyBorder="1" applyAlignment="1"/>
    <xf numFmtId="0" fontId="1809" fillId="0" borderId="1809" xfId="0" applyFont="1" applyBorder="1" applyAlignment="1"/>
    <xf numFmtId="0" fontId="1810" fillId="0" borderId="1810" xfId="0" applyFont="1" applyBorder="1" applyAlignment="1"/>
    <xf numFmtId="0" fontId="1811" fillId="0" borderId="1811" xfId="0" applyFont="1" applyBorder="1" applyAlignment="1"/>
    <xf numFmtId="0" fontId="1812" fillId="0" borderId="1812" xfId="0" applyFont="1" applyBorder="1" applyAlignment="1"/>
    <xf numFmtId="0" fontId="1813" fillId="0" borderId="1813" xfId="0" applyFont="1" applyBorder="1" applyAlignment="1"/>
    <xf numFmtId="0" fontId="1814" fillId="0" borderId="1814" xfId="0" applyFont="1" applyBorder="1" applyAlignment="1"/>
    <xf numFmtId="0" fontId="1815" fillId="0" borderId="1815" xfId="0" applyFont="1" applyBorder="1" applyAlignment="1"/>
    <xf numFmtId="0" fontId="1816" fillId="0" borderId="1816" xfId="0" applyFont="1" applyBorder="1" applyAlignment="1"/>
    <xf numFmtId="0" fontId="1817" fillId="0" borderId="1817" xfId="0" applyFont="1" applyBorder="1" applyAlignment="1"/>
    <xf numFmtId="0" fontId="1818" fillId="0" borderId="1818" xfId="0" applyFont="1" applyBorder="1" applyAlignment="1"/>
    <xf numFmtId="0" fontId="1819" fillId="0" borderId="1819" xfId="0" applyFont="1" applyBorder="1" applyAlignment="1"/>
    <xf numFmtId="0" fontId="1820" fillId="0" borderId="1820" xfId="0" applyFont="1" applyBorder="1" applyAlignment="1"/>
    <xf numFmtId="0" fontId="1821" fillId="0" borderId="1821" xfId="0" applyFont="1" applyBorder="1" applyAlignment="1"/>
    <xf numFmtId="0" fontId="1822" fillId="0" borderId="1822" xfId="0" applyFont="1" applyBorder="1" applyAlignment="1"/>
    <xf numFmtId="0" fontId="1823" fillId="0" borderId="1823" xfId="0" applyFont="1" applyBorder="1" applyAlignment="1"/>
    <xf numFmtId="0" fontId="1824" fillId="0" borderId="1824" xfId="0" applyFont="1" applyBorder="1" applyAlignment="1"/>
    <xf numFmtId="0" fontId="1825" fillId="0" borderId="1825" xfId="0" applyFont="1" applyBorder="1" applyAlignment="1"/>
    <xf numFmtId="0" fontId="1826" fillId="0" borderId="1826" xfId="0" applyFont="1" applyBorder="1" applyAlignment="1"/>
    <xf numFmtId="0" fontId="1827" fillId="0" borderId="1827" xfId="0" applyFont="1" applyBorder="1" applyAlignment="1"/>
    <xf numFmtId="0" fontId="1828" fillId="0" borderId="1828" xfId="0" applyFont="1" applyBorder="1" applyAlignment="1"/>
    <xf numFmtId="0" fontId="1829" fillId="0" borderId="1829" xfId="0" applyFont="1" applyBorder="1" applyAlignment="1"/>
    <xf numFmtId="0" fontId="1830" fillId="0" borderId="1830" xfId="0" applyFont="1" applyBorder="1" applyAlignment="1"/>
    <xf numFmtId="0" fontId="1831" fillId="0" borderId="1831" xfId="0" applyFont="1" applyBorder="1" applyAlignment="1"/>
    <xf numFmtId="0" fontId="1832" fillId="0" borderId="1832" xfId="0" applyFont="1" applyBorder="1" applyAlignment="1"/>
    <xf numFmtId="0" fontId="1833" fillId="0" borderId="1833" xfId="0" applyFont="1" applyBorder="1" applyAlignment="1"/>
    <xf numFmtId="0" fontId="1834" fillId="0" borderId="1834" xfId="0" applyFont="1" applyBorder="1" applyAlignment="1"/>
    <xf numFmtId="0" fontId="1835" fillId="0" borderId="1835" xfId="0" applyFont="1" applyBorder="1" applyAlignment="1"/>
    <xf numFmtId="0" fontId="1836" fillId="0" borderId="1836" xfId="0" applyFont="1" applyBorder="1" applyAlignment="1"/>
    <xf numFmtId="0" fontId="1837" fillId="0" borderId="1837" xfId="0" applyFont="1" applyBorder="1" applyAlignment="1"/>
    <xf numFmtId="0" fontId="1838" fillId="0" borderId="1838" xfId="0" applyFont="1" applyBorder="1" applyAlignment="1"/>
    <xf numFmtId="0" fontId="1839" fillId="0" borderId="1839" xfId="0" applyFont="1" applyBorder="1" applyAlignment="1"/>
    <xf numFmtId="0" fontId="1840" fillId="0" borderId="1840" xfId="0" applyFont="1" applyBorder="1" applyAlignment="1"/>
    <xf numFmtId="0" fontId="1841" fillId="0" borderId="1841" xfId="0" applyFont="1" applyBorder="1" applyAlignment="1"/>
    <xf numFmtId="0" fontId="1842" fillId="0" borderId="1842" xfId="0" applyFont="1" applyBorder="1" applyAlignment="1"/>
    <xf numFmtId="0" fontId="1843" fillId="0" borderId="1843" xfId="0" applyFont="1" applyBorder="1" applyAlignment="1"/>
    <xf numFmtId="0" fontId="1844" fillId="0" borderId="1844" xfId="0" applyFont="1" applyBorder="1" applyAlignment="1"/>
    <xf numFmtId="0" fontId="1845" fillId="0" borderId="1845" xfId="0" applyFont="1" applyBorder="1" applyAlignment="1"/>
    <xf numFmtId="0" fontId="1846" fillId="0" borderId="1846" xfId="0" applyFont="1" applyBorder="1" applyAlignment="1"/>
    <xf numFmtId="0" fontId="1847" fillId="0" borderId="1847" xfId="0" applyFont="1" applyBorder="1" applyAlignment="1"/>
    <xf numFmtId="0" fontId="1848" fillId="0" borderId="1848" xfId="0" applyFont="1" applyBorder="1" applyAlignment="1"/>
    <xf numFmtId="0" fontId="1849" fillId="0" borderId="1849" xfId="0" applyFont="1" applyBorder="1" applyAlignment="1"/>
    <xf numFmtId="0" fontId="1850" fillId="0" borderId="1850" xfId="0" applyFont="1" applyBorder="1" applyAlignment="1"/>
    <xf numFmtId="0" fontId="1851" fillId="0" borderId="1851" xfId="0" applyFont="1" applyBorder="1" applyAlignment="1"/>
    <xf numFmtId="0" fontId="1852" fillId="0" borderId="1852" xfId="0" applyFont="1" applyBorder="1" applyAlignment="1"/>
    <xf numFmtId="0" fontId="1853" fillId="0" borderId="1853" xfId="0" applyFont="1" applyBorder="1" applyAlignment="1"/>
    <xf numFmtId="0" fontId="1854" fillId="0" borderId="1854" xfId="0" applyFont="1" applyBorder="1" applyAlignment="1"/>
    <xf numFmtId="0" fontId="1855" fillId="0" borderId="1855" xfId="0" applyFont="1" applyBorder="1" applyAlignment="1"/>
    <xf numFmtId="0" fontId="1856" fillId="0" borderId="1856" xfId="0" applyFont="1" applyBorder="1" applyAlignment="1"/>
    <xf numFmtId="0" fontId="1857" fillId="0" borderId="1857" xfId="0" applyFont="1" applyBorder="1" applyAlignment="1"/>
    <xf numFmtId="0" fontId="1858" fillId="0" borderId="1858" xfId="0" applyFont="1" applyBorder="1" applyAlignment="1"/>
    <xf numFmtId="0" fontId="1859" fillId="0" borderId="1859" xfId="0" applyFont="1" applyBorder="1" applyAlignment="1"/>
    <xf numFmtId="0" fontId="1860" fillId="0" borderId="1860" xfId="0" applyFont="1" applyBorder="1" applyAlignment="1"/>
    <xf numFmtId="0" fontId="1861" fillId="0" borderId="1861" xfId="0" applyFont="1" applyBorder="1" applyAlignment="1"/>
    <xf numFmtId="0" fontId="1862" fillId="0" borderId="1862" xfId="0" applyFont="1" applyBorder="1" applyAlignment="1"/>
    <xf numFmtId="0" fontId="1863" fillId="0" borderId="1863" xfId="0" applyFont="1" applyBorder="1" applyAlignment="1"/>
    <xf numFmtId="0" fontId="1864" fillId="0" borderId="1864" xfId="0" applyFont="1" applyBorder="1" applyAlignment="1"/>
    <xf numFmtId="0" fontId="1865" fillId="0" borderId="1865" xfId="0" applyFont="1" applyBorder="1" applyAlignment="1"/>
    <xf numFmtId="0" fontId="1866" fillId="0" borderId="1866" xfId="0" applyFont="1" applyBorder="1" applyAlignment="1"/>
    <xf numFmtId="0" fontId="1867" fillId="0" borderId="1867" xfId="0" applyFont="1" applyBorder="1" applyAlignment="1"/>
    <xf numFmtId="0" fontId="1868" fillId="0" borderId="1868" xfId="0" applyFont="1" applyBorder="1" applyAlignment="1"/>
    <xf numFmtId="0" fontId="1869" fillId="0" borderId="1869" xfId="0" applyFont="1" applyBorder="1" applyAlignment="1"/>
    <xf numFmtId="0" fontId="1870" fillId="0" borderId="1870" xfId="0" applyFont="1" applyBorder="1" applyAlignment="1"/>
    <xf numFmtId="0" fontId="1871" fillId="0" borderId="1871" xfId="0" applyFont="1" applyBorder="1" applyAlignment="1"/>
    <xf numFmtId="0" fontId="1872" fillId="0" borderId="1872" xfId="0" applyFont="1" applyBorder="1" applyAlignment="1"/>
    <xf numFmtId="0" fontId="1873" fillId="0" borderId="1873" xfId="0" applyFont="1" applyBorder="1" applyAlignment="1"/>
    <xf numFmtId="0" fontId="1874" fillId="0" borderId="1874" xfId="0" applyFont="1" applyBorder="1" applyAlignment="1"/>
    <xf numFmtId="0" fontId="1875" fillId="0" borderId="1875" xfId="0" applyFont="1" applyBorder="1" applyAlignment="1"/>
    <xf numFmtId="0" fontId="1876" fillId="0" borderId="1876" xfId="0" applyFont="1" applyBorder="1" applyAlignment="1"/>
    <xf numFmtId="0" fontId="1877" fillId="0" borderId="1877" xfId="0" applyFont="1" applyBorder="1" applyAlignment="1"/>
    <xf numFmtId="0" fontId="1878" fillId="0" borderId="1878" xfId="0" applyFont="1" applyBorder="1" applyAlignment="1"/>
    <xf numFmtId="0" fontId="1879" fillId="0" borderId="1879" xfId="0" applyFont="1" applyBorder="1" applyAlignment="1"/>
    <xf numFmtId="0" fontId="1880" fillId="0" borderId="1880" xfId="0" applyFont="1" applyBorder="1" applyAlignment="1"/>
    <xf numFmtId="0" fontId="1881" fillId="0" borderId="1881" xfId="0" applyFont="1" applyBorder="1" applyAlignment="1"/>
    <xf numFmtId="0" fontId="1882" fillId="0" borderId="1882" xfId="0" applyFont="1" applyBorder="1" applyAlignment="1"/>
    <xf numFmtId="0" fontId="1883" fillId="0" borderId="1883" xfId="0" applyFont="1" applyBorder="1" applyAlignment="1"/>
    <xf numFmtId="0" fontId="1884" fillId="0" borderId="1884" xfId="0" applyFont="1" applyBorder="1" applyAlignment="1"/>
    <xf numFmtId="0" fontId="1885" fillId="0" borderId="1885" xfId="0" applyFont="1" applyBorder="1" applyAlignment="1"/>
    <xf numFmtId="0" fontId="1886" fillId="0" borderId="1886" xfId="0" applyFont="1" applyBorder="1" applyAlignment="1"/>
    <xf numFmtId="0" fontId="1887" fillId="0" borderId="1887" xfId="0" applyFont="1" applyBorder="1" applyAlignment="1"/>
    <xf numFmtId="0" fontId="1888" fillId="0" borderId="1888" xfId="0" applyFont="1" applyBorder="1" applyAlignment="1"/>
    <xf numFmtId="0" fontId="1889" fillId="0" borderId="1889" xfId="0" applyFont="1" applyBorder="1" applyAlignment="1"/>
    <xf numFmtId="0" fontId="1890" fillId="0" borderId="1890" xfId="0" applyFont="1" applyBorder="1" applyAlignment="1"/>
    <xf numFmtId="0" fontId="1891" fillId="0" borderId="1891" xfId="0" applyFont="1" applyBorder="1" applyAlignment="1"/>
    <xf numFmtId="0" fontId="1892" fillId="0" borderId="1892" xfId="0" applyFont="1" applyBorder="1" applyAlignment="1"/>
    <xf numFmtId="0" fontId="1893" fillId="0" borderId="1893" xfId="0" applyFont="1" applyBorder="1" applyAlignment="1"/>
    <xf numFmtId="0" fontId="1894" fillId="0" borderId="1894" xfId="0" applyFont="1" applyBorder="1" applyAlignment="1"/>
    <xf numFmtId="0" fontId="1895" fillId="0" borderId="1895" xfId="0" applyFont="1" applyBorder="1" applyAlignment="1"/>
    <xf numFmtId="0" fontId="1896" fillId="0" borderId="1896" xfId="0" applyFont="1" applyBorder="1" applyAlignment="1"/>
    <xf numFmtId="0" fontId="1897" fillId="0" borderId="1897" xfId="0" applyFont="1" applyBorder="1" applyAlignment="1"/>
    <xf numFmtId="0" fontId="1898" fillId="0" borderId="1898" xfId="0" applyFont="1" applyBorder="1" applyAlignment="1"/>
    <xf numFmtId="0" fontId="1899" fillId="0" borderId="1899" xfId="0" applyFont="1" applyBorder="1" applyAlignment="1"/>
    <xf numFmtId="0" fontId="1900" fillId="0" borderId="1900" xfId="0" applyFont="1" applyBorder="1" applyAlignment="1"/>
    <xf numFmtId="0" fontId="1901" fillId="0" borderId="1901" xfId="0" applyFont="1" applyBorder="1" applyAlignment="1"/>
    <xf numFmtId="0" fontId="1902" fillId="0" borderId="1902" xfId="0" applyFont="1" applyBorder="1" applyAlignment="1"/>
    <xf numFmtId="0" fontId="1903" fillId="0" borderId="1903" xfId="0" applyFont="1" applyBorder="1" applyAlignment="1"/>
    <xf numFmtId="0" fontId="1904" fillId="0" borderId="1904" xfId="0" applyFont="1" applyBorder="1" applyAlignment="1"/>
    <xf numFmtId="0" fontId="1905" fillId="0" borderId="1905" xfId="0" applyFont="1" applyBorder="1" applyAlignment="1"/>
    <xf numFmtId="0" fontId="1906" fillId="0" borderId="1906" xfId="0" applyFont="1" applyBorder="1" applyAlignment="1"/>
    <xf numFmtId="0" fontId="1907" fillId="0" borderId="1907" xfId="0" applyFont="1" applyBorder="1" applyAlignment="1"/>
    <xf numFmtId="0" fontId="1908" fillId="0" borderId="1908" xfId="0" applyFont="1" applyBorder="1" applyAlignment="1"/>
    <xf numFmtId="0" fontId="1909" fillId="0" borderId="1909" xfId="0" applyFont="1" applyBorder="1" applyAlignment="1"/>
    <xf numFmtId="0" fontId="1910" fillId="0" borderId="1910" xfId="0" applyFont="1" applyBorder="1" applyAlignment="1"/>
    <xf numFmtId="0" fontId="1911" fillId="0" borderId="1911" xfId="0" applyFont="1" applyBorder="1" applyAlignment="1"/>
    <xf numFmtId="0" fontId="1912" fillId="0" borderId="1912" xfId="0" applyFont="1" applyBorder="1" applyAlignment="1"/>
    <xf numFmtId="0" fontId="1913" fillId="0" borderId="1913" xfId="0" applyFont="1" applyBorder="1" applyAlignment="1"/>
    <xf numFmtId="0" fontId="1914" fillId="0" borderId="1914" xfId="0" applyFont="1" applyBorder="1" applyAlignment="1"/>
    <xf numFmtId="0" fontId="1915" fillId="0" borderId="1915" xfId="0" applyFont="1" applyBorder="1" applyAlignment="1"/>
    <xf numFmtId="0" fontId="1916" fillId="0" borderId="1916" xfId="0" applyFont="1" applyBorder="1" applyAlignment="1"/>
    <xf numFmtId="0" fontId="1917" fillId="0" borderId="1917" xfId="0" applyFont="1" applyBorder="1" applyAlignment="1"/>
    <xf numFmtId="0" fontId="1918" fillId="0" borderId="1918" xfId="0" applyFont="1" applyBorder="1" applyAlignment="1"/>
    <xf numFmtId="0" fontId="1919" fillId="0" borderId="1919" xfId="0" applyFont="1" applyBorder="1" applyAlignment="1"/>
    <xf numFmtId="0" fontId="1920" fillId="0" borderId="1920" xfId="0" applyFont="1" applyBorder="1" applyAlignment="1"/>
    <xf numFmtId="0" fontId="1921" fillId="0" borderId="1921" xfId="0" applyFont="1" applyBorder="1" applyAlignment="1"/>
    <xf numFmtId="0" fontId="1922" fillId="0" borderId="1922" xfId="0" applyFont="1" applyBorder="1" applyAlignment="1"/>
    <xf numFmtId="0" fontId="1923" fillId="0" borderId="1923" xfId="0" applyFont="1" applyBorder="1" applyAlignment="1"/>
    <xf numFmtId="0" fontId="1924" fillId="0" borderId="1924" xfId="0" applyFont="1" applyBorder="1" applyAlignment="1"/>
    <xf numFmtId="0" fontId="1925" fillId="0" borderId="1925" xfId="0" applyFont="1" applyBorder="1" applyAlignment="1"/>
    <xf numFmtId="0" fontId="1926" fillId="0" borderId="1926" xfId="0" applyFont="1" applyBorder="1" applyAlignment="1"/>
    <xf numFmtId="0" fontId="1927" fillId="0" borderId="1927" xfId="0" applyFont="1" applyBorder="1" applyAlignment="1"/>
    <xf numFmtId="0" fontId="1928" fillId="0" borderId="1928" xfId="0" applyFont="1" applyBorder="1" applyAlignment="1"/>
    <xf numFmtId="0" fontId="1929" fillId="0" borderId="1929" xfId="0" applyFont="1" applyBorder="1" applyAlignment="1"/>
    <xf numFmtId="0" fontId="1930" fillId="0" borderId="1930" xfId="0" applyFont="1" applyBorder="1" applyAlignment="1"/>
    <xf numFmtId="0" fontId="1931" fillId="0" borderId="1931" xfId="0" applyFont="1" applyBorder="1" applyAlignment="1"/>
    <xf numFmtId="0" fontId="1932" fillId="0" borderId="1932" xfId="0" applyFont="1" applyBorder="1" applyAlignment="1"/>
    <xf numFmtId="0" fontId="1933" fillId="0" borderId="1933" xfId="0" applyFont="1" applyBorder="1" applyAlignment="1"/>
    <xf numFmtId="0" fontId="1934" fillId="0" borderId="1934" xfId="0" applyFont="1" applyBorder="1" applyAlignment="1"/>
    <xf numFmtId="0" fontId="1935" fillId="0" borderId="1935" xfId="0" applyFont="1" applyBorder="1" applyAlignment="1"/>
    <xf numFmtId="0" fontId="1936" fillId="0" borderId="1936" xfId="0" applyFont="1" applyBorder="1" applyAlignment="1"/>
    <xf numFmtId="0" fontId="1937" fillId="0" borderId="1937" xfId="0" applyFont="1" applyBorder="1" applyAlignment="1"/>
    <xf numFmtId="0" fontId="1938" fillId="0" borderId="1938" xfId="0" applyFont="1" applyBorder="1" applyAlignment="1"/>
    <xf numFmtId="0" fontId="1939" fillId="0" borderId="1939" xfId="0" applyFont="1" applyBorder="1" applyAlignment="1"/>
    <xf numFmtId="0" fontId="1940" fillId="0" borderId="1940" xfId="0" applyFont="1" applyBorder="1" applyAlignment="1"/>
    <xf numFmtId="0" fontId="1941" fillId="0" borderId="1941" xfId="0" applyFont="1" applyBorder="1" applyAlignment="1"/>
    <xf numFmtId="0" fontId="1942" fillId="0" borderId="1942" xfId="0" applyFont="1" applyBorder="1" applyAlignment="1"/>
    <xf numFmtId="0" fontId="1943" fillId="0" borderId="1943" xfId="0" applyFont="1" applyBorder="1" applyAlignment="1"/>
    <xf numFmtId="0" fontId="1944" fillId="0" borderId="1944" xfId="0" applyFont="1" applyBorder="1" applyAlignment="1"/>
    <xf numFmtId="0" fontId="1945" fillId="0" borderId="1945" xfId="0" applyFont="1" applyBorder="1" applyAlignment="1"/>
    <xf numFmtId="0" fontId="1946" fillId="0" borderId="1946" xfId="0" applyFont="1" applyBorder="1" applyAlignment="1"/>
    <xf numFmtId="0" fontId="1947" fillId="0" borderId="1947" xfId="0" applyFont="1" applyBorder="1" applyAlignment="1"/>
    <xf numFmtId="0" fontId="1948" fillId="0" borderId="1948" xfId="0" applyFont="1" applyBorder="1" applyAlignment="1"/>
    <xf numFmtId="0" fontId="1949" fillId="0" borderId="1949" xfId="0" applyFont="1" applyBorder="1" applyAlignment="1"/>
    <xf numFmtId="0" fontId="1950" fillId="0" borderId="1950" xfId="0" applyFont="1" applyBorder="1" applyAlignment="1"/>
    <xf numFmtId="0" fontId="1951" fillId="0" borderId="1951" xfId="0" applyFont="1" applyBorder="1" applyAlignment="1"/>
    <xf numFmtId="0" fontId="1952" fillId="0" borderId="1952" xfId="0" applyFont="1" applyBorder="1" applyAlignment="1"/>
    <xf numFmtId="0" fontId="1953" fillId="0" borderId="1953" xfId="0" applyFont="1" applyBorder="1" applyAlignment="1"/>
    <xf numFmtId="0" fontId="1954" fillId="0" borderId="1954" xfId="0" applyFont="1" applyBorder="1" applyAlignment="1"/>
    <xf numFmtId="0" fontId="1955" fillId="0" borderId="1955" xfId="0" applyFont="1" applyBorder="1" applyAlignment="1"/>
    <xf numFmtId="0" fontId="1956" fillId="0" borderId="1956" xfId="0" applyFont="1" applyBorder="1" applyAlignment="1"/>
    <xf numFmtId="0" fontId="1957" fillId="0" borderId="1957" xfId="0" applyFont="1" applyBorder="1" applyAlignment="1"/>
    <xf numFmtId="0" fontId="1958" fillId="0" borderId="1958" xfId="0" applyFont="1" applyBorder="1" applyAlignment="1"/>
    <xf numFmtId="0" fontId="1959" fillId="0" borderId="1959" xfId="0" applyFont="1" applyBorder="1" applyAlignment="1"/>
    <xf numFmtId="0" fontId="1960" fillId="0" borderId="1960" xfId="0" applyFont="1" applyBorder="1" applyAlignment="1"/>
    <xf numFmtId="0" fontId="1961" fillId="0" borderId="1961" xfId="0" applyFont="1" applyBorder="1" applyAlignment="1"/>
    <xf numFmtId="0" fontId="1962" fillId="0" borderId="1962" xfId="0" applyFont="1" applyBorder="1" applyAlignment="1"/>
    <xf numFmtId="0" fontId="1963" fillId="0" borderId="1963" xfId="0" applyFont="1" applyBorder="1" applyAlignment="1"/>
    <xf numFmtId="0" fontId="1964" fillId="0" borderId="1964" xfId="0" applyFont="1" applyBorder="1" applyAlignment="1"/>
    <xf numFmtId="0" fontId="1965" fillId="0" borderId="1965" xfId="0" applyFont="1" applyBorder="1" applyAlignment="1"/>
    <xf numFmtId="0" fontId="1966" fillId="0" borderId="1966" xfId="0" applyFont="1" applyBorder="1" applyAlignment="1"/>
    <xf numFmtId="0" fontId="1967" fillId="0" borderId="1967" xfId="0" applyFont="1" applyBorder="1" applyAlignment="1"/>
    <xf numFmtId="0" fontId="1968" fillId="0" borderId="1968" xfId="0" applyFont="1" applyBorder="1" applyAlignment="1"/>
    <xf numFmtId="0" fontId="1969" fillId="0" borderId="1969" xfId="0" applyFont="1" applyBorder="1" applyAlignment="1"/>
    <xf numFmtId="0" fontId="1970" fillId="0" borderId="1970" xfId="0" applyFont="1" applyBorder="1" applyAlignment="1"/>
    <xf numFmtId="0" fontId="1971" fillId="0" borderId="1971" xfId="0" applyFont="1" applyBorder="1" applyAlignment="1"/>
    <xf numFmtId="0" fontId="1972" fillId="0" borderId="1972" xfId="0" applyFont="1" applyBorder="1" applyAlignment="1"/>
    <xf numFmtId="0" fontId="1973" fillId="0" borderId="1973" xfId="0" applyFont="1" applyBorder="1" applyAlignment="1"/>
    <xf numFmtId="0" fontId="1974" fillId="0" borderId="1974" xfId="0" applyFont="1" applyBorder="1" applyAlignment="1"/>
    <xf numFmtId="0" fontId="1975" fillId="0" borderId="1975" xfId="0" applyFont="1" applyBorder="1" applyAlignment="1"/>
    <xf numFmtId="0" fontId="1976" fillId="0" borderId="1976" xfId="0" applyFont="1" applyBorder="1" applyAlignment="1"/>
    <xf numFmtId="0" fontId="1977" fillId="0" borderId="1977" xfId="0" applyFont="1" applyBorder="1" applyAlignment="1"/>
    <xf numFmtId="0" fontId="1978" fillId="0" borderId="1978" xfId="0" applyFont="1" applyBorder="1" applyAlignment="1"/>
    <xf numFmtId="0" fontId="1979" fillId="0" borderId="1979" xfId="0" applyFont="1" applyBorder="1" applyAlignment="1"/>
    <xf numFmtId="0" fontId="1980" fillId="0" borderId="1980" xfId="0" applyFont="1" applyBorder="1" applyAlignment="1"/>
    <xf numFmtId="0" fontId="1981" fillId="0" borderId="1981" xfId="0" applyFont="1" applyBorder="1" applyAlignment="1"/>
    <xf numFmtId="0" fontId="1982" fillId="0" borderId="1982" xfId="0" applyFont="1" applyBorder="1" applyAlignment="1"/>
    <xf numFmtId="0" fontId="1983" fillId="0" borderId="1983" xfId="0" applyFont="1" applyBorder="1" applyAlignment="1"/>
    <xf numFmtId="0" fontId="1984" fillId="0" borderId="1984" xfId="0" applyFont="1" applyBorder="1" applyAlignment="1"/>
    <xf numFmtId="0" fontId="1985" fillId="0" borderId="1985" xfId="0" applyFont="1" applyBorder="1" applyAlignment="1"/>
    <xf numFmtId="0" fontId="1986" fillId="0" borderId="1986" xfId="0" applyFont="1" applyBorder="1" applyAlignment="1"/>
    <xf numFmtId="0" fontId="1987" fillId="0" borderId="1987" xfId="0" applyFont="1" applyBorder="1" applyAlignment="1"/>
    <xf numFmtId="0" fontId="1988" fillId="0" borderId="1988" xfId="0" applyFont="1" applyBorder="1" applyAlignment="1"/>
    <xf numFmtId="0" fontId="1989" fillId="0" borderId="1989" xfId="0" applyFont="1" applyBorder="1" applyAlignment="1"/>
    <xf numFmtId="0" fontId="1990" fillId="0" borderId="1990" xfId="0" applyFont="1" applyBorder="1" applyAlignment="1"/>
    <xf numFmtId="0" fontId="1991" fillId="0" borderId="1991" xfId="0" applyFont="1" applyBorder="1" applyAlignment="1"/>
    <xf numFmtId="0" fontId="1992" fillId="0" borderId="1992" xfId="0" applyFont="1" applyBorder="1" applyAlignment="1"/>
    <xf numFmtId="0" fontId="1993" fillId="0" borderId="1993" xfId="0" applyFont="1" applyBorder="1" applyAlignment="1"/>
    <xf numFmtId="0" fontId="1994" fillId="0" borderId="1994" xfId="0" applyFont="1" applyBorder="1" applyAlignment="1"/>
    <xf numFmtId="0" fontId="1995" fillId="0" borderId="1995" xfId="0" applyFont="1" applyBorder="1" applyAlignment="1"/>
    <xf numFmtId="0" fontId="1996" fillId="0" borderId="1996" xfId="0" applyFont="1" applyBorder="1" applyAlignment="1"/>
    <xf numFmtId="0" fontId="1997" fillId="0" borderId="1997" xfId="0" applyFont="1" applyBorder="1" applyAlignment="1"/>
    <xf numFmtId="0" fontId="1998" fillId="0" borderId="1998" xfId="0" applyFont="1" applyBorder="1" applyAlignment="1"/>
    <xf numFmtId="0" fontId="1999" fillId="0" borderId="1999" xfId="0" applyFont="1" applyBorder="1" applyAlignment="1"/>
    <xf numFmtId="0" fontId="2000" fillId="0" borderId="2000" xfId="0" applyFont="1" applyBorder="1" applyAlignment="1"/>
    <xf numFmtId="0" fontId="2001" fillId="0" borderId="2001" xfId="0" applyFont="1" applyBorder="1" applyAlignment="1"/>
    <xf numFmtId="0" fontId="2002" fillId="0" borderId="2002" xfId="0" applyFont="1" applyBorder="1" applyAlignment="1"/>
    <xf numFmtId="0" fontId="2003" fillId="0" borderId="2003" xfId="0" applyFont="1" applyBorder="1" applyAlignment="1"/>
    <xf numFmtId="0" fontId="2004" fillId="0" borderId="2004" xfId="0" applyFont="1" applyBorder="1" applyAlignment="1"/>
    <xf numFmtId="0" fontId="2005" fillId="0" borderId="2005" xfId="0" applyFont="1" applyBorder="1" applyAlignment="1"/>
    <xf numFmtId="0" fontId="2006" fillId="0" borderId="2006" xfId="0" applyFont="1" applyBorder="1" applyAlignment="1"/>
    <xf numFmtId="0" fontId="2007" fillId="0" borderId="2007" xfId="0" applyFont="1" applyBorder="1" applyAlignment="1"/>
    <xf numFmtId="0" fontId="2008" fillId="0" borderId="2008" xfId="0" applyFont="1" applyBorder="1" applyAlignment="1"/>
    <xf numFmtId="0" fontId="2009" fillId="0" borderId="2009" xfId="0" applyFont="1" applyBorder="1" applyAlignment="1"/>
    <xf numFmtId="0" fontId="2010" fillId="0" borderId="2010" xfId="0" applyFont="1" applyBorder="1" applyAlignment="1"/>
    <xf numFmtId="0" fontId="2011" fillId="0" borderId="2011" xfId="0" applyFont="1" applyBorder="1" applyAlignment="1"/>
    <xf numFmtId="0" fontId="2012" fillId="0" borderId="2012" xfId="0" applyFont="1" applyBorder="1" applyAlignment="1"/>
    <xf numFmtId="0" fontId="2013" fillId="0" borderId="2013" xfId="0" applyFont="1" applyBorder="1" applyAlignment="1"/>
    <xf numFmtId="0" fontId="2014" fillId="0" borderId="2014" xfId="0" applyFont="1" applyBorder="1" applyAlignment="1"/>
    <xf numFmtId="0" fontId="2015" fillId="0" borderId="2015" xfId="0" applyFont="1" applyBorder="1" applyAlignment="1"/>
    <xf numFmtId="0" fontId="2016" fillId="0" borderId="2016" xfId="0" applyFont="1" applyBorder="1" applyAlignment="1"/>
    <xf numFmtId="0" fontId="2017" fillId="0" borderId="2017" xfId="0" applyFont="1" applyBorder="1" applyAlignment="1"/>
    <xf numFmtId="0" fontId="2018" fillId="0" borderId="2018" xfId="0" applyFont="1" applyBorder="1" applyAlignment="1"/>
    <xf numFmtId="0" fontId="2019" fillId="0" borderId="2019" xfId="0" applyFont="1" applyBorder="1" applyAlignment="1"/>
    <xf numFmtId="0" fontId="2020" fillId="0" borderId="2020" xfId="0" applyFont="1" applyBorder="1" applyAlignment="1"/>
    <xf numFmtId="0" fontId="2021" fillId="0" borderId="2021" xfId="0" applyFont="1" applyBorder="1" applyAlignment="1"/>
    <xf numFmtId="0" fontId="2022" fillId="0" borderId="2022" xfId="0" applyFont="1" applyBorder="1" applyAlignment="1"/>
    <xf numFmtId="0" fontId="2023" fillId="0" borderId="2023" xfId="0" applyFont="1" applyBorder="1" applyAlignment="1"/>
    <xf numFmtId="0" fontId="2024" fillId="0" borderId="2024" xfId="0" applyFont="1" applyBorder="1" applyAlignment="1"/>
    <xf numFmtId="0" fontId="2025" fillId="0" borderId="2025" xfId="0" applyFont="1" applyBorder="1" applyAlignment="1"/>
    <xf numFmtId="0" fontId="2026" fillId="0" borderId="2026" xfId="0" applyFont="1" applyBorder="1" applyAlignment="1"/>
    <xf numFmtId="0" fontId="2027" fillId="0" borderId="2027" xfId="0" applyFont="1" applyBorder="1" applyAlignment="1"/>
    <xf numFmtId="0" fontId="2028" fillId="0" borderId="2028" xfId="0" applyFont="1" applyBorder="1" applyAlignment="1"/>
    <xf numFmtId="0" fontId="2029" fillId="0" borderId="2029" xfId="0" applyFont="1" applyBorder="1" applyAlignment="1"/>
    <xf numFmtId="0" fontId="2030" fillId="0" borderId="2030" xfId="0" applyFont="1" applyBorder="1" applyAlignment="1"/>
    <xf numFmtId="0" fontId="2031" fillId="0" borderId="2031" xfId="0" applyFont="1" applyBorder="1" applyAlignment="1"/>
    <xf numFmtId="0" fontId="2032" fillId="0" borderId="2032" xfId="0" applyFont="1" applyBorder="1" applyAlignment="1"/>
    <xf numFmtId="0" fontId="2033" fillId="0" borderId="2033" xfId="0" applyFont="1" applyBorder="1" applyAlignment="1"/>
    <xf numFmtId="0" fontId="2034" fillId="0" borderId="2034" xfId="0" applyFont="1" applyBorder="1" applyAlignment="1"/>
    <xf numFmtId="0" fontId="2035" fillId="0" borderId="2035" xfId="0" applyFont="1" applyBorder="1" applyAlignment="1"/>
    <xf numFmtId="0" fontId="2036" fillId="0" borderId="2036" xfId="0" applyFont="1" applyBorder="1" applyAlignment="1"/>
    <xf numFmtId="0" fontId="2037" fillId="0" borderId="2037" xfId="0" applyFont="1" applyBorder="1" applyAlignment="1"/>
    <xf numFmtId="0" fontId="2038" fillId="0" borderId="2038" xfId="0" applyFont="1" applyBorder="1" applyAlignment="1"/>
    <xf numFmtId="0" fontId="2039" fillId="0" borderId="2039" xfId="0" applyFont="1" applyBorder="1" applyAlignment="1"/>
    <xf numFmtId="0" fontId="2040" fillId="0" borderId="2040" xfId="0" applyFont="1" applyBorder="1" applyAlignment="1"/>
    <xf numFmtId="0" fontId="2041" fillId="0" borderId="2041" xfId="0" applyFont="1" applyBorder="1" applyAlignment="1"/>
    <xf numFmtId="0" fontId="2042" fillId="0" borderId="2042" xfId="0" applyFont="1" applyBorder="1" applyAlignment="1"/>
    <xf numFmtId="0" fontId="2043" fillId="0" borderId="2043" xfId="0" applyFont="1" applyBorder="1" applyAlignment="1"/>
    <xf numFmtId="0" fontId="2044" fillId="0" borderId="2044" xfId="0" applyFont="1" applyBorder="1" applyAlignment="1"/>
    <xf numFmtId="0" fontId="2045" fillId="0" borderId="2045" xfId="0" applyFont="1" applyBorder="1" applyAlignment="1"/>
    <xf numFmtId="0" fontId="2046" fillId="0" borderId="2046" xfId="0" applyFont="1" applyBorder="1" applyAlignment="1"/>
    <xf numFmtId="0" fontId="2047" fillId="0" borderId="2047" xfId="0" applyFont="1" applyBorder="1" applyAlignment="1"/>
    <xf numFmtId="0" fontId="2048" fillId="0" borderId="2048" xfId="0" applyFont="1" applyBorder="1" applyAlignment="1"/>
    <xf numFmtId="0" fontId="2049" fillId="0" borderId="2049" xfId="0" applyFont="1" applyBorder="1" applyAlignment="1"/>
    <xf numFmtId="0" fontId="2050" fillId="0" borderId="2050" xfId="0" applyFont="1" applyBorder="1" applyAlignment="1"/>
    <xf numFmtId="0" fontId="2051" fillId="0" borderId="2051" xfId="0" applyFont="1" applyBorder="1" applyAlignment="1"/>
    <xf numFmtId="0" fontId="2052" fillId="0" borderId="2052" xfId="0" applyFont="1" applyBorder="1" applyAlignment="1"/>
    <xf numFmtId="0" fontId="2053" fillId="0" borderId="2053" xfId="0" applyFont="1" applyBorder="1" applyAlignment="1"/>
    <xf numFmtId="0" fontId="2054" fillId="0" borderId="2054" xfId="0" applyFont="1" applyBorder="1" applyAlignment="1"/>
    <xf numFmtId="0" fontId="2055" fillId="0" borderId="2055" xfId="0" applyFont="1" applyBorder="1" applyAlignment="1"/>
    <xf numFmtId="0" fontId="2056" fillId="0" borderId="2056" xfId="0" applyFont="1" applyBorder="1" applyAlignment="1"/>
    <xf numFmtId="0" fontId="2057" fillId="0" borderId="2057" xfId="0" applyFont="1" applyBorder="1" applyAlignment="1"/>
    <xf numFmtId="0" fontId="2058" fillId="0" borderId="2058" xfId="0" applyFont="1" applyBorder="1" applyAlignment="1"/>
    <xf numFmtId="0" fontId="2059" fillId="0" borderId="2059" xfId="0" applyFont="1" applyBorder="1" applyAlignment="1"/>
    <xf numFmtId="0" fontId="2060" fillId="0" borderId="2060" xfId="0" applyFont="1" applyBorder="1" applyAlignment="1"/>
    <xf numFmtId="0" fontId="2061" fillId="0" borderId="2061" xfId="0" applyFont="1" applyBorder="1" applyAlignment="1"/>
    <xf numFmtId="0" fontId="2062" fillId="0" borderId="2062" xfId="0" applyFont="1" applyBorder="1" applyAlignment="1"/>
    <xf numFmtId="0" fontId="2063" fillId="0" borderId="2063" xfId="0" applyFont="1" applyBorder="1" applyAlignment="1"/>
    <xf numFmtId="0" fontId="2064" fillId="0" borderId="2064" xfId="0" applyFont="1" applyBorder="1" applyAlignment="1"/>
    <xf numFmtId="0" fontId="2065" fillId="0" borderId="2065" xfId="0" applyFont="1" applyBorder="1" applyAlignment="1"/>
    <xf numFmtId="0" fontId="2066" fillId="0" borderId="2066" xfId="0" applyFont="1" applyBorder="1" applyAlignment="1"/>
    <xf numFmtId="0" fontId="2067" fillId="0" borderId="2067" xfId="0" applyFont="1" applyBorder="1" applyAlignment="1"/>
    <xf numFmtId="0" fontId="2068" fillId="0" borderId="2068" xfId="0" applyFont="1" applyBorder="1" applyAlignment="1"/>
    <xf numFmtId="0" fontId="2069" fillId="0" borderId="2069" xfId="0" applyFont="1" applyBorder="1" applyAlignment="1"/>
    <xf numFmtId="0" fontId="2070" fillId="0" borderId="2070" xfId="0" applyFont="1" applyBorder="1" applyAlignment="1"/>
    <xf numFmtId="0" fontId="2071" fillId="0" borderId="2071" xfId="0" applyFont="1" applyBorder="1" applyAlignment="1"/>
    <xf numFmtId="0" fontId="2072" fillId="0" borderId="2072" xfId="0" applyFont="1" applyBorder="1" applyAlignment="1"/>
    <xf numFmtId="0" fontId="2073" fillId="0" borderId="2073" xfId="0" applyFont="1" applyBorder="1" applyAlignment="1"/>
    <xf numFmtId="0" fontId="2074" fillId="0" borderId="2074" xfId="0" applyFont="1" applyBorder="1" applyAlignment="1"/>
    <xf numFmtId="0" fontId="2075" fillId="0" borderId="2075" xfId="0" applyFont="1" applyBorder="1" applyAlignment="1"/>
    <xf numFmtId="0" fontId="2076" fillId="0" borderId="2076" xfId="0" applyFont="1" applyBorder="1" applyAlignment="1"/>
    <xf numFmtId="0" fontId="2077" fillId="0" borderId="2077" xfId="0" applyFont="1" applyBorder="1" applyAlignment="1"/>
    <xf numFmtId="0" fontId="2078" fillId="0" borderId="2078" xfId="0" applyFont="1" applyBorder="1" applyAlignment="1"/>
    <xf numFmtId="0" fontId="2079" fillId="0" borderId="2079" xfId="0" applyFont="1" applyBorder="1" applyAlignment="1"/>
    <xf numFmtId="0" fontId="2080" fillId="0" borderId="2080" xfId="0" applyFont="1" applyBorder="1" applyAlignment="1"/>
    <xf numFmtId="0" fontId="2081" fillId="0" borderId="2081" xfId="0" applyFont="1" applyBorder="1" applyAlignment="1"/>
    <xf numFmtId="0" fontId="2082" fillId="0" borderId="2082" xfId="0" applyFont="1" applyBorder="1" applyAlignment="1"/>
    <xf numFmtId="0" fontId="2083" fillId="0" borderId="2083" xfId="0" applyFont="1" applyBorder="1" applyAlignment="1"/>
    <xf numFmtId="0" fontId="2084" fillId="0" borderId="2084" xfId="0" applyFont="1" applyBorder="1" applyAlignment="1"/>
    <xf numFmtId="0" fontId="2085" fillId="0" borderId="2085" xfId="0" applyFont="1" applyBorder="1" applyAlignment="1"/>
    <xf numFmtId="0" fontId="2086" fillId="0" borderId="2086" xfId="0" applyFont="1" applyBorder="1" applyAlignment="1"/>
    <xf numFmtId="0" fontId="2087" fillId="0" borderId="2087" xfId="0" applyFont="1" applyBorder="1" applyAlignment="1"/>
    <xf numFmtId="0" fontId="2088" fillId="0" borderId="2088" xfId="0" applyFont="1" applyBorder="1" applyAlignment="1"/>
    <xf numFmtId="0" fontId="2089" fillId="0" borderId="2089" xfId="0" applyFont="1" applyBorder="1" applyAlignment="1"/>
    <xf numFmtId="0" fontId="2090" fillId="0" borderId="2090" xfId="0" applyFont="1" applyBorder="1" applyAlignment="1"/>
    <xf numFmtId="0" fontId="2091" fillId="0" borderId="2091" xfId="0" applyFont="1" applyBorder="1" applyAlignment="1"/>
    <xf numFmtId="0" fontId="2092" fillId="0" borderId="2092" xfId="0" applyFont="1" applyBorder="1" applyAlignment="1"/>
    <xf numFmtId="0" fontId="2093" fillId="0" borderId="2093" xfId="0" applyFont="1" applyBorder="1" applyAlignment="1"/>
    <xf numFmtId="0" fontId="2094" fillId="0" borderId="2094" xfId="0" applyFont="1" applyBorder="1" applyAlignment="1"/>
    <xf numFmtId="0" fontId="2095" fillId="0" borderId="2095" xfId="0" applyFont="1" applyBorder="1" applyAlignment="1"/>
    <xf numFmtId="0" fontId="2096" fillId="0" borderId="2096" xfId="0" applyFont="1" applyBorder="1" applyAlignment="1"/>
    <xf numFmtId="0" fontId="2097" fillId="0" borderId="2097" xfId="0" applyFont="1" applyBorder="1" applyAlignment="1"/>
    <xf numFmtId="0" fontId="2098" fillId="0" borderId="2098" xfId="0" applyFont="1" applyBorder="1" applyAlignment="1"/>
    <xf numFmtId="0" fontId="2099" fillId="0" borderId="2099" xfId="0" applyFont="1" applyBorder="1" applyAlignment="1"/>
    <xf numFmtId="0" fontId="2100" fillId="0" borderId="2100" xfId="0" applyFont="1" applyBorder="1" applyAlignment="1"/>
    <xf numFmtId="0" fontId="2101" fillId="0" borderId="2101" xfId="0" applyFont="1" applyBorder="1" applyAlignment="1"/>
    <xf numFmtId="0" fontId="2102" fillId="0" borderId="2102" xfId="0" applyFont="1" applyBorder="1" applyAlignment="1"/>
    <xf numFmtId="0" fontId="2103" fillId="0" borderId="2103" xfId="0" applyFont="1" applyBorder="1" applyAlignment="1"/>
    <xf numFmtId="0" fontId="2104" fillId="0" borderId="2104" xfId="0" applyFont="1" applyBorder="1" applyAlignment="1"/>
    <xf numFmtId="0" fontId="2105" fillId="0" borderId="2105" xfId="0" applyFont="1" applyBorder="1" applyAlignment="1"/>
    <xf numFmtId="0" fontId="2106" fillId="0" borderId="2106" xfId="0" applyFont="1" applyBorder="1" applyAlignment="1"/>
    <xf numFmtId="0" fontId="2107" fillId="0" borderId="2107" xfId="0" applyFont="1" applyBorder="1" applyAlignment="1"/>
    <xf numFmtId="0" fontId="2108" fillId="0" borderId="2108" xfId="0" applyFont="1" applyBorder="1" applyAlignment="1"/>
    <xf numFmtId="0" fontId="2109" fillId="0" borderId="2109" xfId="0" applyFont="1" applyBorder="1" applyAlignment="1"/>
    <xf numFmtId="0" fontId="2110" fillId="0" borderId="2110" xfId="0" applyFont="1" applyBorder="1" applyAlignment="1"/>
    <xf numFmtId="0" fontId="2111" fillId="0" borderId="2111" xfId="0" applyFont="1" applyBorder="1" applyAlignment="1"/>
    <xf numFmtId="0" fontId="2112" fillId="0" borderId="2112" xfId="0" applyFont="1" applyBorder="1" applyAlignment="1"/>
    <xf numFmtId="0" fontId="2113" fillId="0" borderId="2113" xfId="0" applyFont="1" applyBorder="1" applyAlignment="1"/>
    <xf numFmtId="0" fontId="2114" fillId="0" borderId="2114" xfId="0" applyFont="1" applyBorder="1" applyAlignment="1"/>
    <xf numFmtId="0" fontId="2115" fillId="0" borderId="2115" xfId="0" applyFont="1" applyBorder="1" applyAlignment="1"/>
    <xf numFmtId="0" fontId="2116" fillId="0" borderId="2116" xfId="0" applyFont="1" applyBorder="1" applyAlignment="1"/>
    <xf numFmtId="0" fontId="2117" fillId="0" borderId="2117" xfId="0" applyFont="1" applyBorder="1" applyAlignment="1"/>
    <xf numFmtId="0" fontId="2118" fillId="0" borderId="2118" xfId="0" applyFont="1" applyBorder="1" applyAlignment="1"/>
    <xf numFmtId="0" fontId="2119" fillId="0" borderId="2119" xfId="0" applyFont="1" applyBorder="1" applyAlignment="1"/>
    <xf numFmtId="0" fontId="2120" fillId="0" borderId="2120" xfId="0" applyFont="1" applyBorder="1" applyAlignment="1"/>
    <xf numFmtId="0" fontId="2121" fillId="0" borderId="2121" xfId="0" applyFont="1" applyBorder="1" applyAlignment="1"/>
    <xf numFmtId="0" fontId="2122" fillId="0" borderId="2122" xfId="0" applyFont="1" applyBorder="1" applyAlignment="1"/>
    <xf numFmtId="0" fontId="2123" fillId="0" borderId="2123" xfId="0" applyFont="1" applyBorder="1" applyAlignment="1"/>
    <xf numFmtId="0" fontId="2124" fillId="0" borderId="2124" xfId="0" applyFont="1" applyBorder="1" applyAlignment="1"/>
    <xf numFmtId="0" fontId="2125" fillId="0" borderId="2125" xfId="0" applyFont="1" applyBorder="1" applyAlignment="1"/>
    <xf numFmtId="0" fontId="2126" fillId="0" borderId="2126" xfId="0" applyFont="1" applyBorder="1" applyAlignment="1"/>
    <xf numFmtId="0" fontId="2127" fillId="0" borderId="2127" xfId="0" applyFont="1" applyBorder="1" applyAlignment="1"/>
    <xf numFmtId="0" fontId="2128" fillId="0" borderId="2128" xfId="0" applyFont="1" applyBorder="1" applyAlignment="1"/>
    <xf numFmtId="0" fontId="2129" fillId="0" borderId="2129" xfId="0" applyFont="1" applyBorder="1" applyAlignment="1"/>
    <xf numFmtId="0" fontId="2130" fillId="0" borderId="2130" xfId="0" applyFont="1" applyBorder="1" applyAlignment="1"/>
    <xf numFmtId="0" fontId="2131" fillId="0" borderId="2131" xfId="0" applyFont="1" applyBorder="1" applyAlignment="1"/>
    <xf numFmtId="0" fontId="2132" fillId="0" borderId="2132" xfId="0" applyFont="1" applyBorder="1" applyAlignment="1"/>
    <xf numFmtId="0" fontId="2133" fillId="0" borderId="2133" xfId="0" applyFont="1" applyBorder="1" applyAlignment="1"/>
    <xf numFmtId="0" fontId="2134" fillId="0" borderId="2134" xfId="0" applyFont="1" applyBorder="1" applyAlignment="1"/>
    <xf numFmtId="0" fontId="2135" fillId="0" borderId="2135" xfId="0" applyFont="1" applyBorder="1" applyAlignment="1"/>
    <xf numFmtId="0" fontId="2136" fillId="0" borderId="2136" xfId="0" applyFont="1" applyBorder="1" applyAlignment="1"/>
    <xf numFmtId="0" fontId="2137" fillId="0" borderId="2137" xfId="0" applyFont="1" applyBorder="1" applyAlignment="1"/>
    <xf numFmtId="0" fontId="2138" fillId="0" borderId="2138" xfId="0" applyFont="1" applyBorder="1" applyAlignment="1"/>
    <xf numFmtId="0" fontId="2139" fillId="0" borderId="2139" xfId="0" applyFont="1" applyBorder="1" applyAlignment="1"/>
    <xf numFmtId="0" fontId="2140" fillId="0" borderId="2140" xfId="0" applyFont="1" applyBorder="1" applyAlignment="1"/>
    <xf numFmtId="0" fontId="2141" fillId="0" borderId="2141" xfId="0" applyFont="1" applyBorder="1" applyAlignment="1"/>
    <xf numFmtId="0" fontId="2142" fillId="0" borderId="2142" xfId="0" applyFont="1" applyBorder="1" applyAlignment="1"/>
    <xf numFmtId="0" fontId="2143" fillId="0" borderId="2143" xfId="0" applyFont="1" applyBorder="1" applyAlignment="1"/>
    <xf numFmtId="0" fontId="2144" fillId="0" borderId="2144" xfId="0" applyFont="1" applyBorder="1" applyAlignment="1"/>
    <xf numFmtId="0" fontId="2145" fillId="0" borderId="2145" xfId="0" applyFont="1" applyBorder="1" applyAlignment="1"/>
    <xf numFmtId="0" fontId="2146" fillId="0" borderId="2146" xfId="0" applyFont="1" applyBorder="1" applyAlignment="1"/>
    <xf numFmtId="0" fontId="2147" fillId="0" borderId="2147" xfId="0" applyFont="1" applyBorder="1" applyAlignment="1"/>
    <xf numFmtId="0" fontId="2148" fillId="0" borderId="2148" xfId="0" applyFont="1" applyBorder="1" applyAlignment="1"/>
    <xf numFmtId="0" fontId="2149" fillId="0" borderId="2149" xfId="0" applyFont="1" applyBorder="1" applyAlignment="1"/>
    <xf numFmtId="0" fontId="2150" fillId="0" borderId="2150" xfId="0" applyFont="1" applyBorder="1" applyAlignment="1"/>
    <xf numFmtId="0" fontId="2151" fillId="0" borderId="2151" xfId="0" applyFont="1" applyBorder="1" applyAlignment="1"/>
    <xf numFmtId="0" fontId="2152" fillId="0" borderId="2152" xfId="0" applyFont="1" applyBorder="1" applyAlignment="1"/>
    <xf numFmtId="0" fontId="2153" fillId="0" borderId="2153" xfId="0" applyFont="1" applyBorder="1" applyAlignment="1"/>
    <xf numFmtId="0" fontId="2154" fillId="0" borderId="2154" xfId="0" applyFont="1" applyBorder="1" applyAlignment="1"/>
    <xf numFmtId="0" fontId="2155" fillId="0" borderId="2155" xfId="0" applyFont="1" applyBorder="1" applyAlignment="1"/>
    <xf numFmtId="0" fontId="2156" fillId="0" borderId="2156" xfId="0" applyFont="1" applyBorder="1" applyAlignment="1"/>
    <xf numFmtId="0" fontId="2157" fillId="0" borderId="2157" xfId="0" applyFont="1" applyBorder="1" applyAlignment="1"/>
    <xf numFmtId="0" fontId="2158" fillId="0" borderId="2158" xfId="0" applyFont="1" applyBorder="1" applyAlignment="1"/>
    <xf numFmtId="0" fontId="2159" fillId="0" borderId="2159" xfId="0" applyFont="1" applyBorder="1" applyAlignment="1"/>
    <xf numFmtId="0" fontId="2160" fillId="0" borderId="2160" xfId="0" applyFont="1" applyBorder="1" applyAlignment="1"/>
    <xf numFmtId="0" fontId="2161" fillId="0" borderId="2161" xfId="0" applyFont="1" applyBorder="1" applyAlignment="1"/>
    <xf numFmtId="0" fontId="2162" fillId="0" borderId="2162" xfId="0" applyFont="1" applyBorder="1" applyAlignment="1"/>
    <xf numFmtId="0" fontId="2163" fillId="0" borderId="2163" xfId="0" applyFont="1" applyBorder="1" applyAlignment="1"/>
    <xf numFmtId="0" fontId="2164" fillId="0" borderId="2164" xfId="0" applyFont="1" applyBorder="1" applyAlignment="1"/>
    <xf numFmtId="0" fontId="2165" fillId="0" borderId="2165" xfId="0" applyFont="1" applyBorder="1" applyAlignment="1"/>
    <xf numFmtId="0" fontId="2166" fillId="0" borderId="2166" xfId="0" applyFont="1" applyBorder="1" applyAlignment="1"/>
    <xf numFmtId="0" fontId="2167" fillId="0" borderId="2167" xfId="0" applyFont="1" applyBorder="1" applyAlignment="1"/>
    <xf numFmtId="0" fontId="2168" fillId="0" borderId="2168" xfId="0" applyFont="1" applyBorder="1" applyAlignment="1"/>
    <xf numFmtId="0" fontId="2169" fillId="0" borderId="2169" xfId="0" applyFont="1" applyBorder="1" applyAlignment="1"/>
    <xf numFmtId="0" fontId="2170" fillId="0" borderId="2170" xfId="0" applyFont="1" applyBorder="1" applyAlignment="1"/>
    <xf numFmtId="0" fontId="2171" fillId="0" borderId="2171" xfId="0" applyFont="1" applyBorder="1" applyAlignment="1"/>
    <xf numFmtId="0" fontId="2172" fillId="0" borderId="2172" xfId="0" applyFont="1" applyBorder="1" applyAlignment="1"/>
    <xf numFmtId="0" fontId="2173" fillId="0" borderId="2173" xfId="0" applyFont="1" applyBorder="1" applyAlignment="1"/>
    <xf numFmtId="0" fontId="2174" fillId="0" borderId="2174" xfId="0" applyFont="1" applyBorder="1" applyAlignment="1"/>
    <xf numFmtId="0" fontId="2175" fillId="0" borderId="2175" xfId="0" applyFont="1" applyBorder="1" applyAlignment="1"/>
    <xf numFmtId="0" fontId="2176" fillId="0" borderId="2176" xfId="0" applyFont="1" applyBorder="1" applyAlignment="1"/>
    <xf numFmtId="0" fontId="2177" fillId="0" borderId="2177" xfId="0" applyFont="1" applyBorder="1" applyAlignment="1"/>
    <xf numFmtId="0" fontId="2178" fillId="0" borderId="2178" xfId="0" applyFont="1" applyBorder="1" applyAlignment="1"/>
    <xf numFmtId="0" fontId="2179" fillId="0" borderId="2179" xfId="0" applyFont="1" applyBorder="1" applyAlignment="1"/>
    <xf numFmtId="0" fontId="2180" fillId="0" borderId="2180" xfId="0" applyFont="1" applyBorder="1" applyAlignment="1"/>
    <xf numFmtId="0" fontId="2181" fillId="0" borderId="2181" xfId="0" applyFont="1" applyBorder="1" applyAlignment="1"/>
    <xf numFmtId="0" fontId="2182" fillId="0" borderId="2182" xfId="0" applyFont="1" applyBorder="1" applyAlignment="1"/>
    <xf numFmtId="0" fontId="2183" fillId="0" borderId="2183" xfId="0" applyFont="1" applyBorder="1" applyAlignment="1"/>
    <xf numFmtId="0" fontId="2184" fillId="0" borderId="2184" xfId="0" applyFont="1" applyBorder="1" applyAlignment="1"/>
    <xf numFmtId="0" fontId="2185" fillId="0" borderId="2185" xfId="0" applyFont="1" applyBorder="1" applyAlignment="1"/>
    <xf numFmtId="0" fontId="2186" fillId="0" borderId="2186" xfId="0" applyFont="1" applyBorder="1" applyAlignment="1"/>
    <xf numFmtId="0" fontId="2187" fillId="0" borderId="2187" xfId="0" applyFont="1" applyBorder="1" applyAlignment="1"/>
    <xf numFmtId="0" fontId="2188" fillId="0" borderId="2188" xfId="0" applyFont="1" applyBorder="1" applyAlignment="1"/>
    <xf numFmtId="0" fontId="2189" fillId="0" borderId="2189" xfId="0" applyFont="1" applyBorder="1" applyAlignment="1"/>
    <xf numFmtId="0" fontId="2190" fillId="0" borderId="2190" xfId="0" applyFont="1" applyBorder="1" applyAlignment="1"/>
    <xf numFmtId="0" fontId="2191" fillId="0" borderId="2191" xfId="0" applyFont="1" applyBorder="1" applyAlignment="1"/>
    <xf numFmtId="0" fontId="2192" fillId="0" borderId="2192" xfId="0" applyFont="1" applyBorder="1" applyAlignment="1"/>
    <xf numFmtId="0" fontId="2193" fillId="0" borderId="2193" xfId="0" applyFont="1" applyBorder="1" applyAlignment="1"/>
    <xf numFmtId="0" fontId="2194" fillId="0" borderId="2194" xfId="0" applyFont="1" applyBorder="1" applyAlignment="1"/>
    <xf numFmtId="0" fontId="2195" fillId="0" borderId="2195" xfId="0" applyFont="1" applyBorder="1" applyAlignment="1"/>
    <xf numFmtId="0" fontId="2196" fillId="0" borderId="2196" xfId="0" applyFont="1" applyBorder="1" applyAlignment="1"/>
    <xf numFmtId="0" fontId="2197" fillId="0" borderId="2197" xfId="0" applyFont="1" applyBorder="1" applyAlignment="1"/>
    <xf numFmtId="0" fontId="2198" fillId="0" borderId="2198" xfId="0" applyFont="1" applyBorder="1" applyAlignment="1"/>
    <xf numFmtId="0" fontId="2199" fillId="0" borderId="2199" xfId="0" applyFont="1" applyBorder="1" applyAlignment="1"/>
    <xf numFmtId="0" fontId="2200" fillId="0" borderId="2200" xfId="0" applyFont="1" applyBorder="1" applyAlignment="1"/>
    <xf numFmtId="0" fontId="2201" fillId="0" borderId="2201" xfId="0" applyFont="1" applyBorder="1" applyAlignment="1"/>
    <xf numFmtId="0" fontId="2202" fillId="0" borderId="2202" xfId="0" applyFont="1" applyBorder="1" applyAlignment="1"/>
    <xf numFmtId="0" fontId="2203" fillId="0" borderId="2203" xfId="0" applyFont="1" applyBorder="1" applyAlignment="1"/>
    <xf numFmtId="0" fontId="2204" fillId="0" borderId="2204" xfId="0" applyFont="1" applyBorder="1" applyAlignment="1"/>
    <xf numFmtId="0" fontId="2205" fillId="0" borderId="2205" xfId="0" applyFont="1" applyBorder="1" applyAlignment="1"/>
    <xf numFmtId="0" fontId="2206" fillId="0" borderId="2206" xfId="0" applyFont="1" applyBorder="1" applyAlignment="1"/>
    <xf numFmtId="0" fontId="2207" fillId="0" borderId="2207" xfId="0" applyFont="1" applyBorder="1" applyAlignment="1"/>
    <xf numFmtId="0" fontId="2208" fillId="0" borderId="2208" xfId="0" applyFont="1" applyBorder="1" applyAlignment="1"/>
    <xf numFmtId="0" fontId="2209" fillId="0" borderId="2209" xfId="0" applyFont="1" applyBorder="1" applyAlignment="1"/>
    <xf numFmtId="0" fontId="2210" fillId="0" borderId="2210" xfId="0" applyFont="1" applyBorder="1" applyAlignment="1"/>
    <xf numFmtId="0" fontId="2211" fillId="0" borderId="2211" xfId="0" applyFont="1" applyBorder="1" applyAlignment="1"/>
    <xf numFmtId="0" fontId="2212" fillId="0" borderId="2212" xfId="0" applyFont="1" applyBorder="1" applyAlignment="1"/>
    <xf numFmtId="0" fontId="2213" fillId="0" borderId="2213" xfId="0" applyFont="1" applyBorder="1" applyAlignment="1"/>
    <xf numFmtId="0" fontId="2214" fillId="0" borderId="2214" xfId="0" applyFont="1" applyBorder="1" applyAlignment="1"/>
    <xf numFmtId="0" fontId="2215" fillId="0" borderId="2215" xfId="0" applyFont="1" applyBorder="1" applyAlignment="1"/>
    <xf numFmtId="0" fontId="2216" fillId="0" borderId="2216" xfId="0" applyFont="1" applyBorder="1" applyAlignment="1"/>
    <xf numFmtId="0" fontId="2217" fillId="0" borderId="2217" xfId="0" applyFont="1" applyBorder="1" applyAlignment="1"/>
    <xf numFmtId="0" fontId="2218" fillId="0" borderId="2218" xfId="0" applyFont="1" applyBorder="1" applyAlignment="1"/>
    <xf numFmtId="0" fontId="2219" fillId="0" borderId="2219" xfId="0" applyFont="1" applyBorder="1" applyAlignment="1"/>
    <xf numFmtId="0" fontId="2220" fillId="0" borderId="2220" xfId="0" applyFont="1" applyBorder="1" applyAlignment="1"/>
    <xf numFmtId="0" fontId="2221" fillId="0" borderId="2221" xfId="0" applyFont="1" applyBorder="1" applyAlignment="1"/>
    <xf numFmtId="0" fontId="2222" fillId="0" borderId="2222" xfId="0" applyFont="1" applyBorder="1" applyAlignment="1"/>
    <xf numFmtId="0" fontId="2223" fillId="0" borderId="2223" xfId="0" applyFont="1" applyBorder="1" applyAlignment="1"/>
    <xf numFmtId="0" fontId="2224" fillId="0" borderId="2224" xfId="0" applyFont="1" applyBorder="1" applyAlignment="1"/>
    <xf numFmtId="0" fontId="2225" fillId="0" borderId="2225" xfId="0" applyFont="1" applyBorder="1" applyAlignment="1"/>
    <xf numFmtId="0" fontId="2226" fillId="0" borderId="2226" xfId="0" applyFont="1" applyBorder="1" applyAlignment="1"/>
    <xf numFmtId="0" fontId="2227" fillId="0" borderId="2227" xfId="0" applyFont="1" applyBorder="1" applyAlignment="1"/>
    <xf numFmtId="0" fontId="2228" fillId="0" borderId="2228" xfId="0" applyFont="1" applyBorder="1" applyAlignment="1"/>
    <xf numFmtId="0" fontId="2229" fillId="0" borderId="2229" xfId="0" applyFont="1" applyBorder="1" applyAlignment="1"/>
    <xf numFmtId="0" fontId="2230" fillId="0" borderId="2230" xfId="0" applyFont="1" applyBorder="1" applyAlignment="1"/>
    <xf numFmtId="0" fontId="2231" fillId="0" borderId="2231" xfId="0" applyFont="1" applyBorder="1" applyAlignment="1"/>
    <xf numFmtId="0" fontId="2232" fillId="0" borderId="2232" xfId="0" applyFont="1" applyBorder="1" applyAlignment="1"/>
    <xf numFmtId="0" fontId="2233" fillId="0" borderId="2233" xfId="0" applyFont="1" applyBorder="1" applyAlignment="1"/>
    <xf numFmtId="0" fontId="2234" fillId="0" borderId="2234" xfId="0" applyFont="1" applyBorder="1" applyAlignment="1"/>
    <xf numFmtId="0" fontId="2235" fillId="0" borderId="2235" xfId="0" applyFont="1" applyBorder="1" applyAlignment="1"/>
    <xf numFmtId="0" fontId="2236" fillId="0" borderId="2236" xfId="0" applyFont="1" applyBorder="1" applyAlignment="1"/>
    <xf numFmtId="0" fontId="2237" fillId="0" borderId="2237" xfId="0" applyFont="1" applyBorder="1" applyAlignment="1"/>
    <xf numFmtId="0" fontId="2238" fillId="0" borderId="2238" xfId="0" applyFont="1" applyBorder="1" applyAlignment="1"/>
    <xf numFmtId="0" fontId="2239" fillId="0" borderId="2239" xfId="0" applyFont="1" applyBorder="1" applyAlignment="1"/>
    <xf numFmtId="0" fontId="2240" fillId="0" borderId="2240" xfId="0" applyFont="1" applyBorder="1" applyAlignment="1"/>
    <xf numFmtId="0" fontId="2241" fillId="0" borderId="2241" xfId="0" applyFont="1" applyBorder="1" applyAlignment="1"/>
    <xf numFmtId="0" fontId="2242" fillId="0" borderId="2242" xfId="0" applyFont="1" applyBorder="1" applyAlignment="1"/>
    <xf numFmtId="0" fontId="2243" fillId="0" borderId="2243" xfId="0" applyFont="1" applyBorder="1" applyAlignment="1"/>
    <xf numFmtId="0" fontId="2244" fillId="0" borderId="2244" xfId="0" applyFont="1" applyBorder="1" applyAlignment="1"/>
    <xf numFmtId="0" fontId="2245" fillId="0" borderId="2245" xfId="0" applyFont="1" applyBorder="1" applyAlignment="1"/>
    <xf numFmtId="0" fontId="2246" fillId="0" borderId="2246" xfId="0" applyFont="1" applyBorder="1" applyAlignment="1"/>
    <xf numFmtId="0" fontId="2247" fillId="0" borderId="2247" xfId="0" applyFont="1" applyBorder="1" applyAlignment="1"/>
    <xf numFmtId="0" fontId="2248" fillId="0" borderId="2248" xfId="0" applyFont="1" applyBorder="1" applyAlignment="1"/>
    <xf numFmtId="0" fontId="2249" fillId="0" borderId="2249" xfId="0" applyFont="1" applyBorder="1" applyAlignment="1"/>
    <xf numFmtId="0" fontId="2250" fillId="0" borderId="2250" xfId="0" applyFont="1" applyBorder="1" applyAlignment="1"/>
    <xf numFmtId="0" fontId="2251" fillId="0" borderId="2251" xfId="0" applyFont="1" applyBorder="1" applyAlignment="1"/>
    <xf numFmtId="0" fontId="2252" fillId="0" borderId="2252" xfId="0" applyFont="1" applyBorder="1" applyAlignment="1"/>
    <xf numFmtId="0" fontId="2253" fillId="0" borderId="2253" xfId="0" applyFont="1" applyBorder="1" applyAlignment="1"/>
    <xf numFmtId="0" fontId="2254" fillId="0" borderId="2254" xfId="0" applyFont="1" applyBorder="1" applyAlignment="1"/>
    <xf numFmtId="0" fontId="2255" fillId="0" borderId="2255" xfId="0" applyFont="1" applyBorder="1" applyAlignment="1"/>
    <xf numFmtId="0" fontId="2256" fillId="0" borderId="2256" xfId="0" applyFont="1" applyBorder="1" applyAlignment="1"/>
    <xf numFmtId="0" fontId="2257" fillId="0" borderId="2257" xfId="0" applyFont="1" applyBorder="1" applyAlignment="1"/>
    <xf numFmtId="0" fontId="2258" fillId="0" borderId="2258" xfId="0" applyFont="1" applyBorder="1" applyAlignment="1"/>
    <xf numFmtId="0" fontId="2259" fillId="0" borderId="2259" xfId="0" applyFont="1" applyBorder="1" applyAlignment="1"/>
    <xf numFmtId="0" fontId="2260" fillId="0" borderId="2260" xfId="0" applyFont="1" applyBorder="1" applyAlignment="1"/>
    <xf numFmtId="0" fontId="2261" fillId="0" borderId="2261" xfId="0" applyFont="1" applyBorder="1" applyAlignment="1"/>
    <xf numFmtId="0" fontId="2262" fillId="0" borderId="2262" xfId="0" applyFont="1" applyBorder="1" applyAlignment="1"/>
    <xf numFmtId="0" fontId="2263" fillId="0" borderId="2263" xfId="0" applyFont="1" applyBorder="1" applyAlignment="1"/>
    <xf numFmtId="0" fontId="2264" fillId="0" borderId="2264" xfId="0" applyFont="1" applyBorder="1" applyAlignment="1"/>
    <xf numFmtId="0" fontId="2265" fillId="0" borderId="2265" xfId="0" applyFont="1" applyBorder="1" applyAlignment="1"/>
    <xf numFmtId="0" fontId="2266" fillId="0" borderId="2266" xfId="0" applyFont="1" applyBorder="1" applyAlignment="1"/>
    <xf numFmtId="0" fontId="2267" fillId="0" borderId="2267" xfId="0" applyFont="1" applyBorder="1" applyAlignment="1"/>
    <xf numFmtId="0" fontId="2268" fillId="0" borderId="2268" xfId="0" applyFont="1" applyBorder="1" applyAlignment="1"/>
    <xf numFmtId="0" fontId="2269" fillId="0" borderId="2269" xfId="0" applyFont="1" applyBorder="1" applyAlignment="1"/>
    <xf numFmtId="0" fontId="2270" fillId="0" borderId="2270" xfId="0" applyFont="1" applyBorder="1" applyAlignment="1"/>
    <xf numFmtId="0" fontId="2271" fillId="0" borderId="2271" xfId="0" applyFont="1" applyBorder="1" applyAlignment="1"/>
    <xf numFmtId="0" fontId="2272" fillId="0" borderId="2272" xfId="0" applyFont="1" applyBorder="1" applyAlignment="1"/>
    <xf numFmtId="0" fontId="2273" fillId="0" borderId="2273" xfId="0" applyFont="1" applyBorder="1" applyAlignment="1"/>
    <xf numFmtId="0" fontId="2274" fillId="0" borderId="2274" xfId="0" applyFont="1" applyBorder="1" applyAlignment="1"/>
    <xf numFmtId="0" fontId="2275" fillId="0" borderId="2275" xfId="0" applyFont="1" applyBorder="1" applyAlignment="1"/>
    <xf numFmtId="0" fontId="2276" fillId="0" borderId="2276" xfId="0" applyFont="1" applyBorder="1" applyAlignment="1"/>
    <xf numFmtId="0" fontId="2277" fillId="0" borderId="2277" xfId="0" applyFont="1" applyBorder="1" applyAlignment="1"/>
    <xf numFmtId="0" fontId="2278" fillId="0" borderId="2278" xfId="0" applyFont="1" applyBorder="1" applyAlignment="1"/>
    <xf numFmtId="0" fontId="2279" fillId="0" borderId="2279" xfId="0" applyFont="1" applyBorder="1" applyAlignment="1"/>
    <xf numFmtId="0" fontId="2280" fillId="0" borderId="2280" xfId="0" applyFont="1" applyBorder="1" applyAlignment="1"/>
    <xf numFmtId="0" fontId="2281" fillId="0" borderId="2281" xfId="0" applyFont="1" applyBorder="1" applyAlignment="1"/>
    <xf numFmtId="0" fontId="2282" fillId="0" borderId="2282" xfId="0" applyFont="1" applyBorder="1" applyAlignment="1"/>
    <xf numFmtId="0" fontId="2283" fillId="0" borderId="2283" xfId="0" applyFont="1" applyBorder="1" applyAlignment="1"/>
    <xf numFmtId="0" fontId="2284" fillId="0" borderId="2284" xfId="0" applyFont="1" applyBorder="1" applyAlignment="1"/>
    <xf numFmtId="0" fontId="2285" fillId="0" borderId="2285" xfId="0" applyFont="1" applyBorder="1" applyAlignment="1"/>
    <xf numFmtId="0" fontId="2286" fillId="0" borderId="2286" xfId="0" applyFont="1" applyBorder="1" applyAlignment="1"/>
    <xf numFmtId="0" fontId="2287" fillId="0" borderId="2287" xfId="0" applyFont="1" applyBorder="1" applyAlignment="1"/>
    <xf numFmtId="0" fontId="2288" fillId="0" borderId="2288" xfId="0" applyFont="1" applyBorder="1" applyAlignment="1"/>
    <xf numFmtId="0" fontId="2289" fillId="0" borderId="2289" xfId="0" applyFont="1" applyBorder="1" applyAlignment="1"/>
    <xf numFmtId="0" fontId="2290" fillId="0" borderId="2290" xfId="0" applyFont="1" applyBorder="1" applyAlignment="1"/>
    <xf numFmtId="0" fontId="2291" fillId="0" borderId="2291" xfId="0" applyFont="1" applyBorder="1" applyAlignment="1"/>
    <xf numFmtId="0" fontId="2292" fillId="0" borderId="2292" xfId="0" applyFont="1" applyBorder="1" applyAlignment="1"/>
    <xf numFmtId="0" fontId="2293" fillId="0" borderId="2293" xfId="0" applyFont="1" applyBorder="1" applyAlignment="1"/>
    <xf numFmtId="0" fontId="2294" fillId="0" borderId="2294" xfId="0" applyFont="1" applyBorder="1" applyAlignment="1"/>
    <xf numFmtId="0" fontId="2295" fillId="0" borderId="2295" xfId="0" applyFont="1" applyBorder="1" applyAlignment="1"/>
    <xf numFmtId="0" fontId="2296" fillId="0" borderId="2296" xfId="0" applyFont="1" applyBorder="1" applyAlignment="1"/>
    <xf numFmtId="0" fontId="2297" fillId="0" borderId="2297" xfId="0" applyFont="1" applyBorder="1" applyAlignment="1"/>
    <xf numFmtId="0" fontId="2298" fillId="0" borderId="2298" xfId="0" applyFont="1" applyBorder="1" applyAlignment="1"/>
    <xf numFmtId="0" fontId="2299" fillId="0" borderId="2299" xfId="0" applyFont="1" applyBorder="1" applyAlignment="1"/>
    <xf numFmtId="0" fontId="2300" fillId="0" borderId="2300" xfId="0" applyFont="1" applyBorder="1" applyAlignment="1"/>
    <xf numFmtId="0" fontId="2301" fillId="0" borderId="2301" xfId="0" applyFont="1" applyBorder="1" applyAlignment="1"/>
    <xf numFmtId="0" fontId="2302" fillId="0" borderId="2302" xfId="0" applyFont="1" applyBorder="1" applyAlignment="1"/>
    <xf numFmtId="0" fontId="2303" fillId="0" borderId="2303" xfId="0" applyFont="1" applyBorder="1" applyAlignment="1"/>
    <xf numFmtId="0" fontId="2304" fillId="0" borderId="2304" xfId="0" applyFont="1" applyBorder="1" applyAlignment="1"/>
    <xf numFmtId="0" fontId="2305" fillId="0" borderId="2305" xfId="0" applyFont="1" applyBorder="1" applyAlignment="1"/>
    <xf numFmtId="0" fontId="2306" fillId="0" borderId="2306" xfId="0" applyFont="1" applyBorder="1" applyAlignment="1"/>
    <xf numFmtId="0" fontId="2307" fillId="0" borderId="2307" xfId="0" applyFont="1" applyBorder="1" applyAlignment="1"/>
    <xf numFmtId="0" fontId="2308" fillId="0" borderId="2308" xfId="0" applyFont="1" applyBorder="1" applyAlignment="1"/>
    <xf numFmtId="0" fontId="2309" fillId="0" borderId="2309" xfId="0" applyFont="1" applyBorder="1" applyAlignment="1"/>
    <xf numFmtId="0" fontId="2310" fillId="0" borderId="2310" xfId="0" applyFont="1" applyBorder="1" applyAlignment="1"/>
    <xf numFmtId="0" fontId="2311" fillId="0" borderId="2311" xfId="0" applyFont="1" applyBorder="1" applyAlignment="1"/>
    <xf numFmtId="0" fontId="2312" fillId="0" borderId="2312" xfId="0" applyFont="1" applyBorder="1" applyAlignment="1"/>
    <xf numFmtId="0" fontId="2313" fillId="0" borderId="2313" xfId="0" applyFont="1" applyBorder="1" applyAlignment="1"/>
    <xf numFmtId="0" fontId="2314" fillId="0" borderId="2314" xfId="0" applyFont="1" applyBorder="1" applyAlignment="1"/>
    <xf numFmtId="0" fontId="2315" fillId="0" borderId="2315" xfId="0" applyFont="1" applyBorder="1" applyAlignment="1"/>
    <xf numFmtId="0" fontId="2316" fillId="0" borderId="2316" xfId="0" applyFont="1" applyBorder="1" applyAlignment="1"/>
    <xf numFmtId="0" fontId="2317" fillId="0" borderId="2317" xfId="0" applyFont="1" applyBorder="1" applyAlignment="1"/>
    <xf numFmtId="0" fontId="2318" fillId="0" borderId="2318" xfId="0" applyFont="1" applyBorder="1" applyAlignment="1"/>
    <xf numFmtId="0" fontId="2319" fillId="0" borderId="2319" xfId="0" applyFont="1" applyBorder="1" applyAlignment="1"/>
    <xf numFmtId="0" fontId="2320" fillId="0" borderId="2320" xfId="0" applyFont="1" applyBorder="1" applyAlignment="1"/>
    <xf numFmtId="0" fontId="2321" fillId="0" borderId="2321" xfId="0" applyFont="1" applyBorder="1" applyAlignment="1"/>
    <xf numFmtId="0" fontId="2322" fillId="0" borderId="2322" xfId="0" applyFont="1" applyBorder="1" applyAlignment="1"/>
    <xf numFmtId="0" fontId="2323" fillId="0" borderId="2323" xfId="0" applyFont="1" applyBorder="1" applyAlignment="1"/>
    <xf numFmtId="0" fontId="2324" fillId="0" borderId="2324" xfId="0" applyFont="1" applyBorder="1" applyAlignment="1"/>
    <xf numFmtId="0" fontId="2325" fillId="0" borderId="2325" xfId="0" applyFont="1" applyBorder="1" applyAlignment="1"/>
    <xf numFmtId="0" fontId="2326" fillId="0" borderId="2326" xfId="0" applyFont="1" applyBorder="1" applyAlignment="1"/>
    <xf numFmtId="0" fontId="2327" fillId="0" borderId="2327" xfId="0" applyFont="1" applyBorder="1" applyAlignment="1"/>
    <xf numFmtId="0" fontId="2328" fillId="0" borderId="2328" xfId="0" applyFont="1" applyBorder="1" applyAlignment="1"/>
    <xf numFmtId="0" fontId="2329" fillId="0" borderId="2329" xfId="0" applyFont="1" applyBorder="1" applyAlignment="1"/>
    <xf numFmtId="0" fontId="2330" fillId="0" borderId="2330" xfId="0" applyFont="1" applyBorder="1" applyAlignment="1"/>
    <xf numFmtId="0" fontId="2331" fillId="0" borderId="2331" xfId="0" applyFont="1" applyBorder="1" applyAlignment="1"/>
    <xf numFmtId="0" fontId="2332" fillId="0" borderId="2332" xfId="0" applyFont="1" applyBorder="1" applyAlignment="1"/>
    <xf numFmtId="0" fontId="2333" fillId="0" borderId="2333" xfId="0" applyFont="1" applyBorder="1" applyAlignment="1"/>
    <xf numFmtId="0" fontId="2334" fillId="0" borderId="2334" xfId="0" applyFont="1" applyBorder="1" applyAlignment="1"/>
    <xf numFmtId="0" fontId="2335" fillId="0" borderId="2335" xfId="0" applyFont="1" applyBorder="1" applyAlignment="1"/>
    <xf numFmtId="0" fontId="2336" fillId="0" borderId="2336" xfId="0" applyFont="1" applyBorder="1" applyAlignment="1"/>
    <xf numFmtId="0" fontId="2337" fillId="0" borderId="2337" xfId="0" applyFont="1" applyBorder="1" applyAlignment="1"/>
    <xf numFmtId="0" fontId="2338" fillId="0" borderId="2338" xfId="0" applyFont="1" applyBorder="1" applyAlignment="1"/>
    <xf numFmtId="0" fontId="2339" fillId="0" borderId="2339" xfId="0" applyFont="1" applyBorder="1" applyAlignment="1"/>
    <xf numFmtId="0" fontId="2340" fillId="0" borderId="2340" xfId="0" applyFont="1" applyBorder="1" applyAlignment="1"/>
    <xf numFmtId="0" fontId="2341" fillId="0" borderId="2341" xfId="0" applyFont="1" applyBorder="1" applyAlignment="1"/>
    <xf numFmtId="0" fontId="2342" fillId="0" borderId="2342" xfId="0" applyFont="1" applyBorder="1" applyAlignment="1"/>
    <xf numFmtId="0" fontId="2343" fillId="0" borderId="2343" xfId="0" applyFont="1" applyBorder="1" applyAlignment="1"/>
    <xf numFmtId="0" fontId="2344" fillId="0" borderId="2344" xfId="0" applyFont="1" applyBorder="1" applyAlignment="1"/>
    <xf numFmtId="0" fontId="2345" fillId="0" borderId="2345" xfId="0" applyFont="1" applyBorder="1" applyAlignment="1"/>
    <xf numFmtId="0" fontId="2346" fillId="0" borderId="2346" xfId="0" applyFont="1" applyBorder="1" applyAlignment="1"/>
    <xf numFmtId="0" fontId="2347" fillId="0" borderId="2347" xfId="0" applyFont="1" applyBorder="1" applyAlignment="1"/>
    <xf numFmtId="0" fontId="2348" fillId="0" borderId="2348" xfId="0" applyFont="1" applyBorder="1" applyAlignment="1"/>
    <xf numFmtId="0" fontId="2349" fillId="0" borderId="2349" xfId="0" applyFont="1" applyBorder="1" applyAlignment="1"/>
    <xf numFmtId="0" fontId="2350" fillId="0" borderId="2350" xfId="0" applyFont="1" applyBorder="1" applyAlignment="1"/>
    <xf numFmtId="0" fontId="2351" fillId="0" borderId="2351" xfId="0" applyFont="1" applyBorder="1" applyAlignment="1"/>
    <xf numFmtId="0" fontId="2352" fillId="0" borderId="2352" xfId="0" applyFont="1" applyBorder="1" applyAlignment="1"/>
    <xf numFmtId="0" fontId="2353" fillId="0" borderId="2353" xfId="0" applyFont="1" applyBorder="1" applyAlignment="1"/>
    <xf numFmtId="0" fontId="2354" fillId="0" borderId="2354" xfId="0" applyFont="1" applyBorder="1" applyAlignment="1"/>
    <xf numFmtId="0" fontId="2355" fillId="0" borderId="2355" xfId="0" applyFont="1" applyBorder="1" applyAlignment="1"/>
    <xf numFmtId="0" fontId="2356" fillId="0" borderId="2356" xfId="0" applyFont="1" applyBorder="1" applyAlignment="1"/>
    <xf numFmtId="0" fontId="2357" fillId="0" borderId="2357" xfId="0" applyFont="1" applyBorder="1" applyAlignment="1"/>
    <xf numFmtId="0" fontId="2358" fillId="0" borderId="2358" xfId="0" applyFont="1" applyBorder="1" applyAlignment="1"/>
    <xf numFmtId="0" fontId="2359" fillId="0" borderId="2359" xfId="0" applyFont="1" applyBorder="1" applyAlignment="1"/>
    <xf numFmtId="0" fontId="2360" fillId="0" borderId="2360" xfId="0" applyFont="1" applyBorder="1" applyAlignment="1"/>
    <xf numFmtId="0" fontId="2361" fillId="0" borderId="2361" xfId="0" applyFont="1" applyBorder="1" applyAlignment="1"/>
    <xf numFmtId="0" fontId="2362" fillId="0" borderId="2362" xfId="0" applyFont="1" applyBorder="1" applyAlignment="1"/>
    <xf numFmtId="0" fontId="2363" fillId="0" borderId="2363" xfId="0" applyFont="1" applyBorder="1" applyAlignment="1"/>
    <xf numFmtId="0" fontId="2364" fillId="0" borderId="2364" xfId="0" applyFont="1" applyBorder="1" applyAlignment="1"/>
    <xf numFmtId="0" fontId="2365" fillId="0" borderId="2365" xfId="0" applyFont="1" applyBorder="1" applyAlignment="1"/>
    <xf numFmtId="0" fontId="2366" fillId="0" borderId="2366" xfId="0" applyFont="1" applyBorder="1" applyAlignment="1"/>
    <xf numFmtId="0" fontId="2367" fillId="0" borderId="2367" xfId="0" applyFont="1" applyBorder="1" applyAlignment="1"/>
    <xf numFmtId="0" fontId="2368" fillId="0" borderId="2368" xfId="0" applyFont="1" applyBorder="1" applyAlignment="1"/>
    <xf numFmtId="0" fontId="2369" fillId="0" borderId="2369" xfId="0" applyFont="1" applyBorder="1" applyAlignment="1"/>
    <xf numFmtId="0" fontId="2370" fillId="0" borderId="2370" xfId="0" applyFont="1" applyBorder="1" applyAlignment="1"/>
    <xf numFmtId="0" fontId="2371" fillId="0" borderId="2371" xfId="0" applyFont="1" applyBorder="1" applyAlignment="1"/>
    <xf numFmtId="0" fontId="2372" fillId="0" borderId="2372" xfId="0" applyFont="1" applyBorder="1" applyAlignment="1"/>
    <xf numFmtId="0" fontId="2373" fillId="0" borderId="2373" xfId="0" applyFont="1" applyBorder="1" applyAlignment="1"/>
    <xf numFmtId="0" fontId="2374" fillId="0" borderId="2374" xfId="0" applyFont="1" applyBorder="1" applyAlignment="1"/>
    <xf numFmtId="0" fontId="2375" fillId="0" borderId="2375" xfId="0" applyFont="1" applyBorder="1" applyAlignment="1"/>
    <xf numFmtId="0" fontId="2376" fillId="0" borderId="2376" xfId="0" applyFont="1" applyBorder="1" applyAlignment="1"/>
    <xf numFmtId="0" fontId="2377" fillId="0" borderId="2377" xfId="0" applyFont="1" applyBorder="1" applyAlignment="1"/>
    <xf numFmtId="0" fontId="2378" fillId="0" borderId="2378" xfId="0" applyFont="1" applyBorder="1" applyAlignment="1"/>
    <xf numFmtId="0" fontId="2379" fillId="0" borderId="2379" xfId="0" applyFont="1" applyBorder="1" applyAlignment="1"/>
    <xf numFmtId="0" fontId="2380" fillId="0" borderId="2380" xfId="0" applyFont="1" applyBorder="1" applyAlignment="1"/>
    <xf numFmtId="0" fontId="2381" fillId="0" borderId="2381" xfId="0" applyFont="1" applyBorder="1" applyAlignment="1"/>
    <xf numFmtId="0" fontId="2382" fillId="0" borderId="2382" xfId="0" applyFont="1" applyBorder="1" applyAlignment="1"/>
    <xf numFmtId="0" fontId="2383" fillId="0" borderId="2383" xfId="0" applyFont="1" applyBorder="1" applyAlignment="1"/>
    <xf numFmtId="0" fontId="2384" fillId="0" borderId="2384" xfId="0" applyFont="1" applyBorder="1" applyAlignment="1"/>
    <xf numFmtId="0" fontId="2385" fillId="0" borderId="2385" xfId="0" applyFont="1" applyBorder="1" applyAlignment="1"/>
    <xf numFmtId="0" fontId="2386" fillId="0" borderId="2386" xfId="0" applyFont="1" applyBorder="1" applyAlignment="1"/>
    <xf numFmtId="0" fontId="2387" fillId="0" borderId="2387" xfId="0" applyFont="1" applyBorder="1" applyAlignment="1"/>
    <xf numFmtId="0" fontId="2388" fillId="0" borderId="2388" xfId="0" applyFont="1" applyBorder="1" applyAlignment="1"/>
    <xf numFmtId="0" fontId="2389" fillId="0" borderId="2389" xfId="0" applyFont="1" applyBorder="1" applyAlignment="1"/>
    <xf numFmtId="0" fontId="2390" fillId="0" borderId="2390" xfId="0" applyFont="1" applyBorder="1" applyAlignment="1"/>
    <xf numFmtId="0" fontId="2391" fillId="0" borderId="2391" xfId="0" applyFont="1" applyBorder="1" applyAlignment="1"/>
    <xf numFmtId="0" fontId="2392" fillId="0" borderId="2392" xfId="0" applyFont="1" applyBorder="1" applyAlignment="1"/>
    <xf numFmtId="0" fontId="2393" fillId="0" borderId="2393" xfId="0" applyFont="1" applyBorder="1" applyAlignment="1"/>
    <xf numFmtId="0" fontId="2394" fillId="0" borderId="2394" xfId="0" applyFont="1" applyBorder="1" applyAlignment="1"/>
    <xf numFmtId="0" fontId="2395" fillId="0" borderId="2395" xfId="0" applyFont="1" applyBorder="1" applyAlignment="1"/>
    <xf numFmtId="0" fontId="2396" fillId="0" borderId="2396" xfId="0" applyFont="1" applyBorder="1" applyAlignment="1"/>
    <xf numFmtId="0" fontId="2397" fillId="0" borderId="2397" xfId="0" applyFont="1" applyBorder="1" applyAlignment="1"/>
    <xf numFmtId="0" fontId="2398" fillId="0" borderId="2398" xfId="0" applyFont="1" applyBorder="1" applyAlignment="1"/>
    <xf numFmtId="0" fontId="2399" fillId="0" borderId="2399" xfId="0" applyFont="1" applyBorder="1" applyAlignment="1"/>
    <xf numFmtId="0" fontId="2400" fillId="0" borderId="2400" xfId="0" applyFont="1" applyBorder="1" applyAlignment="1"/>
    <xf numFmtId="0" fontId="2401" fillId="0" borderId="2401" xfId="0" applyFont="1" applyBorder="1" applyAlignment="1"/>
    <xf numFmtId="0" fontId="2402" fillId="0" borderId="2402" xfId="0" applyFont="1" applyBorder="1" applyAlignment="1"/>
    <xf numFmtId="0" fontId="2403" fillId="0" borderId="2403" xfId="0" applyFont="1" applyBorder="1" applyAlignment="1"/>
    <xf numFmtId="0" fontId="2404" fillId="0" borderId="2404" xfId="0" applyFont="1" applyBorder="1" applyAlignment="1"/>
    <xf numFmtId="0" fontId="2405" fillId="0" borderId="2405" xfId="0" applyFont="1" applyBorder="1" applyAlignment="1"/>
    <xf numFmtId="0" fontId="2406" fillId="0" borderId="2406" xfId="0" applyFont="1" applyBorder="1" applyAlignment="1"/>
    <xf numFmtId="0" fontId="2407" fillId="0" borderId="2407" xfId="0" applyFont="1" applyBorder="1" applyAlignment="1"/>
    <xf numFmtId="0" fontId="2408" fillId="0" borderId="2408" xfId="0" applyFont="1" applyBorder="1" applyAlignment="1"/>
    <xf numFmtId="0" fontId="2409" fillId="0" borderId="2409" xfId="0" applyFont="1" applyBorder="1" applyAlignment="1"/>
    <xf numFmtId="0" fontId="2410" fillId="0" borderId="2410" xfId="0" applyFont="1" applyBorder="1" applyAlignment="1"/>
    <xf numFmtId="0" fontId="2411" fillId="0" borderId="2411" xfId="0" applyFont="1" applyBorder="1" applyAlignment="1"/>
    <xf numFmtId="0" fontId="2412" fillId="0" borderId="2412" xfId="0" applyFont="1" applyBorder="1" applyAlignment="1"/>
    <xf numFmtId="0" fontId="2413" fillId="0" borderId="2413" xfId="0" applyFont="1" applyBorder="1" applyAlignment="1"/>
    <xf numFmtId="0" fontId="2414" fillId="0" borderId="2414" xfId="0" applyFont="1" applyBorder="1" applyAlignment="1"/>
    <xf numFmtId="0" fontId="2415" fillId="0" borderId="2415" xfId="0" applyFont="1" applyBorder="1" applyAlignment="1"/>
    <xf numFmtId="0" fontId="2416" fillId="0" borderId="2416" xfId="0" applyFont="1" applyBorder="1" applyAlignment="1"/>
    <xf numFmtId="0" fontId="2417" fillId="0" borderId="2417" xfId="0" applyFont="1" applyBorder="1" applyAlignment="1"/>
    <xf numFmtId="0" fontId="2418" fillId="0" borderId="2418" xfId="0" applyFont="1" applyBorder="1" applyAlignment="1"/>
    <xf numFmtId="0" fontId="2419" fillId="0" borderId="2419" xfId="0" applyFont="1" applyBorder="1" applyAlignment="1"/>
    <xf numFmtId="0" fontId="2420" fillId="0" borderId="2420" xfId="0" applyFont="1" applyBorder="1" applyAlignment="1"/>
    <xf numFmtId="0" fontId="2421" fillId="0" borderId="2421" xfId="0" applyFont="1" applyBorder="1" applyAlignment="1"/>
    <xf numFmtId="0" fontId="2422" fillId="0" borderId="2422" xfId="0" applyFont="1" applyBorder="1" applyAlignment="1"/>
    <xf numFmtId="0" fontId="2423" fillId="0" borderId="2423" xfId="0" applyFont="1" applyBorder="1" applyAlignment="1"/>
    <xf numFmtId="0" fontId="2424" fillId="0" borderId="2424" xfId="0" applyFont="1" applyBorder="1" applyAlignment="1"/>
    <xf numFmtId="0" fontId="2425" fillId="0" borderId="2425" xfId="0" applyFont="1" applyBorder="1" applyAlignment="1"/>
    <xf numFmtId="0" fontId="2426" fillId="0" borderId="2426" xfId="0" applyFont="1" applyBorder="1" applyAlignment="1"/>
    <xf numFmtId="0" fontId="2427" fillId="0" borderId="2427" xfId="0" applyFont="1" applyBorder="1" applyAlignment="1"/>
    <xf numFmtId="0" fontId="2428" fillId="0" borderId="2428" xfId="0" applyFont="1" applyBorder="1" applyAlignment="1"/>
    <xf numFmtId="0" fontId="2429" fillId="0" borderId="2429" xfId="0" applyFont="1" applyBorder="1" applyAlignment="1"/>
    <xf numFmtId="0" fontId="2430" fillId="0" borderId="2430" xfId="0" applyFont="1" applyBorder="1" applyAlignment="1"/>
    <xf numFmtId="0" fontId="2431" fillId="0" borderId="2431" xfId="0" applyFont="1" applyBorder="1" applyAlignment="1"/>
    <xf numFmtId="0" fontId="2432" fillId="0" borderId="2432" xfId="0" applyFont="1" applyBorder="1" applyAlignment="1"/>
    <xf numFmtId="0" fontId="2433" fillId="0" borderId="2433" xfId="0" applyFont="1" applyBorder="1" applyAlignment="1"/>
    <xf numFmtId="0" fontId="2434" fillId="0" borderId="2434" xfId="0" applyFont="1" applyBorder="1" applyAlignment="1"/>
    <xf numFmtId="0" fontId="2435" fillId="0" borderId="2435" xfId="0" applyFont="1" applyBorder="1" applyAlignment="1"/>
    <xf numFmtId="0" fontId="2436" fillId="0" borderId="2436" xfId="0" applyFont="1" applyBorder="1" applyAlignment="1"/>
    <xf numFmtId="0" fontId="2437" fillId="0" borderId="2437" xfId="0" applyFont="1" applyBorder="1" applyAlignment="1"/>
    <xf numFmtId="0" fontId="2438" fillId="0" borderId="2438" xfId="0" applyFont="1" applyBorder="1" applyAlignment="1"/>
    <xf numFmtId="0" fontId="2439" fillId="0" borderId="2439" xfId="0" applyFont="1" applyBorder="1" applyAlignment="1"/>
    <xf numFmtId="0" fontId="2440" fillId="0" borderId="2440" xfId="0" applyFont="1" applyBorder="1" applyAlignment="1"/>
    <xf numFmtId="0" fontId="2441" fillId="0" borderId="2441" xfId="0" applyFont="1" applyBorder="1" applyAlignment="1"/>
    <xf numFmtId="0" fontId="2442" fillId="0" borderId="2442" xfId="0" applyFont="1" applyBorder="1" applyAlignment="1"/>
    <xf numFmtId="0" fontId="2443" fillId="0" borderId="2443" xfId="0" applyFont="1" applyBorder="1" applyAlignment="1"/>
    <xf numFmtId="0" fontId="2444" fillId="0" borderId="2444" xfId="0" applyFont="1" applyBorder="1" applyAlignment="1"/>
    <xf numFmtId="0" fontId="2445" fillId="0" borderId="2445" xfId="0" applyFont="1" applyBorder="1" applyAlignment="1"/>
    <xf numFmtId="0" fontId="2446" fillId="0" borderId="2446" xfId="0" applyFont="1" applyBorder="1" applyAlignment="1"/>
    <xf numFmtId="0" fontId="2447" fillId="0" borderId="2447" xfId="0" applyFont="1" applyBorder="1" applyAlignment="1"/>
    <xf numFmtId="0" fontId="2448" fillId="0" borderId="2448" xfId="0" applyFont="1" applyBorder="1" applyAlignment="1"/>
    <xf numFmtId="0" fontId="2449" fillId="0" borderId="2449" xfId="0" applyFont="1" applyBorder="1" applyAlignment="1"/>
    <xf numFmtId="0" fontId="2450" fillId="0" borderId="2450" xfId="0" applyFont="1" applyBorder="1" applyAlignment="1"/>
    <xf numFmtId="0" fontId="2451" fillId="0" borderId="2451" xfId="0" applyFont="1" applyBorder="1" applyAlignment="1"/>
    <xf numFmtId="0" fontId="2452" fillId="0" borderId="2452" xfId="0" applyFont="1" applyBorder="1" applyAlignment="1"/>
    <xf numFmtId="0" fontId="2453" fillId="0" borderId="2453" xfId="0" applyFont="1" applyBorder="1" applyAlignment="1"/>
    <xf numFmtId="0" fontId="2454" fillId="0" borderId="2454" xfId="0" applyFont="1" applyBorder="1" applyAlignment="1"/>
    <xf numFmtId="0" fontId="2455" fillId="0" borderId="2455" xfId="0" applyFont="1" applyBorder="1" applyAlignment="1"/>
    <xf numFmtId="0" fontId="2456" fillId="0" borderId="2456" xfId="0" applyFont="1" applyBorder="1" applyAlignment="1"/>
    <xf numFmtId="0" fontId="2457" fillId="0" borderId="2457" xfId="0" applyFont="1" applyBorder="1" applyAlignment="1"/>
    <xf numFmtId="0" fontId="2458" fillId="0" borderId="2458" xfId="0" applyFont="1" applyBorder="1" applyAlignment="1"/>
    <xf numFmtId="0" fontId="2459" fillId="0" borderId="2459" xfId="0" applyFont="1" applyBorder="1" applyAlignment="1"/>
    <xf numFmtId="0" fontId="2460" fillId="0" borderId="2460" xfId="0" applyFont="1" applyBorder="1" applyAlignment="1"/>
    <xf numFmtId="0" fontId="2461" fillId="0" borderId="2461" xfId="0" applyFont="1" applyBorder="1" applyAlignment="1"/>
    <xf numFmtId="0" fontId="2462" fillId="0" borderId="2462" xfId="0" applyFont="1" applyBorder="1" applyAlignment="1"/>
    <xf numFmtId="0" fontId="2463" fillId="0" borderId="2463" xfId="0" applyFont="1" applyBorder="1" applyAlignment="1"/>
    <xf numFmtId="0" fontId="2464" fillId="0" borderId="2464" xfId="0" applyFont="1" applyBorder="1" applyAlignment="1"/>
    <xf numFmtId="0" fontId="2465" fillId="0" borderId="2465" xfId="0" applyFont="1" applyBorder="1" applyAlignment="1"/>
    <xf numFmtId="0" fontId="2466" fillId="0" borderId="2466" xfId="0" applyFont="1" applyBorder="1" applyAlignment="1"/>
    <xf numFmtId="0" fontId="2467" fillId="0" borderId="2467" xfId="0" applyFont="1" applyBorder="1" applyAlignment="1"/>
    <xf numFmtId="0" fontId="2468" fillId="0" borderId="2468" xfId="0" applyFont="1" applyBorder="1" applyAlignment="1"/>
    <xf numFmtId="0" fontId="2469" fillId="0" borderId="2469" xfId="0" applyFont="1" applyBorder="1" applyAlignment="1"/>
    <xf numFmtId="0" fontId="2470" fillId="0" borderId="2470" xfId="0" applyFont="1" applyBorder="1" applyAlignment="1"/>
    <xf numFmtId="0" fontId="2471" fillId="0" borderId="2471" xfId="0" applyFont="1" applyBorder="1" applyAlignment="1"/>
    <xf numFmtId="0" fontId="2472" fillId="0" borderId="2472" xfId="0" applyFont="1" applyBorder="1" applyAlignment="1"/>
    <xf numFmtId="0" fontId="2473" fillId="0" borderId="2473" xfId="0" applyFont="1" applyBorder="1" applyAlignment="1"/>
    <xf numFmtId="0" fontId="2474" fillId="0" borderId="2474" xfId="0" applyFont="1" applyBorder="1" applyAlignment="1"/>
    <xf numFmtId="0" fontId="2475" fillId="0" borderId="2475" xfId="0" applyFont="1" applyBorder="1" applyAlignment="1"/>
    <xf numFmtId="0" fontId="2476" fillId="0" borderId="2476" xfId="0" applyFont="1" applyBorder="1" applyAlignment="1"/>
    <xf numFmtId="0" fontId="2477" fillId="0" borderId="2477" xfId="0" applyFont="1" applyBorder="1" applyAlignment="1"/>
    <xf numFmtId="0" fontId="2478" fillId="0" borderId="2478" xfId="0" applyFont="1" applyBorder="1" applyAlignment="1"/>
    <xf numFmtId="0" fontId="2479" fillId="0" borderId="2479" xfId="0" applyFont="1" applyBorder="1" applyAlignment="1"/>
    <xf numFmtId="0" fontId="2480" fillId="0" borderId="2480" xfId="0" applyFont="1" applyBorder="1" applyAlignment="1"/>
    <xf numFmtId="0" fontId="2481" fillId="0" borderId="2481" xfId="0" applyFont="1" applyBorder="1" applyAlignment="1"/>
    <xf numFmtId="0" fontId="2482" fillId="0" borderId="2482" xfId="0" applyFont="1" applyBorder="1" applyAlignment="1"/>
    <xf numFmtId="0" fontId="2483" fillId="0" borderId="2483" xfId="0" applyFont="1" applyBorder="1" applyAlignment="1"/>
    <xf numFmtId="0" fontId="2484" fillId="0" borderId="2484" xfId="0" applyFont="1" applyBorder="1" applyAlignment="1"/>
    <xf numFmtId="0" fontId="2485" fillId="0" borderId="2485" xfId="0" applyFont="1" applyBorder="1" applyAlignment="1"/>
    <xf numFmtId="0" fontId="2486" fillId="0" borderId="2486" xfId="0" applyFont="1" applyBorder="1" applyAlignment="1"/>
    <xf numFmtId="0" fontId="2487" fillId="0" borderId="2487" xfId="0" applyFont="1" applyBorder="1" applyAlignment="1"/>
    <xf numFmtId="0" fontId="2488" fillId="0" borderId="2488" xfId="0" applyFont="1" applyBorder="1" applyAlignment="1"/>
    <xf numFmtId="0" fontId="2489" fillId="0" borderId="2489" xfId="0" applyFont="1" applyBorder="1" applyAlignment="1"/>
    <xf numFmtId="0" fontId="2490" fillId="0" borderId="2490" xfId="0" applyFont="1" applyBorder="1" applyAlignment="1"/>
    <xf numFmtId="0" fontId="2491" fillId="0" borderId="2491" xfId="0" applyFont="1" applyBorder="1" applyAlignment="1"/>
    <xf numFmtId="0" fontId="2492" fillId="0" borderId="2492" xfId="0" applyFont="1" applyBorder="1" applyAlignment="1"/>
    <xf numFmtId="0" fontId="2493" fillId="0" borderId="2493" xfId="0" applyFont="1" applyBorder="1" applyAlignment="1"/>
    <xf numFmtId="0" fontId="2494" fillId="0" borderId="2494" xfId="0" applyFont="1" applyBorder="1" applyAlignment="1"/>
    <xf numFmtId="0" fontId="2495" fillId="0" borderId="2495" xfId="0" applyFont="1" applyBorder="1" applyAlignment="1"/>
    <xf numFmtId="0" fontId="2496" fillId="0" borderId="2496" xfId="0" applyFont="1" applyBorder="1" applyAlignment="1"/>
    <xf numFmtId="0" fontId="2497" fillId="0" borderId="2497" xfId="0" applyFont="1" applyBorder="1" applyAlignment="1"/>
    <xf numFmtId="0" fontId="2498" fillId="0" borderId="2498" xfId="0" applyFont="1" applyBorder="1" applyAlignment="1"/>
    <xf numFmtId="0" fontId="2499" fillId="0" borderId="2499" xfId="0" applyFont="1" applyBorder="1" applyAlignment="1"/>
    <xf numFmtId="0" fontId="2500" fillId="0" borderId="2500" xfId="0" applyFont="1" applyBorder="1" applyAlignment="1"/>
    <xf numFmtId="0" fontId="2501" fillId="0" borderId="2501" xfId="0" applyFont="1" applyBorder="1" applyAlignment="1"/>
    <xf numFmtId="0" fontId="2502" fillId="0" borderId="2502" xfId="0" applyFont="1" applyBorder="1" applyAlignment="1"/>
    <xf numFmtId="0" fontId="2503" fillId="0" borderId="2503" xfId="0" applyFont="1" applyBorder="1" applyAlignment="1"/>
    <xf numFmtId="0" fontId="2504" fillId="0" borderId="2504" xfId="0" applyFont="1" applyBorder="1" applyAlignment="1"/>
    <xf numFmtId="0" fontId="2505" fillId="0" borderId="2505" xfId="0" applyFont="1" applyBorder="1" applyAlignment="1"/>
    <xf numFmtId="0" fontId="2506" fillId="0" borderId="2506" xfId="0" applyFont="1" applyBorder="1" applyAlignment="1"/>
    <xf numFmtId="0" fontId="2507" fillId="0" borderId="2507" xfId="0" applyFont="1" applyBorder="1" applyAlignment="1"/>
    <xf numFmtId="0" fontId="2508" fillId="0" borderId="2508" xfId="0" applyFont="1" applyBorder="1" applyAlignment="1"/>
    <xf numFmtId="0" fontId="2509" fillId="0" borderId="2509" xfId="0" applyFont="1" applyBorder="1" applyAlignment="1"/>
    <xf numFmtId="0" fontId="2510" fillId="0" borderId="2510" xfId="0" applyFont="1" applyBorder="1" applyAlignment="1"/>
    <xf numFmtId="0" fontId="2511" fillId="0" borderId="2511" xfId="0" applyFont="1" applyBorder="1" applyAlignment="1"/>
    <xf numFmtId="0" fontId="2512" fillId="0" borderId="2512" xfId="0" applyFont="1" applyBorder="1" applyAlignment="1"/>
    <xf numFmtId="0" fontId="2513" fillId="0" borderId="2513" xfId="0" applyFont="1" applyBorder="1" applyAlignment="1"/>
    <xf numFmtId="0" fontId="2514" fillId="0" borderId="2514" xfId="0" applyFont="1" applyBorder="1" applyAlignment="1"/>
    <xf numFmtId="0" fontId="2515" fillId="0" borderId="2515" xfId="0" applyFont="1" applyBorder="1" applyAlignment="1"/>
    <xf numFmtId="0" fontId="2516" fillId="0" borderId="2516" xfId="0" applyFont="1" applyBorder="1" applyAlignment="1"/>
    <xf numFmtId="0" fontId="2517" fillId="0" borderId="2517" xfId="0" applyFont="1" applyBorder="1" applyAlignment="1"/>
    <xf numFmtId="0" fontId="2518" fillId="0" borderId="2518" xfId="0" applyFont="1" applyBorder="1" applyAlignment="1"/>
    <xf numFmtId="0" fontId="2519" fillId="0" borderId="2519" xfId="0" applyFont="1" applyBorder="1" applyAlignment="1"/>
    <xf numFmtId="0" fontId="2520" fillId="0" borderId="2520" xfId="0" applyFont="1" applyBorder="1" applyAlignment="1"/>
    <xf numFmtId="0" fontId="2521" fillId="0" borderId="2521" xfId="0" applyFont="1" applyBorder="1" applyAlignment="1"/>
    <xf numFmtId="0" fontId="2522" fillId="0" borderId="2522" xfId="0" applyFont="1" applyBorder="1" applyAlignment="1"/>
    <xf numFmtId="0" fontId="2523" fillId="0" borderId="2523" xfId="0" applyFont="1" applyBorder="1" applyAlignment="1"/>
    <xf numFmtId="0" fontId="2524" fillId="0" borderId="2524" xfId="0" applyFont="1" applyBorder="1" applyAlignment="1"/>
    <xf numFmtId="0" fontId="2525" fillId="0" borderId="2525" xfId="0" applyFont="1" applyBorder="1" applyAlignment="1"/>
    <xf numFmtId="0" fontId="2526" fillId="0" borderId="2526" xfId="0" applyFont="1" applyBorder="1" applyAlignment="1"/>
    <xf numFmtId="0" fontId="2527" fillId="0" borderId="2527" xfId="0" applyFont="1" applyBorder="1" applyAlignment="1"/>
    <xf numFmtId="0" fontId="2528" fillId="0" borderId="2528" xfId="0" applyFont="1" applyBorder="1" applyAlignment="1"/>
    <xf numFmtId="0" fontId="2529" fillId="0" borderId="2529" xfId="0" applyFont="1" applyBorder="1" applyAlignment="1"/>
    <xf numFmtId="0" fontId="2530" fillId="0" borderId="2530" xfId="0" applyFont="1" applyBorder="1" applyAlignment="1"/>
    <xf numFmtId="0" fontId="2531" fillId="0" borderId="2531" xfId="0" applyFont="1" applyBorder="1" applyAlignment="1"/>
    <xf numFmtId="0" fontId="2532" fillId="0" borderId="2532" xfId="0" applyFont="1" applyBorder="1" applyAlignment="1"/>
    <xf numFmtId="0" fontId="2533" fillId="0" borderId="2533" xfId="0" applyFont="1" applyBorder="1" applyAlignment="1"/>
    <xf numFmtId="0" fontId="2534" fillId="0" borderId="2534" xfId="0" applyFont="1" applyBorder="1" applyAlignment="1"/>
    <xf numFmtId="0" fontId="2535" fillId="0" borderId="2535" xfId="0" applyFont="1" applyBorder="1" applyAlignment="1"/>
    <xf numFmtId="0" fontId="2536" fillId="0" borderId="2536" xfId="0" applyFont="1" applyBorder="1" applyAlignment="1"/>
    <xf numFmtId="0" fontId="2537" fillId="0" borderId="2537" xfId="0" applyFont="1" applyBorder="1" applyAlignment="1"/>
    <xf numFmtId="0" fontId="2538" fillId="0" borderId="2538" xfId="0" applyFont="1" applyBorder="1" applyAlignment="1"/>
    <xf numFmtId="0" fontId="2539" fillId="0" borderId="2539" xfId="0" applyFont="1" applyBorder="1" applyAlignment="1"/>
    <xf numFmtId="0" fontId="2540" fillId="0" borderId="2540" xfId="0" applyFont="1" applyBorder="1" applyAlignment="1"/>
    <xf numFmtId="0" fontId="2541" fillId="0" borderId="2541" xfId="0" applyFont="1" applyBorder="1" applyAlignment="1"/>
    <xf numFmtId="0" fontId="2542" fillId="0" borderId="2542" xfId="0" applyFont="1" applyBorder="1" applyAlignment="1"/>
    <xf numFmtId="0" fontId="2543" fillId="0" borderId="2543" xfId="0" applyFont="1" applyBorder="1" applyAlignment="1"/>
    <xf numFmtId="0" fontId="2544" fillId="0" borderId="2544" xfId="0" applyFont="1" applyBorder="1" applyAlignment="1"/>
    <xf numFmtId="0" fontId="2545" fillId="0" borderId="2545" xfId="0" applyFont="1" applyBorder="1" applyAlignment="1"/>
    <xf numFmtId="0" fontId="2546" fillId="0" borderId="2546" xfId="0" applyFont="1" applyBorder="1" applyAlignment="1"/>
    <xf numFmtId="0" fontId="2547" fillId="0" borderId="2547" xfId="0" applyFont="1" applyBorder="1" applyAlignment="1"/>
    <xf numFmtId="0" fontId="2548" fillId="0" borderId="2548" xfId="0" applyFont="1" applyBorder="1" applyAlignment="1"/>
    <xf numFmtId="0" fontId="2549" fillId="0" borderId="2549" xfId="0" applyFont="1" applyBorder="1" applyAlignment="1"/>
    <xf numFmtId="0" fontId="2550" fillId="0" borderId="2550" xfId="0" applyFont="1" applyBorder="1" applyAlignment="1"/>
    <xf numFmtId="0" fontId="2551" fillId="0" borderId="2551" xfId="0" applyFont="1" applyBorder="1" applyAlignment="1"/>
    <xf numFmtId="0" fontId="2552" fillId="0" borderId="2552" xfId="0" applyFont="1" applyBorder="1" applyAlignment="1"/>
    <xf numFmtId="0" fontId="2553" fillId="0" borderId="2553" xfId="0" applyFont="1" applyBorder="1" applyAlignment="1"/>
    <xf numFmtId="0" fontId="2554" fillId="0" borderId="2554" xfId="0" applyFont="1" applyBorder="1" applyAlignment="1"/>
    <xf numFmtId="0" fontId="2555" fillId="0" borderId="2555" xfId="0" applyFont="1" applyBorder="1" applyAlignment="1"/>
    <xf numFmtId="0" fontId="2556" fillId="0" borderId="2556" xfId="0" applyFont="1" applyBorder="1" applyAlignment="1"/>
    <xf numFmtId="0" fontId="2557" fillId="0" borderId="2557" xfId="0" applyFont="1" applyBorder="1" applyAlignment="1"/>
    <xf numFmtId="0" fontId="2558" fillId="0" borderId="2558" xfId="0" applyFont="1" applyBorder="1" applyAlignment="1"/>
    <xf numFmtId="0" fontId="2559" fillId="0" borderId="2559" xfId="0" applyFont="1" applyBorder="1" applyAlignment="1"/>
    <xf numFmtId="0" fontId="2560" fillId="0" borderId="2560" xfId="0" applyFont="1" applyBorder="1" applyAlignment="1"/>
    <xf numFmtId="0" fontId="2561" fillId="0" borderId="2561" xfId="0" applyFont="1" applyBorder="1" applyAlignment="1"/>
    <xf numFmtId="0" fontId="2562" fillId="0" borderId="2562" xfId="0" applyFont="1" applyBorder="1" applyAlignment="1"/>
    <xf numFmtId="0" fontId="2563" fillId="0" borderId="2563" xfId="0" applyFont="1" applyBorder="1" applyAlignment="1"/>
    <xf numFmtId="0" fontId="2564" fillId="0" borderId="2564" xfId="0" applyFont="1" applyBorder="1" applyAlignment="1"/>
    <xf numFmtId="0" fontId="2565" fillId="0" borderId="2565" xfId="0" applyFont="1" applyBorder="1" applyAlignment="1"/>
    <xf numFmtId="0" fontId="2566" fillId="0" borderId="2566" xfId="0" applyFont="1" applyBorder="1" applyAlignment="1"/>
    <xf numFmtId="0" fontId="2567" fillId="0" borderId="2567" xfId="0" applyFont="1" applyBorder="1" applyAlignment="1"/>
    <xf numFmtId="0" fontId="2568" fillId="0" borderId="2568" xfId="0" applyFont="1" applyBorder="1" applyAlignment="1"/>
    <xf numFmtId="0" fontId="2569" fillId="0" borderId="2569" xfId="0" applyFont="1" applyBorder="1" applyAlignment="1"/>
    <xf numFmtId="0" fontId="2570" fillId="0" borderId="2570" xfId="0" applyFont="1" applyBorder="1" applyAlignment="1"/>
    <xf numFmtId="0" fontId="2571" fillId="0" borderId="2571" xfId="0" applyFont="1" applyBorder="1" applyAlignment="1"/>
    <xf numFmtId="0" fontId="2572" fillId="0" borderId="2572" xfId="0" applyFont="1" applyBorder="1" applyAlignment="1"/>
    <xf numFmtId="0" fontId="2573" fillId="0" borderId="2573" xfId="0" applyFont="1" applyBorder="1" applyAlignment="1"/>
    <xf numFmtId="0" fontId="2574" fillId="0" borderId="2574" xfId="0" applyFont="1" applyBorder="1" applyAlignment="1"/>
    <xf numFmtId="0" fontId="2575" fillId="0" borderId="2575" xfId="0" applyFont="1" applyBorder="1" applyAlignment="1"/>
    <xf numFmtId="0" fontId="2576" fillId="0" borderId="2576" xfId="0" applyFont="1" applyBorder="1" applyAlignment="1"/>
    <xf numFmtId="0" fontId="2577" fillId="0" borderId="2577" xfId="0" applyFont="1" applyBorder="1" applyAlignment="1"/>
    <xf numFmtId="0" fontId="2578" fillId="0" borderId="2578" xfId="0" applyFont="1" applyBorder="1" applyAlignment="1"/>
    <xf numFmtId="0" fontId="2579" fillId="0" borderId="2579" xfId="0" applyFont="1" applyBorder="1" applyAlignment="1"/>
    <xf numFmtId="0" fontId="2580" fillId="0" borderId="2580" xfId="0" applyFont="1" applyBorder="1" applyAlignment="1"/>
    <xf numFmtId="0" fontId="2581" fillId="0" borderId="2581" xfId="0" applyFont="1" applyBorder="1" applyAlignment="1"/>
    <xf numFmtId="0" fontId="2582" fillId="0" borderId="2582" xfId="0" applyFont="1" applyBorder="1" applyAlignment="1"/>
    <xf numFmtId="0" fontId="2583" fillId="0" borderId="2583" xfId="0" applyFont="1" applyBorder="1" applyAlignment="1"/>
    <xf numFmtId="0" fontId="2584" fillId="0" borderId="2584" xfId="0" applyFont="1" applyBorder="1" applyAlignment="1"/>
    <xf numFmtId="0" fontId="2585" fillId="0" borderId="2585" xfId="0" applyFont="1" applyBorder="1" applyAlignment="1"/>
    <xf numFmtId="0" fontId="2586" fillId="0" borderId="2586" xfId="0" applyFont="1" applyBorder="1" applyAlignment="1"/>
    <xf numFmtId="0" fontId="2587" fillId="0" borderId="2587" xfId="0" applyFont="1" applyBorder="1" applyAlignment="1"/>
    <xf numFmtId="0" fontId="2588" fillId="0" borderId="2588" xfId="0" applyFont="1" applyBorder="1" applyAlignment="1"/>
    <xf numFmtId="0" fontId="2589" fillId="0" borderId="2589" xfId="0" applyFont="1" applyBorder="1" applyAlignment="1"/>
    <xf numFmtId="0" fontId="2590" fillId="0" borderId="2590" xfId="0" applyFont="1" applyBorder="1" applyAlignment="1"/>
    <xf numFmtId="0" fontId="2591" fillId="0" borderId="2591" xfId="0" applyFont="1" applyBorder="1" applyAlignment="1"/>
    <xf numFmtId="0" fontId="2592" fillId="0" borderId="2592" xfId="0" applyFont="1" applyBorder="1" applyAlignment="1"/>
    <xf numFmtId="0" fontId="2593" fillId="0" borderId="2593" xfId="0" applyFont="1" applyBorder="1" applyAlignment="1"/>
    <xf numFmtId="0" fontId="2594" fillId="0" borderId="2594" xfId="0" applyFont="1" applyBorder="1" applyAlignment="1"/>
    <xf numFmtId="0" fontId="2595" fillId="0" borderId="2595" xfId="0" applyFont="1" applyBorder="1" applyAlignment="1"/>
    <xf numFmtId="0" fontId="2596" fillId="0" borderId="2596" xfId="0" applyFont="1" applyBorder="1" applyAlignment="1"/>
    <xf numFmtId="0" fontId="2597" fillId="0" borderId="2597" xfId="0" applyFont="1" applyBorder="1" applyAlignment="1"/>
    <xf numFmtId="0" fontId="2598" fillId="0" borderId="2598" xfId="0" applyFont="1" applyBorder="1" applyAlignment="1"/>
    <xf numFmtId="0" fontId="2599" fillId="0" borderId="2599" xfId="0" applyFont="1" applyBorder="1" applyAlignment="1"/>
    <xf numFmtId="0" fontId="2600" fillId="0" borderId="2600" xfId="0" applyFont="1" applyBorder="1" applyAlignment="1"/>
    <xf numFmtId="0" fontId="2601" fillId="0" borderId="2601" xfId="0" applyFont="1" applyBorder="1" applyAlignment="1"/>
    <xf numFmtId="0" fontId="2602" fillId="0" borderId="2602" xfId="0" applyFont="1" applyBorder="1" applyAlignment="1"/>
    <xf numFmtId="0" fontId="2603" fillId="0" borderId="2603" xfId="0" applyFont="1" applyBorder="1" applyAlignment="1"/>
    <xf numFmtId="0" fontId="2604" fillId="0" borderId="2604" xfId="0" applyFont="1" applyBorder="1" applyAlignment="1"/>
    <xf numFmtId="0" fontId="2605" fillId="0" borderId="2605" xfId="0" applyFont="1" applyBorder="1" applyAlignment="1"/>
    <xf numFmtId="0" fontId="2606" fillId="0" borderId="2606" xfId="0" applyFont="1" applyBorder="1" applyAlignment="1"/>
    <xf numFmtId="0" fontId="2607" fillId="0" borderId="2607" xfId="0" applyFont="1" applyBorder="1" applyAlignment="1"/>
    <xf numFmtId="0" fontId="2608" fillId="0" borderId="2608" xfId="0" applyFont="1" applyBorder="1" applyAlignment="1"/>
    <xf numFmtId="0" fontId="2609" fillId="0" borderId="2609" xfId="0" applyFont="1" applyBorder="1" applyAlignment="1"/>
    <xf numFmtId="0" fontId="2610" fillId="0" borderId="2610" xfId="0" applyFont="1" applyBorder="1" applyAlignment="1"/>
    <xf numFmtId="0" fontId="2611" fillId="0" borderId="2611" xfId="0" applyFont="1" applyBorder="1" applyAlignment="1"/>
    <xf numFmtId="0" fontId="2612" fillId="0" borderId="2612" xfId="0" applyFont="1" applyBorder="1" applyAlignment="1"/>
    <xf numFmtId="0" fontId="2613" fillId="0" borderId="2613" xfId="0" applyFont="1" applyBorder="1" applyAlignment="1"/>
    <xf numFmtId="0" fontId="2614" fillId="0" borderId="2614" xfId="0" applyFont="1" applyBorder="1" applyAlignment="1"/>
    <xf numFmtId="0" fontId="2615" fillId="0" borderId="2615" xfId="0" applyFont="1" applyBorder="1" applyAlignment="1"/>
    <xf numFmtId="0" fontId="2616" fillId="0" borderId="2616" xfId="0" applyFont="1" applyBorder="1" applyAlignment="1"/>
    <xf numFmtId="0" fontId="2617" fillId="0" borderId="2617" xfId="0" applyFont="1" applyBorder="1" applyAlignment="1"/>
    <xf numFmtId="0" fontId="2618" fillId="0" borderId="2618" xfId="0" applyFont="1" applyBorder="1" applyAlignment="1"/>
    <xf numFmtId="0" fontId="2619" fillId="0" borderId="2619" xfId="0" applyFont="1" applyBorder="1" applyAlignment="1"/>
    <xf numFmtId="0" fontId="2620" fillId="0" borderId="2620" xfId="0" applyFont="1" applyBorder="1" applyAlignment="1"/>
    <xf numFmtId="0" fontId="2621" fillId="0" borderId="2621" xfId="0" applyFont="1" applyBorder="1" applyAlignment="1"/>
    <xf numFmtId="0" fontId="2622" fillId="0" borderId="2622" xfId="0" applyFont="1" applyBorder="1" applyAlignment="1"/>
    <xf numFmtId="0" fontId="2623" fillId="0" borderId="2623" xfId="0" applyFont="1" applyBorder="1" applyAlignment="1"/>
    <xf numFmtId="0" fontId="2624" fillId="0" borderId="2624" xfId="0" applyFont="1" applyBorder="1" applyAlignment="1"/>
    <xf numFmtId="0" fontId="2625" fillId="0" borderId="2625" xfId="0" applyFont="1" applyBorder="1" applyAlignment="1"/>
    <xf numFmtId="0" fontId="2626" fillId="0" borderId="2626" xfId="0" applyFont="1" applyBorder="1" applyAlignment="1"/>
    <xf numFmtId="0" fontId="2627" fillId="0" borderId="2627" xfId="0" applyFont="1" applyBorder="1" applyAlignment="1"/>
    <xf numFmtId="0" fontId="2628" fillId="0" borderId="2628" xfId="0" applyFont="1" applyBorder="1" applyAlignment="1"/>
    <xf numFmtId="0" fontId="2629" fillId="0" borderId="2629" xfId="0" applyFont="1" applyBorder="1" applyAlignment="1"/>
    <xf numFmtId="0" fontId="2630" fillId="0" borderId="2630" xfId="0" applyFont="1" applyBorder="1" applyAlignment="1"/>
    <xf numFmtId="0" fontId="2631" fillId="0" borderId="2631" xfId="0" applyFont="1" applyBorder="1" applyAlignment="1"/>
    <xf numFmtId="0" fontId="2632" fillId="0" borderId="2632" xfId="0" applyFont="1" applyBorder="1" applyAlignment="1"/>
    <xf numFmtId="0" fontId="2633" fillId="0" borderId="2633" xfId="0" applyFont="1" applyBorder="1" applyAlignment="1"/>
    <xf numFmtId="0" fontId="2634" fillId="0" borderId="2634" xfId="0" applyFont="1" applyBorder="1" applyAlignment="1"/>
    <xf numFmtId="0" fontId="2635" fillId="0" borderId="2635" xfId="0" applyFont="1" applyBorder="1" applyAlignment="1"/>
    <xf numFmtId="0" fontId="2636" fillId="0" borderId="2636" xfId="0" applyFont="1" applyBorder="1" applyAlignment="1"/>
    <xf numFmtId="0" fontId="2637" fillId="0" borderId="2637" xfId="0" applyFont="1" applyBorder="1" applyAlignment="1"/>
    <xf numFmtId="0" fontId="2638" fillId="0" borderId="2638" xfId="0" applyFont="1" applyBorder="1" applyAlignment="1"/>
    <xf numFmtId="0" fontId="2639" fillId="0" borderId="2639" xfId="0" applyFont="1" applyBorder="1" applyAlignment="1"/>
    <xf numFmtId="0" fontId="2640" fillId="0" borderId="2640" xfId="0" applyFont="1" applyBorder="1" applyAlignment="1"/>
    <xf numFmtId="0" fontId="2641" fillId="0" borderId="2641" xfId="0" applyFont="1" applyBorder="1" applyAlignment="1"/>
    <xf numFmtId="0" fontId="2642" fillId="0" borderId="2642" xfId="0" applyFont="1" applyBorder="1" applyAlignment="1"/>
    <xf numFmtId="0" fontId="2643" fillId="0" borderId="2643" xfId="0" applyFont="1" applyBorder="1" applyAlignment="1"/>
    <xf numFmtId="0" fontId="2644" fillId="0" borderId="2644" xfId="0" applyFont="1" applyBorder="1" applyAlignment="1"/>
    <xf numFmtId="0" fontId="2645" fillId="0" borderId="2645" xfId="0" applyFont="1" applyBorder="1" applyAlignment="1"/>
    <xf numFmtId="0" fontId="2646" fillId="0" borderId="2646" xfId="0" applyFont="1" applyBorder="1" applyAlignment="1"/>
    <xf numFmtId="0" fontId="2647" fillId="0" borderId="2647" xfId="0" applyFont="1" applyBorder="1" applyAlignment="1"/>
    <xf numFmtId="0" fontId="2648" fillId="0" borderId="2648" xfId="0" applyFont="1" applyBorder="1" applyAlignment="1"/>
    <xf numFmtId="0" fontId="2649" fillId="0" borderId="2649" xfId="0" applyFont="1" applyBorder="1" applyAlignment="1"/>
    <xf numFmtId="0" fontId="2650" fillId="0" borderId="2650" xfId="0" applyFont="1" applyBorder="1" applyAlignment="1"/>
    <xf numFmtId="0" fontId="2651" fillId="0" borderId="2651" xfId="0" applyFont="1" applyBorder="1" applyAlignment="1"/>
    <xf numFmtId="0" fontId="2652" fillId="0" borderId="2652" xfId="0" applyFont="1" applyBorder="1" applyAlignment="1"/>
    <xf numFmtId="0" fontId="2653" fillId="0" borderId="2653" xfId="0" applyFont="1" applyBorder="1" applyAlignment="1"/>
    <xf numFmtId="0" fontId="2654" fillId="0" borderId="2654" xfId="0" applyFont="1" applyBorder="1" applyAlignment="1"/>
    <xf numFmtId="0" fontId="2655" fillId="0" borderId="2655" xfId="0" applyFont="1" applyBorder="1" applyAlignment="1"/>
    <xf numFmtId="0" fontId="2656" fillId="0" borderId="2656" xfId="0" applyFont="1" applyBorder="1" applyAlignment="1"/>
    <xf numFmtId="0" fontId="2657" fillId="0" borderId="2657" xfId="0" applyFont="1" applyBorder="1" applyAlignment="1"/>
    <xf numFmtId="0" fontId="2658" fillId="0" borderId="2658" xfId="0" applyFont="1" applyBorder="1" applyAlignment="1"/>
    <xf numFmtId="0" fontId="2659" fillId="0" borderId="2659" xfId="0" applyFont="1" applyBorder="1" applyAlignment="1"/>
    <xf numFmtId="0" fontId="2660" fillId="0" borderId="2660" xfId="0" applyFont="1" applyBorder="1" applyAlignment="1"/>
    <xf numFmtId="0" fontId="2661" fillId="0" borderId="2661" xfId="0" applyFont="1" applyBorder="1" applyAlignment="1"/>
    <xf numFmtId="0" fontId="2662" fillId="0" borderId="2662" xfId="0" applyFont="1" applyBorder="1" applyAlignment="1"/>
    <xf numFmtId="0" fontId="2663" fillId="0" borderId="2663" xfId="0" applyFont="1" applyBorder="1" applyAlignment="1"/>
    <xf numFmtId="0" fontId="2664" fillId="0" borderId="2664" xfId="0" applyFont="1" applyBorder="1" applyAlignment="1"/>
    <xf numFmtId="0" fontId="2665" fillId="0" borderId="2665" xfId="0" applyFont="1" applyBorder="1" applyAlignment="1"/>
    <xf numFmtId="0" fontId="2666" fillId="0" borderId="2666" xfId="0" applyFont="1" applyBorder="1" applyAlignment="1"/>
    <xf numFmtId="0" fontId="2667" fillId="0" borderId="2667" xfId="0" applyFont="1" applyBorder="1" applyAlignment="1"/>
    <xf numFmtId="0" fontId="2668" fillId="0" borderId="2668" xfId="0" applyFont="1" applyBorder="1" applyAlignment="1"/>
    <xf numFmtId="0" fontId="2669" fillId="0" borderId="2669" xfId="0" applyFont="1" applyBorder="1" applyAlignment="1"/>
    <xf numFmtId="0" fontId="2670" fillId="0" borderId="2670" xfId="0" applyFont="1" applyBorder="1" applyAlignment="1"/>
    <xf numFmtId="0" fontId="2671" fillId="0" borderId="2671" xfId="0" applyFont="1" applyBorder="1" applyAlignment="1"/>
    <xf numFmtId="0" fontId="2672" fillId="0" borderId="2672" xfId="0" applyFont="1" applyBorder="1" applyAlignment="1"/>
    <xf numFmtId="0" fontId="2673" fillId="0" borderId="2673" xfId="0" applyFont="1" applyBorder="1" applyAlignment="1"/>
    <xf numFmtId="0" fontId="2674" fillId="0" borderId="2674" xfId="0" applyFont="1" applyBorder="1" applyAlignment="1"/>
    <xf numFmtId="0" fontId="2675" fillId="0" borderId="2675" xfId="0" applyFont="1" applyBorder="1" applyAlignment="1"/>
    <xf numFmtId="0" fontId="2676" fillId="0" borderId="2676" xfId="0" applyFont="1" applyBorder="1" applyAlignment="1"/>
    <xf numFmtId="0" fontId="2677" fillId="0" borderId="2677" xfId="0" applyFont="1" applyBorder="1" applyAlignment="1"/>
    <xf numFmtId="0" fontId="2678" fillId="0" borderId="2678" xfId="0" applyFont="1" applyBorder="1" applyAlignment="1"/>
    <xf numFmtId="0" fontId="2679" fillId="0" borderId="2679" xfId="0" applyFont="1" applyBorder="1" applyAlignment="1"/>
    <xf numFmtId="0" fontId="2680" fillId="0" borderId="2680" xfId="0" applyFont="1" applyBorder="1" applyAlignment="1"/>
    <xf numFmtId="0" fontId="2681" fillId="0" borderId="2681" xfId="0" applyFont="1" applyBorder="1" applyAlignment="1"/>
    <xf numFmtId="0" fontId="2682" fillId="0" borderId="2682" xfId="0" applyFont="1" applyBorder="1" applyAlignment="1"/>
    <xf numFmtId="0" fontId="2683" fillId="0" borderId="2683" xfId="0" applyFont="1" applyBorder="1" applyAlignment="1"/>
    <xf numFmtId="0" fontId="2684" fillId="0" borderId="2684" xfId="0" applyFont="1" applyBorder="1" applyAlignment="1"/>
    <xf numFmtId="0" fontId="2685" fillId="0" borderId="2685" xfId="0" applyFont="1" applyBorder="1" applyAlignment="1"/>
    <xf numFmtId="0" fontId="2686" fillId="0" borderId="2686" xfId="0" applyFont="1" applyBorder="1" applyAlignment="1"/>
    <xf numFmtId="0" fontId="2687" fillId="0" borderId="2687" xfId="0" applyFont="1" applyBorder="1" applyAlignment="1"/>
    <xf numFmtId="0" fontId="2688" fillId="0" borderId="2688" xfId="0" applyFont="1" applyBorder="1" applyAlignment="1"/>
    <xf numFmtId="0" fontId="2689" fillId="0" borderId="2689" xfId="0" applyFont="1" applyBorder="1" applyAlignment="1"/>
    <xf numFmtId="0" fontId="2690" fillId="0" borderId="2690" xfId="0" applyFont="1" applyBorder="1" applyAlignment="1"/>
    <xf numFmtId="0" fontId="2691" fillId="0" borderId="2691" xfId="0" applyFont="1" applyBorder="1" applyAlignment="1"/>
    <xf numFmtId="0" fontId="2692" fillId="0" borderId="2692" xfId="0" applyFont="1" applyBorder="1" applyAlignment="1"/>
    <xf numFmtId="0" fontId="2693" fillId="0" borderId="2693" xfId="0" applyFont="1" applyBorder="1" applyAlignment="1"/>
    <xf numFmtId="0" fontId="2694" fillId="0" borderId="2694" xfId="0" applyFont="1" applyBorder="1" applyAlignment="1"/>
    <xf numFmtId="0" fontId="2695" fillId="0" borderId="2695" xfId="0" applyFont="1" applyBorder="1" applyAlignment="1"/>
    <xf numFmtId="0" fontId="2696" fillId="0" borderId="2696" xfId="0" applyFont="1" applyBorder="1" applyAlignment="1"/>
    <xf numFmtId="0" fontId="2697" fillId="0" borderId="2697" xfId="0" applyFont="1" applyBorder="1" applyAlignment="1"/>
    <xf numFmtId="0" fontId="2698" fillId="0" borderId="2698" xfId="0" applyFont="1" applyBorder="1" applyAlignment="1"/>
    <xf numFmtId="0" fontId="2699" fillId="0" borderId="2699" xfId="0" applyFont="1" applyBorder="1" applyAlignment="1"/>
    <xf numFmtId="0" fontId="2700" fillId="0" borderId="2700" xfId="0" applyFont="1" applyBorder="1" applyAlignment="1"/>
    <xf numFmtId="0" fontId="2701" fillId="0" borderId="2701" xfId="0" applyFont="1" applyBorder="1" applyAlignment="1"/>
    <xf numFmtId="0" fontId="2702" fillId="0" borderId="2702" xfId="0" applyFont="1" applyBorder="1" applyAlignment="1"/>
    <xf numFmtId="0" fontId="2703" fillId="0" borderId="2703" xfId="0" applyFont="1" applyBorder="1" applyAlignment="1"/>
    <xf numFmtId="0" fontId="2704" fillId="0" borderId="2704" xfId="0" applyFont="1" applyBorder="1" applyAlignment="1"/>
    <xf numFmtId="0" fontId="2705" fillId="0" borderId="2705" xfId="0" applyFont="1" applyBorder="1" applyAlignment="1"/>
    <xf numFmtId="0" fontId="2706" fillId="0" borderId="2706" xfId="0" applyFont="1" applyBorder="1" applyAlignment="1"/>
    <xf numFmtId="0" fontId="2707" fillId="0" borderId="2707" xfId="0" applyFont="1" applyBorder="1" applyAlignment="1"/>
    <xf numFmtId="0" fontId="2708" fillId="0" borderId="2708" xfId="0" applyFont="1" applyBorder="1" applyAlignment="1"/>
    <xf numFmtId="0" fontId="2709" fillId="0" borderId="2709" xfId="0" applyFont="1" applyBorder="1" applyAlignment="1"/>
    <xf numFmtId="0" fontId="2710" fillId="0" borderId="2710" xfId="0" applyFont="1" applyBorder="1" applyAlignment="1"/>
    <xf numFmtId="0" fontId="2711" fillId="0" borderId="2711" xfId="0" applyFont="1" applyBorder="1" applyAlignment="1"/>
    <xf numFmtId="0" fontId="2712" fillId="0" borderId="2712" xfId="0" applyFont="1" applyBorder="1" applyAlignment="1"/>
    <xf numFmtId="0" fontId="2713" fillId="0" borderId="2713" xfId="0" applyFont="1" applyBorder="1" applyAlignment="1"/>
    <xf numFmtId="0" fontId="2714" fillId="0" borderId="2714" xfId="0" applyFont="1" applyBorder="1" applyAlignment="1"/>
    <xf numFmtId="0" fontId="2715" fillId="0" borderId="2715" xfId="0" applyFont="1" applyBorder="1" applyAlignment="1"/>
    <xf numFmtId="0" fontId="2716" fillId="0" borderId="2716" xfId="0" applyFont="1" applyBorder="1" applyAlignment="1"/>
    <xf numFmtId="0" fontId="2717" fillId="0" borderId="2717" xfId="0" applyFont="1" applyBorder="1" applyAlignment="1"/>
    <xf numFmtId="0" fontId="2718" fillId="0" borderId="2718" xfId="0" applyFont="1" applyBorder="1" applyAlignment="1"/>
    <xf numFmtId="0" fontId="2719" fillId="0" borderId="2719" xfId="0" applyFont="1" applyBorder="1" applyAlignment="1"/>
    <xf numFmtId="0" fontId="2720" fillId="0" borderId="2720" xfId="0" applyFont="1" applyBorder="1" applyAlignment="1"/>
    <xf numFmtId="0" fontId="2721" fillId="0" borderId="2721" xfId="0" applyFont="1" applyBorder="1" applyAlignment="1"/>
    <xf numFmtId="0" fontId="2722" fillId="0" borderId="2722" xfId="0" applyFont="1" applyBorder="1" applyAlignment="1"/>
    <xf numFmtId="0" fontId="2723" fillId="0" borderId="2723" xfId="0" applyFont="1" applyBorder="1" applyAlignment="1"/>
    <xf numFmtId="0" fontId="2724" fillId="0" borderId="2724" xfId="0" applyFont="1" applyBorder="1" applyAlignment="1"/>
    <xf numFmtId="0" fontId="2725" fillId="0" borderId="2725" xfId="0" applyFont="1" applyBorder="1" applyAlignment="1"/>
    <xf numFmtId="0" fontId="2726" fillId="0" borderId="2726" xfId="0" applyFont="1" applyBorder="1" applyAlignment="1"/>
    <xf numFmtId="0" fontId="2727" fillId="0" borderId="2727" xfId="0" applyFont="1" applyBorder="1" applyAlignment="1"/>
    <xf numFmtId="0" fontId="2728" fillId="0" borderId="2728" xfId="0" applyFont="1" applyBorder="1" applyAlignment="1"/>
    <xf numFmtId="0" fontId="2729" fillId="0" borderId="2729" xfId="0" applyFont="1" applyBorder="1" applyAlignment="1"/>
    <xf numFmtId="0" fontId="2730" fillId="0" borderId="2730" xfId="0" applyFont="1" applyBorder="1" applyAlignment="1"/>
    <xf numFmtId="0" fontId="2731" fillId="0" borderId="2731" xfId="0" applyFont="1" applyBorder="1" applyAlignment="1"/>
    <xf numFmtId="0" fontId="2732" fillId="0" borderId="2732" xfId="0" applyFont="1" applyBorder="1" applyAlignment="1"/>
    <xf numFmtId="0" fontId="2733" fillId="0" borderId="2733" xfId="0" applyFont="1" applyBorder="1" applyAlignment="1"/>
    <xf numFmtId="0" fontId="2734" fillId="0" borderId="2734" xfId="0" applyFont="1" applyBorder="1" applyAlignment="1"/>
    <xf numFmtId="0" fontId="2735" fillId="0" borderId="2735" xfId="0" applyFont="1" applyBorder="1" applyAlignment="1"/>
    <xf numFmtId="0" fontId="2736" fillId="0" borderId="2736" xfId="0" applyFont="1" applyBorder="1" applyAlignment="1"/>
    <xf numFmtId="0" fontId="2737" fillId="0" borderId="2737" xfId="0" applyFont="1" applyBorder="1" applyAlignment="1"/>
    <xf numFmtId="0" fontId="2738" fillId="0" borderId="2738" xfId="0" applyFont="1" applyBorder="1" applyAlignment="1"/>
    <xf numFmtId="0" fontId="2739" fillId="0" borderId="2739" xfId="0" applyFont="1" applyBorder="1" applyAlignment="1"/>
    <xf numFmtId="0" fontId="2740" fillId="0" borderId="2740" xfId="0" applyFont="1" applyBorder="1" applyAlignment="1"/>
    <xf numFmtId="0" fontId="2741" fillId="0" borderId="2741" xfId="0" applyFont="1" applyBorder="1" applyAlignment="1"/>
    <xf numFmtId="0" fontId="2742" fillId="0" borderId="2742" xfId="0" applyFont="1" applyBorder="1" applyAlignment="1"/>
    <xf numFmtId="0" fontId="2743" fillId="0" borderId="2743" xfId="0" applyFont="1" applyBorder="1" applyAlignment="1"/>
    <xf numFmtId="0" fontId="2744" fillId="0" borderId="2744" xfId="0" applyFont="1" applyBorder="1" applyAlignment="1"/>
    <xf numFmtId="0" fontId="2745" fillId="0" borderId="2745" xfId="0" applyFont="1" applyBorder="1" applyAlignment="1"/>
    <xf numFmtId="0" fontId="2746" fillId="0" borderId="2746" xfId="0" applyFont="1" applyBorder="1" applyAlignment="1"/>
    <xf numFmtId="0" fontId="2747" fillId="0" borderId="2747" xfId="0" applyFont="1" applyBorder="1" applyAlignment="1"/>
    <xf numFmtId="0" fontId="2748" fillId="0" borderId="2748" xfId="0" applyFont="1" applyBorder="1" applyAlignment="1"/>
    <xf numFmtId="0" fontId="2749" fillId="0" borderId="2749" xfId="0" applyFont="1" applyBorder="1" applyAlignment="1"/>
    <xf numFmtId="0" fontId="2750" fillId="0" borderId="2750" xfId="0" applyFont="1" applyBorder="1" applyAlignment="1"/>
    <xf numFmtId="0" fontId="2751" fillId="0" borderId="2751" xfId="0" applyFont="1" applyBorder="1" applyAlignment="1"/>
    <xf numFmtId="0" fontId="2752" fillId="0" borderId="2752" xfId="0" applyFont="1" applyBorder="1" applyAlignment="1"/>
    <xf numFmtId="0" fontId="2753" fillId="0" borderId="2753" xfId="0" applyFont="1" applyBorder="1" applyAlignment="1"/>
    <xf numFmtId="0" fontId="2754" fillId="0" borderId="2754" xfId="0" applyFont="1" applyBorder="1" applyAlignment="1"/>
    <xf numFmtId="0" fontId="2755" fillId="0" borderId="2755" xfId="0" applyFont="1" applyBorder="1" applyAlignment="1"/>
    <xf numFmtId="0" fontId="2756" fillId="0" borderId="2756" xfId="0" applyFont="1" applyBorder="1" applyAlignment="1"/>
    <xf numFmtId="0" fontId="2757" fillId="0" borderId="2757" xfId="0" applyFont="1" applyBorder="1" applyAlignment="1"/>
    <xf numFmtId="0" fontId="2758" fillId="0" borderId="2758" xfId="0" applyFont="1" applyBorder="1" applyAlignment="1"/>
    <xf numFmtId="0" fontId="2759" fillId="0" borderId="2759" xfId="0" applyFont="1" applyBorder="1" applyAlignment="1"/>
    <xf numFmtId="0" fontId="2760" fillId="0" borderId="2760" xfId="0" applyFont="1" applyBorder="1" applyAlignment="1"/>
    <xf numFmtId="0" fontId="2761" fillId="0" borderId="2761" xfId="0" applyFont="1" applyBorder="1" applyAlignment="1"/>
    <xf numFmtId="0" fontId="2762" fillId="0" borderId="2762" xfId="0" applyFont="1" applyBorder="1" applyAlignment="1"/>
    <xf numFmtId="0" fontId="2763" fillId="0" borderId="2763" xfId="0" applyFont="1" applyBorder="1" applyAlignment="1"/>
    <xf numFmtId="0" fontId="2764" fillId="0" borderId="2764" xfId="0" applyFont="1" applyBorder="1" applyAlignment="1"/>
    <xf numFmtId="0" fontId="2765" fillId="0" borderId="2765" xfId="0" applyFont="1" applyBorder="1" applyAlignment="1"/>
    <xf numFmtId="0" fontId="2766" fillId="0" borderId="2766" xfId="0" applyFont="1" applyBorder="1" applyAlignment="1"/>
    <xf numFmtId="0" fontId="2767" fillId="0" borderId="2767" xfId="0" applyFont="1" applyBorder="1" applyAlignment="1"/>
    <xf numFmtId="0" fontId="2768" fillId="0" borderId="2768" xfId="0" applyFont="1" applyBorder="1" applyAlignment="1"/>
    <xf numFmtId="0" fontId="2769" fillId="0" borderId="2769" xfId="0" applyFont="1" applyBorder="1" applyAlignment="1"/>
    <xf numFmtId="0" fontId="2770" fillId="0" borderId="2770" xfId="0" applyFont="1" applyBorder="1" applyAlignment="1"/>
    <xf numFmtId="0" fontId="2771" fillId="0" borderId="2771" xfId="0" applyFont="1" applyBorder="1" applyAlignment="1"/>
    <xf numFmtId="0" fontId="2772" fillId="0" borderId="2772" xfId="0" applyFont="1" applyBorder="1" applyAlignment="1"/>
    <xf numFmtId="0" fontId="2773" fillId="0" borderId="2773" xfId="0" applyFont="1" applyBorder="1" applyAlignment="1"/>
    <xf numFmtId="0" fontId="2774" fillId="0" borderId="2774" xfId="0" applyFont="1" applyBorder="1" applyAlignment="1"/>
    <xf numFmtId="0" fontId="2775" fillId="0" borderId="2775" xfId="0" applyFont="1" applyBorder="1" applyAlignment="1"/>
    <xf numFmtId="0" fontId="2776" fillId="0" borderId="2776" xfId="0" applyFont="1" applyBorder="1" applyAlignment="1"/>
    <xf numFmtId="0" fontId="2777" fillId="0" borderId="2777" xfId="0" applyFont="1" applyBorder="1" applyAlignment="1"/>
    <xf numFmtId="0" fontId="2778" fillId="0" borderId="2778" xfId="0" applyFont="1" applyBorder="1" applyAlignment="1"/>
    <xf numFmtId="0" fontId="2779" fillId="0" borderId="2779" xfId="0" applyFont="1" applyBorder="1" applyAlignment="1"/>
    <xf numFmtId="0" fontId="2780" fillId="0" borderId="2780" xfId="0" applyFont="1" applyBorder="1" applyAlignment="1"/>
    <xf numFmtId="0" fontId="2781" fillId="0" borderId="2781" xfId="0" applyFont="1" applyBorder="1" applyAlignment="1"/>
    <xf numFmtId="0" fontId="2782" fillId="0" borderId="2782" xfId="0" applyFont="1" applyBorder="1" applyAlignment="1"/>
    <xf numFmtId="0" fontId="2783" fillId="0" borderId="2783" xfId="0" applyFont="1" applyBorder="1" applyAlignment="1"/>
    <xf numFmtId="0" fontId="2784" fillId="0" borderId="2784" xfId="0" applyFont="1" applyBorder="1" applyAlignment="1"/>
    <xf numFmtId="0" fontId="2785" fillId="0" borderId="2785" xfId="0" applyFont="1" applyBorder="1" applyAlignment="1"/>
    <xf numFmtId="0" fontId="2786" fillId="0" borderId="2786" xfId="0" applyFont="1" applyBorder="1" applyAlignment="1"/>
    <xf numFmtId="0" fontId="2787" fillId="0" borderId="2787" xfId="0" applyFont="1" applyBorder="1" applyAlignment="1"/>
    <xf numFmtId="0" fontId="2788" fillId="0" borderId="2788" xfId="0" applyFont="1" applyBorder="1" applyAlignment="1"/>
    <xf numFmtId="0" fontId="2789" fillId="0" borderId="2789" xfId="0" applyFont="1" applyBorder="1" applyAlignment="1"/>
    <xf numFmtId="0" fontId="2790" fillId="0" borderId="2790" xfId="0" applyFont="1" applyBorder="1" applyAlignment="1"/>
    <xf numFmtId="0" fontId="2791" fillId="0" borderId="2791" xfId="0" applyFont="1" applyBorder="1" applyAlignment="1"/>
    <xf numFmtId="0" fontId="2792" fillId="0" borderId="2792" xfId="0" applyFont="1" applyBorder="1" applyAlignment="1"/>
    <xf numFmtId="0" fontId="2793" fillId="0" borderId="2793" xfId="0" applyFont="1" applyBorder="1" applyAlignment="1"/>
    <xf numFmtId="0" fontId="2794" fillId="0" borderId="2794" xfId="0" applyFont="1" applyBorder="1" applyAlignment="1"/>
    <xf numFmtId="0" fontId="2795" fillId="0" borderId="2795" xfId="0" applyFont="1" applyBorder="1" applyAlignment="1"/>
    <xf numFmtId="0" fontId="2796" fillId="0" borderId="2796" xfId="0" applyFont="1" applyBorder="1" applyAlignment="1"/>
    <xf numFmtId="0" fontId="2797" fillId="0" borderId="2797" xfId="0" applyFont="1" applyBorder="1" applyAlignment="1"/>
    <xf numFmtId="0" fontId="2798" fillId="0" borderId="2798" xfId="0" applyFont="1" applyBorder="1" applyAlignment="1"/>
    <xf numFmtId="0" fontId="2799" fillId="0" borderId="2799" xfId="0" applyFont="1" applyBorder="1" applyAlignment="1"/>
    <xf numFmtId="0" fontId="2800" fillId="0" borderId="2800" xfId="0" applyFont="1" applyBorder="1" applyAlignment="1"/>
    <xf numFmtId="0" fontId="2801" fillId="0" borderId="2801" xfId="0" applyFont="1" applyBorder="1" applyAlignment="1"/>
    <xf numFmtId="0" fontId="2802" fillId="0" borderId="2802" xfId="0" applyFont="1" applyBorder="1" applyAlignment="1"/>
    <xf numFmtId="0" fontId="2803" fillId="0" borderId="2803" xfId="0" applyFont="1" applyBorder="1" applyAlignment="1"/>
    <xf numFmtId="0" fontId="2804" fillId="0" borderId="2804" xfId="0" applyFont="1" applyBorder="1" applyAlignment="1"/>
    <xf numFmtId="0" fontId="2805" fillId="0" borderId="2805" xfId="0" applyFont="1" applyBorder="1" applyAlignment="1"/>
    <xf numFmtId="0" fontId="2806" fillId="0" borderId="2806" xfId="0" applyFont="1" applyBorder="1" applyAlignment="1"/>
    <xf numFmtId="0" fontId="2807" fillId="0" borderId="2807" xfId="0" applyFont="1" applyBorder="1" applyAlignment="1"/>
    <xf numFmtId="0" fontId="2808" fillId="0" borderId="2808" xfId="0" applyFont="1" applyBorder="1" applyAlignment="1"/>
    <xf numFmtId="0" fontId="2809" fillId="0" borderId="2809" xfId="0" applyFont="1" applyBorder="1" applyAlignment="1"/>
    <xf numFmtId="0" fontId="2810" fillId="0" borderId="2810" xfId="0" applyFont="1" applyBorder="1" applyAlignment="1"/>
    <xf numFmtId="0" fontId="2811" fillId="0" borderId="2811" xfId="0" applyFont="1" applyBorder="1" applyAlignment="1"/>
    <xf numFmtId="0" fontId="2812" fillId="0" borderId="2812" xfId="0" applyFont="1" applyBorder="1" applyAlignment="1"/>
    <xf numFmtId="0" fontId="2813" fillId="0" borderId="2813" xfId="0" applyFont="1" applyBorder="1" applyAlignment="1"/>
    <xf numFmtId="0" fontId="2814" fillId="0" borderId="2814" xfId="0" applyFont="1" applyBorder="1" applyAlignment="1"/>
    <xf numFmtId="0" fontId="2815" fillId="0" borderId="2815" xfId="0" applyFont="1" applyBorder="1" applyAlignment="1"/>
    <xf numFmtId="0" fontId="2816" fillId="0" borderId="2816" xfId="0" applyFont="1" applyBorder="1" applyAlignment="1"/>
    <xf numFmtId="0" fontId="2817" fillId="0" borderId="2817" xfId="0" applyFont="1" applyBorder="1" applyAlignment="1"/>
    <xf numFmtId="0" fontId="2818" fillId="0" borderId="2818" xfId="0" applyFont="1" applyBorder="1" applyAlignment="1"/>
    <xf numFmtId="0" fontId="2819" fillId="0" borderId="2819" xfId="0" applyFont="1" applyBorder="1" applyAlignment="1"/>
    <xf numFmtId="0" fontId="2820" fillId="0" borderId="2820" xfId="0" applyFont="1" applyBorder="1" applyAlignment="1"/>
    <xf numFmtId="0" fontId="2821" fillId="0" borderId="2821" xfId="0" applyFont="1" applyBorder="1" applyAlignment="1"/>
    <xf numFmtId="0" fontId="2822" fillId="0" borderId="2822" xfId="0" applyFont="1" applyBorder="1" applyAlignment="1"/>
    <xf numFmtId="0" fontId="2823" fillId="0" borderId="2823" xfId="0" applyFont="1" applyBorder="1" applyAlignment="1"/>
    <xf numFmtId="0" fontId="2824" fillId="0" borderId="2824" xfId="0" applyFont="1" applyBorder="1" applyAlignment="1"/>
    <xf numFmtId="0" fontId="2825" fillId="0" borderId="2825" xfId="0" applyFont="1" applyBorder="1" applyAlignment="1"/>
    <xf numFmtId="0" fontId="2826" fillId="0" borderId="2826" xfId="0" applyFont="1" applyBorder="1" applyAlignment="1"/>
    <xf numFmtId="0" fontId="2827" fillId="0" borderId="2827" xfId="0" applyFont="1" applyBorder="1" applyAlignment="1"/>
    <xf numFmtId="0" fontId="2828" fillId="0" borderId="2828" xfId="0" applyFont="1" applyBorder="1" applyAlignment="1"/>
    <xf numFmtId="0" fontId="2829" fillId="0" borderId="2829" xfId="0" applyFont="1" applyBorder="1" applyAlignment="1"/>
    <xf numFmtId="0" fontId="2830" fillId="0" borderId="2830" xfId="0" applyFont="1" applyBorder="1" applyAlignment="1"/>
    <xf numFmtId="0" fontId="2831" fillId="0" borderId="2831" xfId="0" applyFont="1" applyBorder="1" applyAlignment="1"/>
    <xf numFmtId="0" fontId="2832" fillId="0" borderId="2832" xfId="0" applyFont="1" applyBorder="1" applyAlignment="1"/>
    <xf numFmtId="0" fontId="2833" fillId="0" borderId="2833" xfId="0" applyFont="1" applyBorder="1" applyAlignment="1"/>
    <xf numFmtId="0" fontId="2834" fillId="0" borderId="2834" xfId="0" applyFont="1" applyBorder="1" applyAlignment="1"/>
    <xf numFmtId="0" fontId="2835" fillId="0" borderId="2835" xfId="0" applyFont="1" applyBorder="1" applyAlignment="1"/>
    <xf numFmtId="0" fontId="2836" fillId="0" borderId="2836" xfId="0" applyFont="1" applyBorder="1" applyAlignment="1"/>
    <xf numFmtId="0" fontId="2837" fillId="0" borderId="2837" xfId="0" applyFont="1" applyBorder="1" applyAlignment="1"/>
    <xf numFmtId="0" fontId="2838" fillId="0" borderId="2838" xfId="0" applyFont="1" applyBorder="1" applyAlignment="1"/>
    <xf numFmtId="0" fontId="2839" fillId="0" borderId="2839" xfId="0" applyFont="1" applyBorder="1" applyAlignment="1"/>
    <xf numFmtId="0" fontId="2840" fillId="0" borderId="2840" xfId="0" applyFont="1" applyBorder="1" applyAlignment="1"/>
    <xf numFmtId="0" fontId="2841" fillId="0" borderId="2841" xfId="0" applyFont="1" applyBorder="1" applyAlignment="1"/>
    <xf numFmtId="0" fontId="2842" fillId="0" borderId="2842" xfId="0" applyFont="1" applyBorder="1" applyAlignment="1"/>
    <xf numFmtId="0" fontId="2843" fillId="0" borderId="2843" xfId="0" applyFont="1" applyBorder="1" applyAlignment="1"/>
    <xf numFmtId="0" fontId="2844" fillId="0" borderId="2844" xfId="0" applyFont="1" applyBorder="1" applyAlignment="1"/>
    <xf numFmtId="0" fontId="2845" fillId="0" borderId="2845" xfId="0" applyFont="1" applyBorder="1" applyAlignment="1"/>
    <xf numFmtId="0" fontId="2846" fillId="0" borderId="2846" xfId="0" applyFont="1" applyBorder="1" applyAlignment="1"/>
    <xf numFmtId="0" fontId="2847" fillId="0" borderId="2847" xfId="0" applyFont="1" applyBorder="1" applyAlignment="1"/>
    <xf numFmtId="0" fontId="2848" fillId="0" borderId="2848" xfId="0" applyFont="1" applyBorder="1" applyAlignment="1"/>
    <xf numFmtId="0" fontId="2849" fillId="0" borderId="2849" xfId="0" applyFont="1" applyBorder="1" applyAlignment="1"/>
    <xf numFmtId="0" fontId="2850" fillId="0" borderId="2850" xfId="0" applyFont="1" applyBorder="1" applyAlignment="1"/>
    <xf numFmtId="0" fontId="2851" fillId="0" borderId="2851" xfId="0" applyFont="1" applyBorder="1" applyAlignment="1"/>
    <xf numFmtId="0" fontId="2852" fillId="0" borderId="2852" xfId="0" applyFont="1" applyBorder="1" applyAlignment="1"/>
    <xf numFmtId="0" fontId="2853" fillId="0" borderId="2853" xfId="0" applyFont="1" applyBorder="1" applyAlignment="1"/>
    <xf numFmtId="0" fontId="2854" fillId="0" borderId="2854" xfId="0" applyFont="1" applyBorder="1" applyAlignment="1"/>
    <xf numFmtId="0" fontId="2855" fillId="0" borderId="2855" xfId="0" applyFont="1" applyBorder="1" applyAlignment="1"/>
    <xf numFmtId="0" fontId="2856" fillId="0" borderId="2856" xfId="0" applyFont="1" applyBorder="1" applyAlignment="1"/>
    <xf numFmtId="0" fontId="2857" fillId="0" borderId="2857" xfId="0" applyFont="1" applyBorder="1" applyAlignment="1"/>
    <xf numFmtId="0" fontId="2858" fillId="0" borderId="2858" xfId="0" applyFont="1" applyBorder="1" applyAlignment="1"/>
    <xf numFmtId="0" fontId="2859" fillId="0" borderId="2859" xfId="0" applyFont="1" applyBorder="1" applyAlignment="1"/>
    <xf numFmtId="0" fontId="2860" fillId="0" borderId="2860" xfId="0" applyFont="1" applyBorder="1" applyAlignment="1"/>
    <xf numFmtId="0" fontId="2861" fillId="0" borderId="2861" xfId="0" applyFont="1" applyBorder="1" applyAlignment="1"/>
    <xf numFmtId="0" fontId="2862" fillId="0" borderId="2862" xfId="0" applyFont="1" applyBorder="1" applyAlignment="1"/>
    <xf numFmtId="0" fontId="2863" fillId="0" borderId="2863" xfId="0" applyFont="1" applyBorder="1" applyAlignment="1"/>
    <xf numFmtId="0" fontId="2864" fillId="0" borderId="2864" xfId="0" applyFont="1" applyBorder="1" applyAlignment="1"/>
    <xf numFmtId="0" fontId="2865" fillId="0" borderId="2865" xfId="0" applyFont="1" applyBorder="1" applyAlignment="1"/>
    <xf numFmtId="0" fontId="2866" fillId="0" borderId="2866" xfId="0" applyFont="1" applyBorder="1" applyAlignment="1"/>
    <xf numFmtId="0" fontId="2867" fillId="0" borderId="2867" xfId="0" applyFont="1" applyBorder="1" applyAlignment="1"/>
    <xf numFmtId="0" fontId="2868" fillId="0" borderId="2868" xfId="0" applyFont="1" applyBorder="1" applyAlignment="1"/>
    <xf numFmtId="0" fontId="2869" fillId="0" borderId="2869" xfId="0" applyFont="1" applyBorder="1" applyAlignment="1"/>
    <xf numFmtId="0" fontId="2870" fillId="0" borderId="2870" xfId="0" applyFont="1" applyBorder="1" applyAlignment="1"/>
    <xf numFmtId="0" fontId="2871" fillId="0" borderId="2871" xfId="0" applyFont="1" applyBorder="1" applyAlignment="1"/>
    <xf numFmtId="0" fontId="2872" fillId="0" borderId="2872" xfId="0" applyFont="1" applyBorder="1" applyAlignment="1"/>
    <xf numFmtId="0" fontId="2873" fillId="0" borderId="2873" xfId="0" applyFont="1" applyBorder="1" applyAlignment="1"/>
    <xf numFmtId="0" fontId="2874" fillId="0" borderId="2874" xfId="0" applyFont="1" applyBorder="1" applyAlignment="1"/>
    <xf numFmtId="0" fontId="2875" fillId="0" borderId="2875" xfId="0" applyFont="1" applyBorder="1" applyAlignment="1"/>
    <xf numFmtId="0" fontId="2876" fillId="0" borderId="2876" xfId="0" applyFont="1" applyBorder="1" applyAlignment="1"/>
    <xf numFmtId="0" fontId="2877" fillId="0" borderId="2877" xfId="0" applyFont="1" applyBorder="1" applyAlignment="1"/>
    <xf numFmtId="0" fontId="2878" fillId="0" borderId="2878" xfId="0" applyFont="1" applyBorder="1" applyAlignment="1"/>
    <xf numFmtId="0" fontId="2879" fillId="0" borderId="2879" xfId="0" applyFont="1" applyBorder="1" applyAlignment="1"/>
    <xf numFmtId="0" fontId="2880" fillId="0" borderId="2880" xfId="0" applyFont="1" applyBorder="1" applyAlignment="1"/>
    <xf numFmtId="0" fontId="2881" fillId="0" borderId="2881" xfId="0" applyFont="1" applyBorder="1" applyAlignment="1"/>
    <xf numFmtId="0" fontId="2882" fillId="0" borderId="2882" xfId="0" applyFont="1" applyBorder="1" applyAlignment="1"/>
    <xf numFmtId="0" fontId="2883" fillId="0" borderId="2883" xfId="0" applyFont="1" applyBorder="1" applyAlignment="1"/>
    <xf numFmtId="0" fontId="2884" fillId="0" borderId="2884" xfId="0" applyFont="1" applyBorder="1" applyAlignment="1"/>
    <xf numFmtId="0" fontId="2885" fillId="0" borderId="2885" xfId="0" applyFont="1" applyBorder="1" applyAlignment="1"/>
    <xf numFmtId="0" fontId="2886" fillId="0" borderId="2886" xfId="0" applyFont="1" applyBorder="1" applyAlignment="1"/>
    <xf numFmtId="0" fontId="2887" fillId="0" borderId="2887" xfId="0" applyFont="1" applyBorder="1" applyAlignment="1"/>
    <xf numFmtId="0" fontId="2888" fillId="0" borderId="2888" xfId="0" applyFont="1" applyBorder="1" applyAlignment="1"/>
    <xf numFmtId="0" fontId="2889" fillId="0" borderId="2889" xfId="0" applyFont="1" applyBorder="1" applyAlignment="1"/>
    <xf numFmtId="0" fontId="2890" fillId="0" borderId="2890" xfId="0" applyFont="1" applyBorder="1" applyAlignment="1"/>
    <xf numFmtId="0" fontId="2891" fillId="0" borderId="2891" xfId="0" applyFont="1" applyBorder="1" applyAlignment="1"/>
    <xf numFmtId="0" fontId="2892" fillId="0" borderId="2892" xfId="0" applyFont="1" applyBorder="1" applyAlignment="1"/>
    <xf numFmtId="0" fontId="2893" fillId="0" borderId="2893" xfId="0" applyFont="1" applyBorder="1" applyAlignment="1"/>
    <xf numFmtId="0" fontId="2894" fillId="0" borderId="2894" xfId="0" applyFont="1" applyBorder="1" applyAlignment="1"/>
    <xf numFmtId="0" fontId="2895" fillId="0" borderId="2895" xfId="0" applyFont="1" applyBorder="1" applyAlignment="1"/>
    <xf numFmtId="0" fontId="2896" fillId="0" borderId="2896" xfId="0" applyFont="1" applyBorder="1" applyAlignment="1"/>
    <xf numFmtId="0" fontId="2897" fillId="0" borderId="2897" xfId="0" applyFont="1" applyBorder="1" applyAlignment="1"/>
    <xf numFmtId="0" fontId="2898" fillId="0" borderId="2898" xfId="0" applyFont="1" applyBorder="1" applyAlignment="1"/>
    <xf numFmtId="0" fontId="2899" fillId="0" borderId="2899" xfId="0" applyFont="1" applyBorder="1" applyAlignment="1"/>
    <xf numFmtId="0" fontId="2900" fillId="0" borderId="2900" xfId="0" applyFont="1" applyBorder="1" applyAlignment="1"/>
    <xf numFmtId="0" fontId="2901" fillId="0" borderId="2901" xfId="0" applyFont="1" applyBorder="1" applyAlignment="1"/>
    <xf numFmtId="0" fontId="2902" fillId="0" borderId="2902" xfId="0" applyFont="1" applyBorder="1" applyAlignment="1"/>
    <xf numFmtId="0" fontId="2903" fillId="0" borderId="2903" xfId="0" applyFont="1" applyBorder="1" applyAlignment="1"/>
    <xf numFmtId="0" fontId="2904" fillId="0" borderId="2904" xfId="0" applyFont="1" applyBorder="1" applyAlignment="1"/>
    <xf numFmtId="0" fontId="2905" fillId="0" borderId="2905" xfId="0" applyFont="1" applyBorder="1" applyAlignment="1"/>
    <xf numFmtId="0" fontId="2906" fillId="0" borderId="2906" xfId="0" applyFont="1" applyBorder="1" applyAlignment="1"/>
    <xf numFmtId="0" fontId="2907" fillId="0" borderId="2907" xfId="0" applyFont="1" applyBorder="1" applyAlignment="1"/>
    <xf numFmtId="0" fontId="2908" fillId="0" borderId="2908" xfId="0" applyFont="1" applyBorder="1" applyAlignment="1"/>
    <xf numFmtId="0" fontId="2909" fillId="0" borderId="2909" xfId="0" applyFont="1" applyBorder="1" applyAlignment="1"/>
    <xf numFmtId="0" fontId="2910" fillId="0" borderId="2910" xfId="0" applyFont="1" applyBorder="1" applyAlignment="1"/>
    <xf numFmtId="0" fontId="2911" fillId="0" borderId="2911" xfId="0" applyFont="1" applyBorder="1" applyAlignment="1"/>
    <xf numFmtId="0" fontId="2912" fillId="0" borderId="2912" xfId="0" applyFont="1" applyBorder="1" applyAlignment="1"/>
    <xf numFmtId="0" fontId="2913" fillId="0" borderId="2913" xfId="0" applyFont="1" applyBorder="1" applyAlignment="1"/>
    <xf numFmtId="0" fontId="2914" fillId="0" borderId="2914" xfId="0" applyFont="1" applyBorder="1" applyAlignment="1"/>
    <xf numFmtId="0" fontId="2915" fillId="0" borderId="2915" xfId="0" applyFont="1" applyBorder="1" applyAlignment="1"/>
    <xf numFmtId="0" fontId="2916" fillId="0" borderId="2916" xfId="0" applyFont="1" applyBorder="1" applyAlignment="1"/>
    <xf numFmtId="0" fontId="2917" fillId="0" borderId="2917" xfId="0" applyFont="1" applyBorder="1" applyAlignment="1"/>
    <xf numFmtId="0" fontId="2918" fillId="0" borderId="2918" xfId="0" applyFont="1" applyBorder="1" applyAlignment="1"/>
    <xf numFmtId="0" fontId="2919" fillId="0" borderId="2919" xfId="0" applyFont="1" applyBorder="1" applyAlignment="1"/>
    <xf numFmtId="0" fontId="2920" fillId="0" borderId="2920" xfId="0" applyFont="1" applyBorder="1" applyAlignment="1"/>
    <xf numFmtId="0" fontId="2921" fillId="0" borderId="2921" xfId="0" applyFont="1" applyBorder="1" applyAlignment="1"/>
    <xf numFmtId="0" fontId="2922" fillId="0" borderId="2922" xfId="0" applyFont="1" applyBorder="1" applyAlignment="1"/>
    <xf numFmtId="0" fontId="2923" fillId="0" borderId="2923" xfId="0" applyFont="1" applyBorder="1" applyAlignment="1"/>
    <xf numFmtId="0" fontId="2924" fillId="0" borderId="2924" xfId="0" applyFont="1" applyBorder="1" applyAlignment="1"/>
    <xf numFmtId="0" fontId="2925" fillId="0" borderId="2925" xfId="0" applyFont="1" applyBorder="1" applyAlignment="1"/>
    <xf numFmtId="0" fontId="2926" fillId="0" borderId="2926" xfId="0" applyFont="1" applyBorder="1" applyAlignment="1"/>
    <xf numFmtId="0" fontId="2927" fillId="0" borderId="2927" xfId="0" applyFont="1" applyBorder="1" applyAlignment="1"/>
    <xf numFmtId="0" fontId="2928" fillId="0" borderId="2928" xfId="0" applyFont="1" applyBorder="1" applyAlignment="1"/>
    <xf numFmtId="0" fontId="2929" fillId="0" borderId="2929" xfId="0" applyFont="1" applyBorder="1" applyAlignment="1"/>
    <xf numFmtId="0" fontId="2930" fillId="0" borderId="2930" xfId="0" applyFont="1" applyBorder="1" applyAlignment="1"/>
    <xf numFmtId="0" fontId="2931" fillId="0" borderId="2931" xfId="0" applyFont="1" applyBorder="1" applyAlignment="1"/>
    <xf numFmtId="0" fontId="2932" fillId="0" borderId="2932" xfId="0" applyFont="1" applyBorder="1" applyAlignment="1"/>
    <xf numFmtId="0" fontId="2933" fillId="0" borderId="2933" xfId="0" applyFont="1" applyBorder="1" applyAlignment="1"/>
    <xf numFmtId="0" fontId="2934" fillId="0" borderId="2934" xfId="0" applyFont="1" applyBorder="1" applyAlignment="1"/>
    <xf numFmtId="0" fontId="2935" fillId="0" borderId="2935" xfId="0" applyFont="1" applyBorder="1" applyAlignment="1"/>
    <xf numFmtId="0" fontId="2936" fillId="0" borderId="2936" xfId="0" applyFont="1" applyBorder="1" applyAlignment="1"/>
    <xf numFmtId="0" fontId="2937" fillId="0" borderId="2937" xfId="0" applyFont="1" applyBorder="1" applyAlignment="1"/>
    <xf numFmtId="0" fontId="2938" fillId="0" borderId="2938" xfId="0" applyFont="1" applyBorder="1" applyAlignment="1"/>
    <xf numFmtId="0" fontId="2939" fillId="0" borderId="2939" xfId="0" applyFont="1" applyBorder="1" applyAlignment="1"/>
    <xf numFmtId="0" fontId="2940" fillId="0" borderId="2940" xfId="0" applyFont="1" applyBorder="1" applyAlignment="1"/>
    <xf numFmtId="0" fontId="2941" fillId="0" borderId="2941" xfId="0" applyFont="1" applyBorder="1" applyAlignment="1"/>
    <xf numFmtId="0" fontId="2942" fillId="0" borderId="2942" xfId="0" applyFont="1" applyBorder="1" applyAlignment="1"/>
    <xf numFmtId="0" fontId="2943" fillId="0" borderId="2943" xfId="0" applyFont="1" applyBorder="1" applyAlignment="1"/>
    <xf numFmtId="0" fontId="2944" fillId="0" borderId="2944" xfId="0" applyFont="1" applyBorder="1" applyAlignment="1"/>
    <xf numFmtId="0" fontId="2945" fillId="0" borderId="2945" xfId="0" applyFont="1" applyBorder="1" applyAlignment="1"/>
    <xf numFmtId="0" fontId="2946" fillId="0" borderId="2946" xfId="0" applyFont="1" applyBorder="1" applyAlignment="1"/>
    <xf numFmtId="0" fontId="2947" fillId="0" borderId="2947" xfId="0" applyFont="1" applyBorder="1" applyAlignment="1"/>
    <xf numFmtId="0" fontId="2948" fillId="0" borderId="2948" xfId="0" applyFont="1" applyBorder="1" applyAlignment="1"/>
    <xf numFmtId="0" fontId="2949" fillId="0" borderId="2949" xfId="0" applyFont="1" applyBorder="1" applyAlignment="1"/>
    <xf numFmtId="0" fontId="2950" fillId="0" borderId="2950" xfId="0" applyFont="1" applyBorder="1" applyAlignment="1"/>
    <xf numFmtId="0" fontId="2951" fillId="0" borderId="2951" xfId="0" applyFont="1" applyBorder="1" applyAlignment="1"/>
    <xf numFmtId="0" fontId="2952" fillId="0" borderId="2952" xfId="0" applyFont="1" applyBorder="1" applyAlignment="1"/>
    <xf numFmtId="0" fontId="2953" fillId="0" borderId="2953" xfId="0" applyFont="1" applyBorder="1" applyAlignment="1"/>
    <xf numFmtId="0" fontId="2954" fillId="0" borderId="2954" xfId="0" applyFont="1" applyBorder="1" applyAlignment="1"/>
    <xf numFmtId="0" fontId="2955" fillId="0" borderId="2955" xfId="0" applyFont="1" applyBorder="1" applyAlignment="1"/>
    <xf numFmtId="0" fontId="2956" fillId="0" borderId="2956" xfId="0" applyFont="1" applyBorder="1" applyAlignment="1"/>
    <xf numFmtId="0" fontId="2957" fillId="0" borderId="2957" xfId="0" applyFont="1" applyBorder="1" applyAlignment="1"/>
    <xf numFmtId="0" fontId="2958" fillId="0" borderId="2958" xfId="0" applyFont="1" applyBorder="1" applyAlignment="1"/>
    <xf numFmtId="0" fontId="2959" fillId="0" borderId="2959" xfId="0" applyFont="1" applyBorder="1" applyAlignment="1"/>
    <xf numFmtId="0" fontId="2960" fillId="0" borderId="2960" xfId="0" applyFont="1" applyBorder="1" applyAlignment="1"/>
    <xf numFmtId="0" fontId="2961" fillId="0" borderId="2961" xfId="0" applyFont="1" applyBorder="1" applyAlignment="1"/>
    <xf numFmtId="0" fontId="2962" fillId="0" borderId="2962" xfId="0" applyFont="1" applyBorder="1" applyAlignment="1"/>
    <xf numFmtId="0" fontId="2963" fillId="0" borderId="2963" xfId="0" applyFont="1" applyBorder="1" applyAlignment="1"/>
    <xf numFmtId="0" fontId="2964" fillId="0" borderId="2964" xfId="0" applyFont="1" applyBorder="1" applyAlignment="1"/>
    <xf numFmtId="0" fontId="2965" fillId="0" borderId="2965" xfId="0" applyFont="1" applyBorder="1" applyAlignment="1"/>
    <xf numFmtId="0" fontId="2966" fillId="0" borderId="2966" xfId="0" applyFont="1" applyBorder="1" applyAlignment="1"/>
    <xf numFmtId="0" fontId="2967" fillId="0" borderId="2967" xfId="0" applyFont="1" applyBorder="1" applyAlignment="1"/>
    <xf numFmtId="0" fontId="2968" fillId="0" borderId="2968" xfId="0" applyFont="1" applyBorder="1" applyAlignment="1"/>
    <xf numFmtId="0" fontId="2969" fillId="0" borderId="2969" xfId="0" applyFont="1" applyBorder="1" applyAlignment="1"/>
    <xf numFmtId="0" fontId="2970" fillId="0" borderId="2970" xfId="0" applyFont="1" applyBorder="1" applyAlignment="1"/>
    <xf numFmtId="0" fontId="2971" fillId="0" borderId="2971" xfId="0" applyFont="1" applyBorder="1" applyAlignment="1"/>
    <xf numFmtId="0" fontId="2972" fillId="0" borderId="2972" xfId="0" applyFont="1" applyBorder="1" applyAlignment="1"/>
    <xf numFmtId="0" fontId="2973" fillId="0" borderId="2973" xfId="0" applyFont="1" applyBorder="1" applyAlignment="1"/>
    <xf numFmtId="0" fontId="2974" fillId="0" borderId="2974" xfId="0" applyFont="1" applyBorder="1" applyAlignment="1"/>
    <xf numFmtId="0" fontId="2975" fillId="0" borderId="2975" xfId="0" applyFont="1" applyBorder="1" applyAlignment="1"/>
    <xf numFmtId="0" fontId="2976" fillId="0" borderId="2976" xfId="0" applyFont="1" applyBorder="1" applyAlignment="1"/>
    <xf numFmtId="0" fontId="2977" fillId="0" borderId="2977" xfId="0" applyFont="1" applyBorder="1" applyAlignment="1"/>
    <xf numFmtId="0" fontId="2978" fillId="0" borderId="2978" xfId="0" applyFont="1" applyBorder="1" applyAlignment="1"/>
    <xf numFmtId="0" fontId="2979" fillId="0" borderId="2979" xfId="0" applyFont="1" applyBorder="1" applyAlignment="1"/>
    <xf numFmtId="0" fontId="2980" fillId="0" borderId="2980" xfId="0" applyFont="1" applyBorder="1" applyAlignment="1"/>
    <xf numFmtId="0" fontId="2981" fillId="0" borderId="2981" xfId="0" applyFont="1" applyBorder="1" applyAlignment="1"/>
    <xf numFmtId="0" fontId="2982" fillId="0" borderId="2982" xfId="0" applyFont="1" applyBorder="1" applyAlignment="1"/>
    <xf numFmtId="0" fontId="2983" fillId="0" borderId="2983" xfId="0" applyFont="1" applyBorder="1" applyAlignment="1"/>
    <xf numFmtId="0" fontId="2984" fillId="0" borderId="2984" xfId="0" applyFont="1" applyBorder="1" applyAlignment="1"/>
    <xf numFmtId="0" fontId="2985" fillId="0" borderId="2985" xfId="0" applyFont="1" applyBorder="1" applyAlignment="1"/>
    <xf numFmtId="0" fontId="2986" fillId="0" borderId="2986" xfId="0" applyFont="1" applyBorder="1" applyAlignment="1"/>
    <xf numFmtId="0" fontId="2987" fillId="0" borderId="2987" xfId="0" applyFont="1" applyBorder="1" applyAlignment="1"/>
    <xf numFmtId="0" fontId="2988" fillId="0" borderId="2988" xfId="0" applyFont="1" applyBorder="1" applyAlignment="1"/>
    <xf numFmtId="0" fontId="2989" fillId="0" borderId="2989" xfId="0" applyFont="1" applyBorder="1" applyAlignment="1"/>
    <xf numFmtId="0" fontId="2990" fillId="0" borderId="2990" xfId="0" applyFont="1" applyBorder="1" applyAlignment="1"/>
    <xf numFmtId="0" fontId="2991" fillId="0" borderId="2991" xfId="0" applyFont="1" applyBorder="1" applyAlignment="1"/>
    <xf numFmtId="0" fontId="2992" fillId="0" borderId="2992" xfId="0" applyFont="1" applyBorder="1" applyAlignment="1"/>
    <xf numFmtId="0" fontId="2993" fillId="0" borderId="2993" xfId="0" applyFont="1" applyBorder="1" applyAlignment="1"/>
    <xf numFmtId="0" fontId="2994" fillId="0" borderId="2994" xfId="0" applyFont="1" applyBorder="1" applyAlignment="1"/>
    <xf numFmtId="0" fontId="2995" fillId="0" borderId="2995" xfId="0" applyFont="1" applyBorder="1" applyAlignment="1"/>
    <xf numFmtId="0" fontId="2996" fillId="0" borderId="2996" xfId="0" applyFont="1" applyBorder="1" applyAlignment="1"/>
    <xf numFmtId="0" fontId="2997" fillId="0" borderId="2997" xfId="0" applyFont="1" applyBorder="1" applyAlignment="1"/>
    <xf numFmtId="0" fontId="2998" fillId="0" borderId="2998" xfId="0" applyFont="1" applyBorder="1" applyAlignment="1"/>
    <xf numFmtId="0" fontId="2999" fillId="0" borderId="2999" xfId="0" applyFont="1" applyBorder="1" applyAlignment="1"/>
    <xf numFmtId="0" fontId="3000" fillId="0" borderId="3000" xfId="0" applyFont="1" applyBorder="1" applyAlignment="1"/>
    <xf numFmtId="0" fontId="3001" fillId="0" borderId="3001" xfId="0" applyFont="1" applyBorder="1" applyAlignment="1"/>
    <xf numFmtId="0" fontId="3002" fillId="0" borderId="3002" xfId="0" applyFont="1" applyBorder="1" applyAlignment="1"/>
    <xf numFmtId="0" fontId="3003" fillId="0" borderId="3003" xfId="0" applyFont="1" applyBorder="1" applyAlignment="1"/>
    <xf numFmtId="0" fontId="3004" fillId="0" borderId="3004" xfId="0" applyFont="1" applyBorder="1" applyAlignment="1"/>
    <xf numFmtId="0" fontId="3005" fillId="0" borderId="3005" xfId="0" applyFont="1" applyBorder="1" applyAlignment="1"/>
    <xf numFmtId="0" fontId="3006" fillId="0" borderId="3006" xfId="0" applyFont="1" applyBorder="1" applyAlignment="1"/>
    <xf numFmtId="0" fontId="3007" fillId="0" borderId="3007" xfId="0" applyFont="1" applyBorder="1" applyAlignment="1"/>
    <xf numFmtId="0" fontId="3008" fillId="0" borderId="3008" xfId="0" applyFont="1" applyBorder="1" applyAlignment="1"/>
    <xf numFmtId="0" fontId="3009" fillId="0" borderId="3009" xfId="0" applyFont="1" applyBorder="1" applyAlignment="1"/>
    <xf numFmtId="0" fontId="3010" fillId="0" borderId="3010" xfId="0" applyFont="1" applyBorder="1" applyAlignment="1"/>
    <xf numFmtId="0" fontId="3011" fillId="0" borderId="3011" xfId="0" applyFont="1" applyBorder="1" applyAlignment="1"/>
    <xf numFmtId="0" fontId="3012" fillId="0" borderId="3012" xfId="0" applyFont="1" applyBorder="1" applyAlignment="1"/>
    <xf numFmtId="0" fontId="3013" fillId="0" borderId="3013" xfId="0" applyFont="1" applyBorder="1" applyAlignment="1"/>
    <xf numFmtId="0" fontId="3014" fillId="0" borderId="3014" xfId="0" applyFont="1" applyBorder="1" applyAlignment="1"/>
    <xf numFmtId="0" fontId="3015" fillId="0" borderId="3015" xfId="0" applyFont="1" applyBorder="1" applyAlignment="1"/>
    <xf numFmtId="0" fontId="3016" fillId="0" borderId="3016" xfId="0" applyFont="1" applyBorder="1" applyAlignment="1"/>
    <xf numFmtId="0" fontId="3017" fillId="0" borderId="3017" xfId="0" applyFont="1" applyBorder="1" applyAlignment="1"/>
    <xf numFmtId="0" fontId="3018" fillId="0" borderId="3018" xfId="0" applyFont="1" applyBorder="1" applyAlignment="1"/>
    <xf numFmtId="0" fontId="3019" fillId="0" borderId="3019" xfId="0" applyFont="1" applyBorder="1" applyAlignment="1"/>
    <xf numFmtId="0" fontId="3020" fillId="0" borderId="3020" xfId="0" applyFont="1" applyBorder="1" applyAlignment="1"/>
    <xf numFmtId="0" fontId="3021" fillId="0" borderId="3021" xfId="0" applyFont="1" applyBorder="1" applyAlignment="1"/>
    <xf numFmtId="0" fontId="3022" fillId="0" borderId="3022" xfId="0" applyFont="1" applyBorder="1" applyAlignment="1"/>
    <xf numFmtId="0" fontId="3023" fillId="0" borderId="3023" xfId="0" applyFont="1" applyBorder="1" applyAlignment="1"/>
    <xf numFmtId="0" fontId="3024" fillId="0" borderId="3024" xfId="0" applyFont="1" applyBorder="1" applyAlignment="1"/>
    <xf numFmtId="0" fontId="3025" fillId="0" borderId="3025" xfId="0" applyFont="1" applyBorder="1" applyAlignment="1"/>
    <xf numFmtId="0" fontId="3026" fillId="0" borderId="3026" xfId="0" applyFont="1" applyBorder="1" applyAlignment="1"/>
    <xf numFmtId="0" fontId="3027" fillId="0" borderId="3027" xfId="0" applyFont="1" applyBorder="1" applyAlignment="1"/>
    <xf numFmtId="0" fontId="3028" fillId="0" borderId="3028" xfId="0" applyFont="1" applyBorder="1" applyAlignment="1"/>
    <xf numFmtId="0" fontId="3029" fillId="0" borderId="3029" xfId="0" applyFont="1" applyBorder="1" applyAlignment="1"/>
    <xf numFmtId="0" fontId="3030" fillId="0" borderId="3030" xfId="0" applyFont="1" applyBorder="1" applyAlignment="1"/>
    <xf numFmtId="0" fontId="3031" fillId="0" borderId="3031" xfId="0" applyFont="1" applyBorder="1" applyAlignment="1"/>
    <xf numFmtId="0" fontId="3032" fillId="0" borderId="3032" xfId="0" applyFont="1" applyBorder="1" applyAlignment="1"/>
    <xf numFmtId="0" fontId="3033" fillId="0" borderId="3033" xfId="0" applyFont="1" applyBorder="1" applyAlignment="1"/>
    <xf numFmtId="0" fontId="3034" fillId="0" borderId="3034" xfId="0" applyFont="1" applyBorder="1" applyAlignment="1"/>
    <xf numFmtId="0" fontId="3035" fillId="0" borderId="3035" xfId="0" applyFont="1" applyBorder="1" applyAlignment="1"/>
    <xf numFmtId="0" fontId="3036" fillId="0" borderId="3036" xfId="0" applyFont="1" applyBorder="1" applyAlignment="1"/>
    <xf numFmtId="0" fontId="3037" fillId="0" borderId="3037" xfId="0" applyFont="1" applyBorder="1" applyAlignment="1"/>
    <xf numFmtId="0" fontId="3038" fillId="0" borderId="3038" xfId="0" applyFont="1" applyBorder="1" applyAlignment="1"/>
    <xf numFmtId="0" fontId="3039" fillId="0" borderId="3039" xfId="0" applyFont="1" applyBorder="1" applyAlignment="1"/>
    <xf numFmtId="0" fontId="3040" fillId="0" borderId="3040" xfId="0" applyFont="1" applyBorder="1" applyAlignment="1"/>
    <xf numFmtId="0" fontId="3041" fillId="0" borderId="3041" xfId="0" applyFont="1" applyBorder="1" applyAlignment="1"/>
    <xf numFmtId="0" fontId="3042" fillId="0" borderId="3042" xfId="0" applyFont="1" applyBorder="1" applyAlignment="1"/>
    <xf numFmtId="0" fontId="3043" fillId="0" borderId="3043" xfId="0" applyFont="1" applyBorder="1" applyAlignment="1"/>
    <xf numFmtId="0" fontId="3044" fillId="0" borderId="3044" xfId="0" applyFont="1" applyBorder="1" applyAlignment="1"/>
    <xf numFmtId="0" fontId="3045" fillId="0" borderId="3045" xfId="0" applyFont="1" applyBorder="1" applyAlignment="1"/>
    <xf numFmtId="0" fontId="3046" fillId="0" borderId="3046" xfId="0" applyFont="1" applyBorder="1" applyAlignment="1"/>
    <xf numFmtId="0" fontId="3047" fillId="0" borderId="3047" xfId="0" applyFont="1" applyBorder="1" applyAlignment="1"/>
    <xf numFmtId="0" fontId="3048" fillId="0" borderId="3048" xfId="0" applyFont="1" applyBorder="1" applyAlignment="1"/>
    <xf numFmtId="0" fontId="3049" fillId="0" borderId="3049" xfId="0" applyFont="1" applyBorder="1" applyAlignment="1"/>
    <xf numFmtId="0" fontId="3050" fillId="0" borderId="3050" xfId="0" applyFont="1" applyBorder="1" applyAlignment="1"/>
    <xf numFmtId="0" fontId="3051" fillId="0" borderId="3051" xfId="0" applyFont="1" applyBorder="1" applyAlignment="1"/>
    <xf numFmtId="0" fontId="3052" fillId="0" borderId="3052" xfId="0" applyFont="1" applyBorder="1" applyAlignment="1"/>
    <xf numFmtId="0" fontId="3053" fillId="0" borderId="3053" xfId="0" applyFont="1" applyBorder="1" applyAlignment="1"/>
    <xf numFmtId="0" fontId="3054" fillId="0" borderId="3054" xfId="0" applyFont="1" applyBorder="1" applyAlignment="1"/>
    <xf numFmtId="0" fontId="3055" fillId="0" borderId="3055" xfId="0" applyFont="1" applyBorder="1" applyAlignment="1"/>
    <xf numFmtId="0" fontId="3056" fillId="0" borderId="3056" xfId="0" applyFont="1" applyBorder="1" applyAlignment="1"/>
    <xf numFmtId="0" fontId="3057" fillId="0" borderId="3057" xfId="0" applyFont="1" applyBorder="1" applyAlignment="1"/>
    <xf numFmtId="0" fontId="3058" fillId="0" borderId="3058" xfId="0" applyFont="1" applyBorder="1" applyAlignment="1"/>
    <xf numFmtId="0" fontId="3059" fillId="0" borderId="3059" xfId="0" applyFont="1" applyBorder="1" applyAlignment="1"/>
    <xf numFmtId="0" fontId="3060" fillId="0" borderId="3060" xfId="0" applyFont="1" applyBorder="1" applyAlignment="1"/>
    <xf numFmtId="0" fontId="3061" fillId="0" borderId="3061" xfId="0" applyFont="1" applyBorder="1" applyAlignment="1"/>
    <xf numFmtId="0" fontId="3062" fillId="0" borderId="3062" xfId="0" applyFont="1" applyBorder="1" applyAlignment="1"/>
    <xf numFmtId="0" fontId="3063" fillId="0" borderId="3063" xfId="0" applyFont="1" applyBorder="1" applyAlignment="1"/>
    <xf numFmtId="0" fontId="3064" fillId="0" borderId="3064" xfId="0" applyFont="1" applyBorder="1" applyAlignment="1"/>
    <xf numFmtId="0" fontId="3065" fillId="0" borderId="3065" xfId="0" applyFont="1" applyBorder="1" applyAlignment="1"/>
    <xf numFmtId="0" fontId="3066" fillId="0" borderId="3066" xfId="0" applyFont="1" applyBorder="1" applyAlignment="1"/>
    <xf numFmtId="0" fontId="3067" fillId="0" borderId="3067" xfId="0" applyFont="1" applyBorder="1" applyAlignment="1"/>
    <xf numFmtId="0" fontId="3068" fillId="0" borderId="3068" xfId="0" applyFont="1" applyBorder="1" applyAlignment="1"/>
    <xf numFmtId="0" fontId="3069" fillId="0" borderId="3069" xfId="0" applyFont="1" applyBorder="1" applyAlignment="1"/>
    <xf numFmtId="0" fontId="3070" fillId="0" borderId="3070" xfId="0" applyFont="1" applyBorder="1" applyAlignment="1"/>
    <xf numFmtId="0" fontId="3071" fillId="0" borderId="3071" xfId="0" applyFont="1" applyBorder="1" applyAlignment="1"/>
    <xf numFmtId="0" fontId="3072" fillId="0" borderId="3072" xfId="0" applyFont="1" applyBorder="1" applyAlignment="1"/>
    <xf numFmtId="0" fontId="3073" fillId="0" borderId="3073" xfId="0" applyFont="1" applyBorder="1" applyAlignment="1"/>
    <xf numFmtId="0" fontId="3074" fillId="0" borderId="3074" xfId="0" applyFont="1" applyBorder="1" applyAlignment="1"/>
    <xf numFmtId="0" fontId="3075" fillId="0" borderId="3075" xfId="0" applyFont="1" applyBorder="1" applyAlignment="1"/>
    <xf numFmtId="0" fontId="3076" fillId="0" borderId="3076" xfId="0" applyFont="1" applyBorder="1" applyAlignment="1"/>
    <xf numFmtId="0" fontId="3077" fillId="0" borderId="3077" xfId="0" applyFont="1" applyBorder="1" applyAlignment="1"/>
    <xf numFmtId="0" fontId="3078" fillId="0" borderId="3078" xfId="0" applyFont="1" applyBorder="1" applyAlignment="1"/>
    <xf numFmtId="0" fontId="3079" fillId="0" borderId="3079" xfId="0" applyFont="1" applyBorder="1" applyAlignment="1"/>
    <xf numFmtId="0" fontId="3080" fillId="0" borderId="3080" xfId="0" applyFont="1" applyBorder="1" applyAlignment="1"/>
    <xf numFmtId="0" fontId="3081" fillId="0" borderId="3081" xfId="0" applyFont="1" applyBorder="1" applyAlignment="1"/>
    <xf numFmtId="0" fontId="3082" fillId="0" borderId="3082" xfId="0" applyFont="1" applyBorder="1" applyAlignment="1"/>
    <xf numFmtId="0" fontId="3083" fillId="0" borderId="3083" xfId="0" applyFont="1" applyBorder="1" applyAlignment="1"/>
    <xf numFmtId="0" fontId="3084" fillId="0" borderId="3084" xfId="0" applyFont="1" applyBorder="1" applyAlignment="1"/>
    <xf numFmtId="0" fontId="3085" fillId="0" borderId="3085" xfId="0" applyFont="1" applyBorder="1" applyAlignment="1"/>
    <xf numFmtId="0" fontId="3086" fillId="0" borderId="3086" xfId="0" applyFont="1" applyBorder="1" applyAlignment="1"/>
    <xf numFmtId="0" fontId="3087" fillId="0" borderId="3087" xfId="0" applyFont="1" applyBorder="1" applyAlignment="1"/>
    <xf numFmtId="0" fontId="3088" fillId="0" borderId="3088" xfId="0" applyFont="1" applyBorder="1" applyAlignment="1"/>
    <xf numFmtId="0" fontId="3089" fillId="0" borderId="3089" xfId="0" applyFont="1" applyBorder="1" applyAlignment="1"/>
    <xf numFmtId="0" fontId="3090" fillId="0" borderId="3090" xfId="0" applyFont="1" applyBorder="1" applyAlignment="1"/>
    <xf numFmtId="0" fontId="3091" fillId="0" borderId="3091" xfId="0" applyFont="1" applyBorder="1" applyAlignment="1"/>
    <xf numFmtId="0" fontId="3092" fillId="0" borderId="3092" xfId="0" applyFont="1" applyBorder="1" applyAlignment="1"/>
    <xf numFmtId="0" fontId="3093" fillId="0" borderId="3093" xfId="0" applyFont="1" applyBorder="1" applyAlignment="1"/>
    <xf numFmtId="0" fontId="3094" fillId="0" borderId="3094" xfId="0" applyFont="1" applyBorder="1" applyAlignment="1"/>
    <xf numFmtId="0" fontId="3095" fillId="0" borderId="3095" xfId="0" applyFont="1" applyBorder="1" applyAlignment="1"/>
    <xf numFmtId="0" fontId="3096" fillId="0" borderId="3096" xfId="0" applyFont="1" applyBorder="1" applyAlignment="1"/>
    <xf numFmtId="0" fontId="3097" fillId="0" borderId="3097" xfId="0" applyFont="1" applyBorder="1" applyAlignment="1"/>
    <xf numFmtId="0" fontId="3098" fillId="0" borderId="3098" xfId="0" applyFont="1" applyBorder="1" applyAlignment="1"/>
    <xf numFmtId="0" fontId="3099" fillId="0" borderId="3099" xfId="0" applyFont="1" applyBorder="1" applyAlignment="1"/>
    <xf numFmtId="0" fontId="3100" fillId="0" borderId="3100" xfId="0" applyFont="1" applyBorder="1" applyAlignment="1"/>
    <xf numFmtId="0" fontId="3101" fillId="0" borderId="3101" xfId="0" applyFont="1" applyBorder="1" applyAlignment="1"/>
    <xf numFmtId="0" fontId="3102" fillId="0" borderId="3102" xfId="0" applyFont="1" applyBorder="1" applyAlignment="1"/>
    <xf numFmtId="0" fontId="3103" fillId="0" borderId="3103" xfId="0" applyFont="1" applyBorder="1" applyAlignment="1"/>
    <xf numFmtId="0" fontId="3104" fillId="0" borderId="3104" xfId="0" applyFont="1" applyBorder="1" applyAlignment="1"/>
    <xf numFmtId="0" fontId="3105" fillId="0" borderId="3105" xfId="0" applyFont="1" applyBorder="1" applyAlignment="1"/>
    <xf numFmtId="0" fontId="3106" fillId="0" borderId="3106" xfId="0" applyFont="1" applyBorder="1" applyAlignment="1"/>
    <xf numFmtId="0" fontId="3107" fillId="0" borderId="3107" xfId="0" applyFont="1" applyBorder="1" applyAlignment="1"/>
    <xf numFmtId="0" fontId="3108" fillId="0" borderId="3108" xfId="0" applyFont="1" applyBorder="1" applyAlignment="1"/>
    <xf numFmtId="0" fontId="3109" fillId="0" borderId="3109" xfId="0" applyFont="1" applyBorder="1" applyAlignment="1"/>
    <xf numFmtId="0" fontId="3110" fillId="0" borderId="3110" xfId="0" applyFont="1" applyBorder="1" applyAlignment="1"/>
    <xf numFmtId="0" fontId="3111" fillId="0" borderId="3111" xfId="0" applyFont="1" applyBorder="1" applyAlignment="1"/>
    <xf numFmtId="0" fontId="3112" fillId="0" borderId="3112" xfId="0" applyFont="1" applyBorder="1" applyAlignment="1"/>
    <xf numFmtId="0" fontId="3113" fillId="0" borderId="3113" xfId="0" applyFont="1" applyBorder="1" applyAlignment="1"/>
    <xf numFmtId="0" fontId="3114" fillId="0" borderId="3114" xfId="0" applyFont="1" applyBorder="1" applyAlignment="1"/>
    <xf numFmtId="0" fontId="3115" fillId="0" borderId="3115" xfId="0" applyFont="1" applyBorder="1" applyAlignment="1"/>
    <xf numFmtId="0" fontId="3116" fillId="0" borderId="3116" xfId="0" applyFont="1" applyBorder="1" applyAlignment="1"/>
    <xf numFmtId="0" fontId="3117" fillId="0" borderId="3117" xfId="0" applyFont="1" applyBorder="1" applyAlignment="1"/>
    <xf numFmtId="0" fontId="3118" fillId="0" borderId="3118" xfId="0" applyFont="1" applyBorder="1" applyAlignment="1"/>
    <xf numFmtId="0" fontId="3119" fillId="0" borderId="3119" xfId="0" applyFont="1" applyBorder="1" applyAlignment="1"/>
    <xf numFmtId="0" fontId="3120" fillId="0" borderId="3120" xfId="0" applyFont="1" applyBorder="1" applyAlignment="1"/>
    <xf numFmtId="0" fontId="3121" fillId="0" borderId="3121" xfId="0" applyFont="1" applyBorder="1" applyAlignment="1"/>
    <xf numFmtId="0" fontId="3122" fillId="0" borderId="3122" xfId="0" applyFont="1" applyBorder="1" applyAlignment="1"/>
    <xf numFmtId="0" fontId="3123" fillId="0" borderId="3123" xfId="0" applyFont="1" applyBorder="1" applyAlignment="1"/>
    <xf numFmtId="0" fontId="3124" fillId="0" borderId="3124" xfId="0" applyFont="1" applyBorder="1" applyAlignment="1"/>
    <xf numFmtId="0" fontId="3125" fillId="0" borderId="3125" xfId="0" applyFont="1" applyBorder="1" applyAlignment="1"/>
    <xf numFmtId="0" fontId="3126" fillId="0" borderId="3126" xfId="0" applyFont="1" applyBorder="1" applyAlignment="1"/>
    <xf numFmtId="0" fontId="3127" fillId="0" borderId="3127" xfId="0" applyFont="1" applyBorder="1" applyAlignment="1"/>
    <xf numFmtId="0" fontId="3128" fillId="0" borderId="3128" xfId="0" applyFont="1" applyBorder="1" applyAlignment="1"/>
    <xf numFmtId="0" fontId="3129" fillId="0" borderId="3129" xfId="0" applyFont="1" applyBorder="1" applyAlignment="1"/>
    <xf numFmtId="0" fontId="3130" fillId="0" borderId="3130" xfId="0" applyFont="1" applyBorder="1" applyAlignment="1"/>
    <xf numFmtId="0" fontId="3131" fillId="0" borderId="3131" xfId="0" applyFont="1" applyBorder="1" applyAlignment="1"/>
    <xf numFmtId="0" fontId="3132" fillId="0" borderId="3132" xfId="0" applyFont="1" applyBorder="1" applyAlignment="1"/>
    <xf numFmtId="0" fontId="3133" fillId="0" borderId="3133" xfId="0" applyFont="1" applyBorder="1" applyAlignment="1"/>
    <xf numFmtId="0" fontId="3134" fillId="0" borderId="3134" xfId="0" applyFont="1" applyBorder="1" applyAlignment="1"/>
    <xf numFmtId="0" fontId="3135" fillId="0" borderId="3135" xfId="0" applyFont="1" applyBorder="1" applyAlignment="1"/>
    <xf numFmtId="0" fontId="3136" fillId="0" borderId="3136" xfId="0" applyFont="1" applyBorder="1" applyAlignment="1"/>
    <xf numFmtId="0" fontId="3137" fillId="0" borderId="3137" xfId="0" applyFont="1" applyBorder="1" applyAlignment="1"/>
    <xf numFmtId="0" fontId="3138" fillId="0" borderId="3138" xfId="0" applyFont="1" applyBorder="1" applyAlignment="1"/>
    <xf numFmtId="0" fontId="3139" fillId="0" borderId="3139" xfId="0" applyFont="1" applyBorder="1" applyAlignment="1"/>
    <xf numFmtId="0" fontId="3140" fillId="0" borderId="3140" xfId="0" applyFont="1" applyBorder="1" applyAlignment="1"/>
    <xf numFmtId="0" fontId="3141" fillId="0" borderId="3141" xfId="0" applyFont="1" applyBorder="1" applyAlignment="1"/>
    <xf numFmtId="0" fontId="3142" fillId="0" borderId="3142" xfId="0" applyFont="1" applyBorder="1" applyAlignment="1"/>
    <xf numFmtId="0" fontId="3143" fillId="0" borderId="3143" xfId="0" applyFont="1" applyBorder="1" applyAlignment="1"/>
    <xf numFmtId="0" fontId="3144" fillId="0" borderId="3144" xfId="0" applyFont="1" applyBorder="1" applyAlignment="1"/>
    <xf numFmtId="0" fontId="3145" fillId="0" borderId="3145" xfId="0" applyFont="1" applyBorder="1" applyAlignment="1"/>
    <xf numFmtId="0" fontId="3146" fillId="0" borderId="3146" xfId="0" applyFont="1" applyBorder="1" applyAlignment="1"/>
    <xf numFmtId="0" fontId="3147" fillId="0" borderId="3147" xfId="0" applyFont="1" applyBorder="1" applyAlignment="1"/>
    <xf numFmtId="0" fontId="3148" fillId="0" borderId="3148" xfId="0" applyFont="1" applyBorder="1" applyAlignment="1"/>
    <xf numFmtId="0" fontId="3149" fillId="0" borderId="3149" xfId="0" applyFont="1" applyBorder="1" applyAlignment="1"/>
    <xf numFmtId="0" fontId="3150" fillId="0" borderId="3150" xfId="0" applyFont="1" applyBorder="1" applyAlignment="1"/>
    <xf numFmtId="0" fontId="3151" fillId="0" borderId="3151" xfId="0" applyFont="1" applyBorder="1" applyAlignment="1"/>
    <xf numFmtId="0" fontId="3152" fillId="0" borderId="3152" xfId="0" applyFont="1" applyBorder="1" applyAlignment="1"/>
    <xf numFmtId="0" fontId="3153" fillId="0" borderId="3153" xfId="0" applyFont="1" applyBorder="1" applyAlignment="1"/>
    <xf numFmtId="0" fontId="3154" fillId="0" borderId="3154" xfId="0" applyFont="1" applyBorder="1" applyAlignment="1"/>
    <xf numFmtId="0" fontId="3155" fillId="0" borderId="3155" xfId="0" applyFont="1" applyBorder="1" applyAlignment="1"/>
    <xf numFmtId="0" fontId="3156" fillId="0" borderId="3156" xfId="0" applyFont="1" applyBorder="1" applyAlignment="1"/>
    <xf numFmtId="0" fontId="3157" fillId="0" borderId="3157" xfId="0" applyFont="1" applyBorder="1" applyAlignment="1"/>
    <xf numFmtId="0" fontId="3158" fillId="0" borderId="3158" xfId="0" applyFont="1" applyBorder="1" applyAlignment="1"/>
    <xf numFmtId="0" fontId="3159" fillId="0" borderId="3159" xfId="0" applyFont="1" applyBorder="1" applyAlignment="1"/>
    <xf numFmtId="0" fontId="3160" fillId="0" borderId="3160" xfId="0" applyFont="1" applyBorder="1" applyAlignment="1"/>
    <xf numFmtId="0" fontId="3161" fillId="0" borderId="3161" xfId="0" applyFont="1" applyBorder="1" applyAlignment="1"/>
    <xf numFmtId="0" fontId="3162" fillId="0" borderId="3162" xfId="0" applyFont="1" applyBorder="1" applyAlignment="1"/>
    <xf numFmtId="0" fontId="3163" fillId="0" borderId="3163" xfId="0" applyFont="1" applyBorder="1" applyAlignment="1"/>
    <xf numFmtId="0" fontId="3164" fillId="0" borderId="3164" xfId="0" applyFont="1" applyBorder="1" applyAlignment="1"/>
    <xf numFmtId="0" fontId="3165" fillId="0" borderId="3165" xfId="0" applyFont="1" applyBorder="1" applyAlignment="1"/>
    <xf numFmtId="0" fontId="3166" fillId="0" borderId="3166" xfId="0" applyFont="1" applyBorder="1" applyAlignment="1"/>
    <xf numFmtId="0" fontId="3167" fillId="0" borderId="3167" xfId="0" applyFont="1" applyBorder="1" applyAlignment="1"/>
    <xf numFmtId="0" fontId="3168" fillId="0" borderId="3168" xfId="0" applyFont="1" applyBorder="1" applyAlignment="1"/>
    <xf numFmtId="0" fontId="3169" fillId="0" borderId="3169" xfId="0" applyFont="1" applyBorder="1" applyAlignment="1"/>
    <xf numFmtId="0" fontId="3170" fillId="0" borderId="3170" xfId="0" applyFont="1" applyBorder="1" applyAlignment="1"/>
    <xf numFmtId="0" fontId="3171" fillId="0" borderId="3171" xfId="0" applyFont="1" applyBorder="1" applyAlignment="1"/>
    <xf numFmtId="0" fontId="3172" fillId="0" borderId="3172" xfId="0" applyFont="1" applyBorder="1" applyAlignment="1"/>
    <xf numFmtId="0" fontId="3173" fillId="0" borderId="3173" xfId="0" applyFont="1" applyBorder="1" applyAlignment="1"/>
    <xf numFmtId="0" fontId="3174" fillId="0" borderId="3174" xfId="0" applyFont="1" applyBorder="1" applyAlignment="1"/>
    <xf numFmtId="0" fontId="3175" fillId="0" borderId="3175" xfId="0" applyFont="1" applyBorder="1" applyAlignment="1"/>
    <xf numFmtId="0" fontId="3176" fillId="0" borderId="3176" xfId="0" applyFont="1" applyBorder="1" applyAlignment="1"/>
    <xf numFmtId="0" fontId="3177" fillId="0" borderId="3177" xfId="0" applyFont="1" applyBorder="1" applyAlignment="1"/>
    <xf numFmtId="0" fontId="3178" fillId="0" borderId="3178" xfId="0" applyFont="1" applyBorder="1" applyAlignment="1"/>
    <xf numFmtId="0" fontId="3179" fillId="0" borderId="3179" xfId="0" applyFont="1" applyBorder="1" applyAlignment="1"/>
    <xf numFmtId="0" fontId="3180" fillId="0" borderId="3180" xfId="0" applyFont="1" applyBorder="1" applyAlignment="1"/>
    <xf numFmtId="0" fontId="3181" fillId="0" borderId="3181" xfId="0" applyFont="1" applyBorder="1" applyAlignment="1"/>
    <xf numFmtId="0" fontId="3182" fillId="0" borderId="3182" xfId="0" applyFont="1" applyBorder="1" applyAlignment="1"/>
    <xf numFmtId="0" fontId="3183" fillId="0" borderId="3183" xfId="0" applyFont="1" applyBorder="1" applyAlignment="1"/>
    <xf numFmtId="0" fontId="3184" fillId="0" borderId="3184" xfId="0" applyFont="1" applyBorder="1" applyAlignment="1"/>
    <xf numFmtId="0" fontId="3185" fillId="0" borderId="3185" xfId="0" applyFont="1" applyBorder="1" applyAlignment="1"/>
    <xf numFmtId="0" fontId="3186" fillId="0" borderId="3186" xfId="0" applyFont="1" applyBorder="1" applyAlignment="1"/>
    <xf numFmtId="0" fontId="3187" fillId="0" borderId="3187" xfId="0" applyFont="1" applyBorder="1" applyAlignment="1"/>
    <xf numFmtId="0" fontId="3188" fillId="0" borderId="3188" xfId="0" applyFont="1" applyBorder="1" applyAlignment="1"/>
    <xf numFmtId="0" fontId="3189" fillId="0" borderId="3189" xfId="0" applyFont="1" applyBorder="1" applyAlignment="1"/>
    <xf numFmtId="0" fontId="3190" fillId="0" borderId="3190" xfId="0" applyFont="1" applyBorder="1" applyAlignment="1"/>
    <xf numFmtId="0" fontId="3191" fillId="0" borderId="3191" xfId="0" applyFont="1" applyBorder="1" applyAlignment="1"/>
    <xf numFmtId="0" fontId="3192" fillId="0" borderId="3192" xfId="0" applyFont="1" applyBorder="1" applyAlignment="1"/>
    <xf numFmtId="0" fontId="3193" fillId="0" borderId="3193" xfId="0" applyFont="1" applyBorder="1" applyAlignment="1"/>
    <xf numFmtId="0" fontId="3194" fillId="0" borderId="3194" xfId="0" applyFont="1" applyBorder="1" applyAlignment="1"/>
    <xf numFmtId="0" fontId="3195" fillId="0" borderId="3195" xfId="0" applyFont="1" applyBorder="1" applyAlignment="1"/>
    <xf numFmtId="0" fontId="3196" fillId="0" borderId="3196" xfId="0" applyFont="1" applyBorder="1" applyAlignment="1"/>
    <xf numFmtId="0" fontId="3197" fillId="0" borderId="3197" xfId="0" applyFont="1" applyBorder="1" applyAlignment="1"/>
    <xf numFmtId="0" fontId="3198" fillId="0" borderId="3198" xfId="0" applyFont="1" applyBorder="1" applyAlignment="1"/>
    <xf numFmtId="0" fontId="3199" fillId="0" borderId="3199" xfId="0" applyFont="1" applyBorder="1" applyAlignment="1"/>
    <xf numFmtId="0" fontId="3200" fillId="0" borderId="3200" xfId="0" applyFont="1" applyBorder="1" applyAlignment="1"/>
    <xf numFmtId="0" fontId="3201" fillId="0" borderId="3201" xfId="0" applyFont="1" applyBorder="1" applyAlignment="1"/>
    <xf numFmtId="0" fontId="3202" fillId="0" borderId="3202" xfId="0" applyFont="1" applyBorder="1" applyAlignment="1"/>
    <xf numFmtId="0" fontId="3203" fillId="0" borderId="3203" xfId="0" applyFont="1" applyBorder="1" applyAlignment="1"/>
    <xf numFmtId="0" fontId="3204" fillId="0" borderId="3204" xfId="0" applyFont="1" applyBorder="1" applyAlignment="1"/>
    <xf numFmtId="0" fontId="3205" fillId="0" borderId="3205" xfId="0" applyFont="1" applyBorder="1" applyAlignment="1"/>
    <xf numFmtId="0" fontId="3206" fillId="0" borderId="3206" xfId="0" applyFont="1" applyBorder="1" applyAlignment="1"/>
    <xf numFmtId="0" fontId="3207" fillId="0" borderId="3207" xfId="0" applyFont="1" applyBorder="1" applyAlignment="1"/>
    <xf numFmtId="0" fontId="3208" fillId="0" borderId="3208" xfId="0" applyFont="1" applyBorder="1" applyAlignment="1"/>
    <xf numFmtId="0" fontId="3209" fillId="0" borderId="3209" xfId="0" applyFont="1" applyBorder="1" applyAlignment="1"/>
    <xf numFmtId="0" fontId="3210" fillId="0" borderId="3210" xfId="0" applyFont="1" applyBorder="1" applyAlignment="1"/>
    <xf numFmtId="0" fontId="3211" fillId="0" borderId="3211" xfId="0" applyFont="1" applyBorder="1" applyAlignment="1"/>
    <xf numFmtId="0" fontId="3212" fillId="0" borderId="3212" xfId="0" applyFont="1" applyBorder="1" applyAlignment="1"/>
    <xf numFmtId="0" fontId="3213" fillId="0" borderId="3213" xfId="0" applyFont="1" applyBorder="1" applyAlignment="1"/>
    <xf numFmtId="0" fontId="3214" fillId="0" borderId="3214" xfId="0" applyFont="1" applyBorder="1" applyAlignment="1"/>
    <xf numFmtId="0" fontId="3215" fillId="0" borderId="3215" xfId="0" applyFont="1" applyBorder="1" applyAlignment="1"/>
    <xf numFmtId="0" fontId="3216" fillId="0" borderId="3216" xfId="0" applyFont="1" applyBorder="1" applyAlignment="1"/>
    <xf numFmtId="0" fontId="3217" fillId="0" borderId="3217" xfId="0" applyFont="1" applyBorder="1" applyAlignment="1"/>
    <xf numFmtId="0" fontId="3218" fillId="0" borderId="3218" xfId="0" applyFont="1" applyBorder="1" applyAlignment="1"/>
    <xf numFmtId="0" fontId="3219" fillId="0" borderId="3219" xfId="0" applyFont="1" applyBorder="1" applyAlignment="1"/>
    <xf numFmtId="0" fontId="3220" fillId="0" borderId="3220" xfId="0" applyFont="1" applyBorder="1" applyAlignment="1"/>
    <xf numFmtId="0" fontId="3221" fillId="0" borderId="3221" xfId="0" applyFont="1" applyBorder="1" applyAlignment="1"/>
    <xf numFmtId="0" fontId="3222" fillId="0" borderId="3222" xfId="0" applyFont="1" applyBorder="1" applyAlignment="1"/>
    <xf numFmtId="0" fontId="3223" fillId="0" borderId="3223" xfId="0" applyFont="1" applyBorder="1" applyAlignment="1"/>
    <xf numFmtId="0" fontId="3224" fillId="0" borderId="3224" xfId="0" applyFont="1" applyBorder="1" applyAlignment="1"/>
    <xf numFmtId="0" fontId="3225" fillId="0" borderId="3225" xfId="0" applyFont="1" applyBorder="1" applyAlignment="1"/>
    <xf numFmtId="0" fontId="3226" fillId="0" borderId="3226" xfId="0" applyFont="1" applyBorder="1" applyAlignment="1"/>
    <xf numFmtId="0" fontId="3227" fillId="0" borderId="3227" xfId="0" applyFont="1" applyBorder="1" applyAlignment="1"/>
    <xf numFmtId="0" fontId="3228" fillId="0" borderId="3228" xfId="0" applyFont="1" applyBorder="1" applyAlignment="1"/>
    <xf numFmtId="0" fontId="3229" fillId="0" borderId="3229" xfId="0" applyFont="1" applyBorder="1" applyAlignment="1"/>
    <xf numFmtId="0" fontId="3230" fillId="0" borderId="3230" xfId="0" applyFont="1" applyBorder="1" applyAlignment="1"/>
    <xf numFmtId="0" fontId="3231" fillId="0" borderId="3231" xfId="0" applyFont="1" applyBorder="1" applyAlignment="1"/>
    <xf numFmtId="0" fontId="3232" fillId="0" borderId="3232" xfId="0" applyFont="1" applyBorder="1" applyAlignment="1"/>
    <xf numFmtId="0" fontId="3233" fillId="0" borderId="3233" xfId="0" applyFont="1" applyBorder="1" applyAlignment="1"/>
    <xf numFmtId="0" fontId="3234" fillId="0" borderId="3234" xfId="0" applyFont="1" applyBorder="1" applyAlignment="1"/>
    <xf numFmtId="0" fontId="3235" fillId="0" borderId="3235" xfId="0" applyFont="1" applyBorder="1" applyAlignment="1"/>
    <xf numFmtId="0" fontId="3236" fillId="0" borderId="3236" xfId="0" applyFont="1" applyBorder="1" applyAlignment="1"/>
    <xf numFmtId="0" fontId="3237" fillId="0" borderId="3237" xfId="0" applyFont="1" applyBorder="1" applyAlignment="1"/>
    <xf numFmtId="0" fontId="3238" fillId="0" borderId="3238" xfId="0" applyFont="1" applyBorder="1" applyAlignment="1"/>
    <xf numFmtId="0" fontId="3239" fillId="0" borderId="3239" xfId="0" applyFont="1" applyBorder="1" applyAlignment="1"/>
    <xf numFmtId="0" fontId="3240" fillId="0" borderId="3240" xfId="0" applyFont="1" applyBorder="1" applyAlignment="1"/>
    <xf numFmtId="0" fontId="3241" fillId="0" borderId="3241" xfId="0" applyFont="1" applyBorder="1" applyAlignment="1"/>
    <xf numFmtId="0" fontId="3242" fillId="0" borderId="3242" xfId="0" applyFont="1" applyBorder="1" applyAlignment="1"/>
    <xf numFmtId="0" fontId="3243" fillId="0" borderId="3243" xfId="0" applyFont="1" applyBorder="1" applyAlignment="1"/>
    <xf numFmtId="0" fontId="3244" fillId="0" borderId="3244" xfId="0" applyFont="1" applyBorder="1" applyAlignment="1"/>
    <xf numFmtId="0" fontId="3245" fillId="0" borderId="3245" xfId="0" applyFont="1" applyBorder="1" applyAlignment="1"/>
    <xf numFmtId="0" fontId="3246" fillId="0" borderId="3246" xfId="0" applyFont="1" applyBorder="1" applyAlignment="1"/>
    <xf numFmtId="0" fontId="3247" fillId="0" borderId="3247" xfId="0" applyFont="1" applyBorder="1" applyAlignment="1"/>
    <xf numFmtId="0" fontId="3248" fillId="0" borderId="3248" xfId="0" applyFont="1" applyBorder="1" applyAlignment="1"/>
    <xf numFmtId="0" fontId="3249" fillId="0" borderId="3249" xfId="0" applyFont="1" applyBorder="1" applyAlignment="1"/>
    <xf numFmtId="0" fontId="3250" fillId="0" borderId="3250" xfId="0" applyFont="1" applyBorder="1" applyAlignment="1"/>
    <xf numFmtId="0" fontId="3251" fillId="0" borderId="3251" xfId="0" applyFont="1" applyBorder="1" applyAlignment="1"/>
    <xf numFmtId="0" fontId="3252" fillId="0" borderId="3252" xfId="0" applyFont="1" applyBorder="1" applyAlignment="1"/>
    <xf numFmtId="0" fontId="3253" fillId="0" borderId="3253" xfId="0" applyFont="1" applyBorder="1" applyAlignment="1"/>
    <xf numFmtId="0" fontId="3254" fillId="0" borderId="3254" xfId="0" applyFont="1" applyBorder="1" applyAlignment="1"/>
    <xf numFmtId="0" fontId="3255" fillId="0" borderId="3255" xfId="0" applyFont="1" applyBorder="1" applyAlignment="1"/>
    <xf numFmtId="0" fontId="3256" fillId="0" borderId="3256" xfId="0" applyFont="1" applyBorder="1" applyAlignment="1"/>
    <xf numFmtId="0" fontId="3257" fillId="0" borderId="3257" xfId="0" applyFont="1" applyBorder="1" applyAlignment="1"/>
    <xf numFmtId="0" fontId="3258" fillId="0" borderId="3258" xfId="0" applyFont="1" applyBorder="1" applyAlignment="1"/>
    <xf numFmtId="0" fontId="3259" fillId="0" borderId="3259" xfId="0" applyFont="1" applyBorder="1" applyAlignment="1"/>
    <xf numFmtId="0" fontId="3260" fillId="0" borderId="3260" xfId="0" applyFont="1" applyBorder="1" applyAlignment="1"/>
    <xf numFmtId="0" fontId="3261" fillId="0" borderId="3261" xfId="0" applyFont="1" applyBorder="1" applyAlignment="1"/>
    <xf numFmtId="0" fontId="3262" fillId="0" borderId="3262" xfId="0" applyFont="1" applyBorder="1" applyAlignment="1"/>
    <xf numFmtId="0" fontId="3263" fillId="0" borderId="3263" xfId="0" applyFont="1" applyBorder="1" applyAlignment="1"/>
    <xf numFmtId="0" fontId="3264" fillId="0" borderId="3264" xfId="0" applyFont="1" applyBorder="1" applyAlignment="1"/>
    <xf numFmtId="0" fontId="3265" fillId="0" borderId="3265" xfId="0" applyFont="1" applyBorder="1" applyAlignment="1"/>
    <xf numFmtId="0" fontId="3266" fillId="0" borderId="3266" xfId="0" applyFont="1" applyBorder="1" applyAlignment="1"/>
    <xf numFmtId="0" fontId="3267" fillId="0" borderId="3267" xfId="0" applyFont="1" applyBorder="1" applyAlignment="1"/>
    <xf numFmtId="0" fontId="3268" fillId="0" borderId="3268" xfId="0" applyFont="1" applyBorder="1" applyAlignment="1"/>
    <xf numFmtId="0" fontId="3269" fillId="0" borderId="3269" xfId="0" applyFont="1" applyBorder="1" applyAlignment="1"/>
    <xf numFmtId="0" fontId="3270" fillId="0" borderId="3270" xfId="0" applyFont="1" applyBorder="1" applyAlignment="1"/>
    <xf numFmtId="0" fontId="3271" fillId="0" borderId="3271" xfId="0" applyFont="1" applyBorder="1" applyAlignment="1"/>
    <xf numFmtId="0" fontId="3272" fillId="0" borderId="3272" xfId="0" applyFont="1" applyBorder="1" applyAlignment="1"/>
    <xf numFmtId="0" fontId="3273" fillId="0" borderId="3273" xfId="0" applyFont="1" applyBorder="1" applyAlignment="1"/>
    <xf numFmtId="0" fontId="3274" fillId="0" borderId="3274" xfId="0" applyFont="1" applyBorder="1" applyAlignment="1"/>
    <xf numFmtId="0" fontId="3275" fillId="0" borderId="3275" xfId="0" applyFont="1" applyBorder="1" applyAlignment="1"/>
    <xf numFmtId="0" fontId="3276" fillId="0" borderId="3276" xfId="0" applyFont="1" applyBorder="1" applyAlignment="1"/>
    <xf numFmtId="0" fontId="3277" fillId="0" borderId="3277" xfId="0" applyFont="1" applyBorder="1" applyAlignment="1"/>
    <xf numFmtId="0" fontId="3278" fillId="0" borderId="3278" xfId="0" applyFont="1" applyBorder="1" applyAlignment="1"/>
    <xf numFmtId="0" fontId="3279" fillId="0" borderId="3279" xfId="0" applyFont="1" applyBorder="1" applyAlignment="1"/>
    <xf numFmtId="0" fontId="3280" fillId="0" borderId="3280" xfId="0" applyFont="1" applyBorder="1" applyAlignment="1"/>
    <xf numFmtId="0" fontId="3281" fillId="0" borderId="3281" xfId="0" applyFont="1" applyBorder="1" applyAlignment="1"/>
    <xf numFmtId="0" fontId="3282" fillId="0" borderId="3282" xfId="0" applyFont="1" applyBorder="1" applyAlignment="1"/>
    <xf numFmtId="0" fontId="3283" fillId="0" borderId="3283" xfId="0" applyFont="1" applyBorder="1" applyAlignment="1"/>
    <xf numFmtId="0" fontId="3284" fillId="0" borderId="3284" xfId="0" applyFont="1" applyBorder="1" applyAlignment="1"/>
    <xf numFmtId="0" fontId="3285" fillId="0" borderId="3285" xfId="0" applyFont="1" applyBorder="1" applyAlignment="1"/>
    <xf numFmtId="0" fontId="3286" fillId="0" borderId="3286" xfId="0" applyFont="1" applyBorder="1" applyAlignment="1"/>
    <xf numFmtId="0" fontId="3287" fillId="0" borderId="3287" xfId="0" applyFont="1" applyBorder="1" applyAlignment="1"/>
    <xf numFmtId="0" fontId="3288" fillId="0" borderId="3288" xfId="0" applyFont="1" applyBorder="1" applyAlignment="1"/>
    <xf numFmtId="0" fontId="3289" fillId="0" borderId="3289" xfId="0" applyFont="1" applyBorder="1" applyAlignment="1"/>
    <xf numFmtId="0" fontId="3290" fillId="0" borderId="3290" xfId="0" applyFont="1" applyBorder="1" applyAlignment="1"/>
    <xf numFmtId="0" fontId="3291" fillId="0" borderId="3291" xfId="0" applyFont="1" applyBorder="1" applyAlignment="1"/>
    <xf numFmtId="0" fontId="3292" fillId="0" borderId="3292" xfId="0" applyFont="1" applyBorder="1" applyAlignment="1"/>
    <xf numFmtId="0" fontId="3293" fillId="0" borderId="3293" xfId="0" applyFont="1" applyBorder="1" applyAlignment="1"/>
    <xf numFmtId="0" fontId="3294" fillId="0" borderId="3294" xfId="0" applyFont="1" applyBorder="1" applyAlignment="1"/>
    <xf numFmtId="0" fontId="3295" fillId="0" borderId="3295" xfId="0" applyFont="1" applyBorder="1" applyAlignment="1"/>
    <xf numFmtId="0" fontId="3296" fillId="0" borderId="3296" xfId="0" applyFont="1" applyBorder="1" applyAlignment="1"/>
    <xf numFmtId="0" fontId="3297" fillId="0" borderId="3297" xfId="0" applyFont="1" applyBorder="1" applyAlignment="1"/>
    <xf numFmtId="0" fontId="3298" fillId="0" borderId="3298" xfId="0" applyFont="1" applyBorder="1" applyAlignment="1"/>
    <xf numFmtId="0" fontId="3299" fillId="0" borderId="3299" xfId="0" applyFont="1" applyBorder="1" applyAlignment="1"/>
    <xf numFmtId="0" fontId="3300" fillId="0" borderId="3300" xfId="0" applyFont="1" applyBorder="1" applyAlignment="1"/>
    <xf numFmtId="0" fontId="3301" fillId="0" borderId="3301" xfId="0" applyFont="1" applyBorder="1" applyAlignment="1"/>
    <xf numFmtId="0" fontId="3302" fillId="0" borderId="3302" xfId="0" applyFont="1" applyBorder="1" applyAlignment="1"/>
    <xf numFmtId="0" fontId="3303" fillId="0" borderId="3303" xfId="0" applyFont="1" applyBorder="1" applyAlignment="1"/>
    <xf numFmtId="0" fontId="3304" fillId="0" borderId="3304" xfId="0" applyFont="1" applyBorder="1" applyAlignment="1"/>
    <xf numFmtId="0" fontId="3305" fillId="0" borderId="3305" xfId="0" applyFont="1" applyBorder="1" applyAlignment="1"/>
    <xf numFmtId="0" fontId="3306" fillId="0" borderId="3306" xfId="0" applyFont="1" applyBorder="1" applyAlignment="1"/>
    <xf numFmtId="0" fontId="3307" fillId="0" borderId="3307" xfId="0" applyFont="1" applyBorder="1" applyAlignment="1"/>
    <xf numFmtId="0" fontId="3308" fillId="0" borderId="3308" xfId="0" applyFont="1" applyBorder="1" applyAlignment="1"/>
    <xf numFmtId="0" fontId="3309" fillId="0" borderId="3309" xfId="0" applyFont="1" applyBorder="1" applyAlignment="1"/>
    <xf numFmtId="0" fontId="3310" fillId="0" borderId="3310" xfId="0" applyFont="1" applyBorder="1" applyAlignment="1"/>
    <xf numFmtId="0" fontId="3311" fillId="0" borderId="3311" xfId="0" applyFont="1" applyBorder="1" applyAlignment="1"/>
    <xf numFmtId="0" fontId="3312" fillId="0" borderId="3312" xfId="0" applyFont="1" applyBorder="1" applyAlignment="1"/>
    <xf numFmtId="0" fontId="3313" fillId="0" borderId="3313" xfId="0" applyFont="1" applyBorder="1" applyAlignment="1"/>
    <xf numFmtId="0" fontId="3314" fillId="0" borderId="3314" xfId="0" applyFont="1" applyBorder="1" applyAlignment="1"/>
    <xf numFmtId="0" fontId="3315" fillId="0" borderId="3315" xfId="0" applyFont="1" applyBorder="1" applyAlignment="1"/>
    <xf numFmtId="0" fontId="3316" fillId="0" borderId="3316" xfId="0" applyFont="1" applyBorder="1" applyAlignment="1"/>
    <xf numFmtId="0" fontId="3317" fillId="0" borderId="3317" xfId="0" applyFont="1" applyBorder="1" applyAlignment="1"/>
    <xf numFmtId="0" fontId="3318" fillId="0" borderId="3318" xfId="0" applyFont="1" applyBorder="1" applyAlignment="1"/>
    <xf numFmtId="0" fontId="3319" fillId="0" borderId="3319" xfId="0" applyFont="1" applyBorder="1" applyAlignment="1"/>
    <xf numFmtId="0" fontId="3320" fillId="0" borderId="3320" xfId="0" applyFont="1" applyBorder="1" applyAlignment="1"/>
    <xf numFmtId="0" fontId="3321" fillId="0" borderId="3321" xfId="0" applyFont="1" applyBorder="1" applyAlignment="1"/>
    <xf numFmtId="0" fontId="3322" fillId="0" borderId="3322" xfId="0" applyFont="1" applyBorder="1" applyAlignment="1"/>
    <xf numFmtId="0" fontId="3323" fillId="0" borderId="3323" xfId="0" applyFont="1" applyBorder="1" applyAlignment="1"/>
    <xf numFmtId="0" fontId="3324" fillId="0" borderId="3324" xfId="0" applyFont="1" applyBorder="1" applyAlignment="1"/>
    <xf numFmtId="0" fontId="3325" fillId="0" borderId="3325" xfId="0" applyFont="1" applyBorder="1" applyAlignment="1"/>
    <xf numFmtId="0" fontId="3326" fillId="0" borderId="3326" xfId="0" applyFont="1" applyBorder="1" applyAlignment="1"/>
    <xf numFmtId="0" fontId="3327" fillId="0" borderId="3327" xfId="0" applyFont="1" applyBorder="1" applyAlignment="1"/>
    <xf numFmtId="0" fontId="3328" fillId="0" borderId="3328" xfId="0" applyFont="1" applyBorder="1" applyAlignment="1"/>
    <xf numFmtId="0" fontId="3329" fillId="0" borderId="3329" xfId="0" applyFont="1" applyBorder="1" applyAlignment="1"/>
    <xf numFmtId="0" fontId="3330" fillId="0" borderId="3330" xfId="0" applyFont="1" applyBorder="1" applyAlignment="1"/>
    <xf numFmtId="0" fontId="3331" fillId="0" borderId="3331" xfId="0" applyFont="1" applyBorder="1" applyAlignment="1"/>
    <xf numFmtId="0" fontId="3332" fillId="0" borderId="3332" xfId="0" applyFont="1" applyBorder="1" applyAlignment="1"/>
    <xf numFmtId="0" fontId="3333" fillId="0" borderId="3333" xfId="0" applyFont="1" applyBorder="1" applyAlignment="1"/>
    <xf numFmtId="0" fontId="3334" fillId="0" borderId="3334" xfId="0" applyFont="1" applyBorder="1" applyAlignment="1"/>
    <xf numFmtId="0" fontId="3335" fillId="0" borderId="3335" xfId="0" applyFont="1" applyBorder="1" applyAlignment="1"/>
    <xf numFmtId="0" fontId="3336" fillId="0" borderId="3336" xfId="0" applyFont="1" applyBorder="1" applyAlignment="1"/>
    <xf numFmtId="0" fontId="3337" fillId="0" borderId="3337" xfId="0" applyFont="1" applyBorder="1" applyAlignment="1"/>
    <xf numFmtId="0" fontId="3338" fillId="0" borderId="3338" xfId="0" applyFont="1" applyBorder="1" applyAlignment="1"/>
    <xf numFmtId="0" fontId="3339" fillId="0" borderId="3339" xfId="0" applyFont="1" applyBorder="1" applyAlignment="1"/>
    <xf numFmtId="0" fontId="3340" fillId="0" borderId="3340" xfId="0" applyFont="1" applyBorder="1" applyAlignment="1"/>
    <xf numFmtId="0" fontId="3341" fillId="0" borderId="3341" xfId="0" applyFont="1" applyBorder="1" applyAlignment="1"/>
    <xf numFmtId="0" fontId="3342" fillId="0" borderId="3342" xfId="0" applyFont="1" applyBorder="1" applyAlignment="1"/>
    <xf numFmtId="0" fontId="3343" fillId="0" borderId="3343" xfId="0" applyFont="1" applyBorder="1" applyAlignment="1"/>
    <xf numFmtId="0" fontId="3344" fillId="0" borderId="3344" xfId="0" applyFont="1" applyBorder="1" applyAlignment="1"/>
    <xf numFmtId="0" fontId="3345" fillId="0" borderId="3345" xfId="0" applyFont="1" applyBorder="1" applyAlignment="1"/>
    <xf numFmtId="0" fontId="3346" fillId="0" borderId="3346" xfId="0" applyFont="1" applyBorder="1" applyAlignment="1"/>
    <xf numFmtId="0" fontId="3347" fillId="0" borderId="3347" xfId="0" applyFont="1" applyBorder="1" applyAlignment="1"/>
    <xf numFmtId="0" fontId="3348" fillId="0" borderId="3348" xfId="0" applyFont="1" applyBorder="1" applyAlignment="1"/>
    <xf numFmtId="0" fontId="3349" fillId="0" borderId="3349" xfId="0" applyFont="1" applyBorder="1" applyAlignment="1"/>
    <xf numFmtId="0" fontId="3350" fillId="0" borderId="3350" xfId="0" applyFont="1" applyBorder="1" applyAlignment="1"/>
    <xf numFmtId="0" fontId="3351" fillId="0" borderId="3351" xfId="0" applyFont="1" applyBorder="1" applyAlignment="1"/>
    <xf numFmtId="0" fontId="3352" fillId="0" borderId="3352" xfId="0" applyFont="1" applyBorder="1" applyAlignment="1"/>
    <xf numFmtId="0" fontId="3353" fillId="0" borderId="3353" xfId="0" applyFont="1" applyBorder="1" applyAlignment="1"/>
    <xf numFmtId="0" fontId="3354" fillId="0" borderId="3354" xfId="0" applyFont="1" applyBorder="1" applyAlignment="1"/>
    <xf numFmtId="0" fontId="3355" fillId="0" borderId="3355" xfId="0" applyFont="1" applyBorder="1" applyAlignment="1"/>
    <xf numFmtId="0" fontId="3356" fillId="0" borderId="3356" xfId="0" applyFont="1" applyBorder="1" applyAlignment="1"/>
    <xf numFmtId="0" fontId="3357" fillId="0" borderId="3357" xfId="0" applyFont="1" applyBorder="1" applyAlignment="1"/>
    <xf numFmtId="0" fontId="3358" fillId="0" borderId="3358" xfId="0" applyFont="1" applyBorder="1" applyAlignment="1"/>
    <xf numFmtId="0" fontId="3359" fillId="0" borderId="3359" xfId="0" applyFont="1" applyBorder="1" applyAlignment="1"/>
    <xf numFmtId="0" fontId="3360" fillId="0" borderId="3360" xfId="0" applyFont="1" applyBorder="1" applyAlignment="1"/>
    <xf numFmtId="0" fontId="3361" fillId="0" borderId="3361" xfId="0" applyFont="1" applyBorder="1" applyAlignment="1"/>
    <xf numFmtId="0" fontId="3362" fillId="0" borderId="3362" xfId="0" applyFont="1" applyBorder="1" applyAlignment="1"/>
    <xf numFmtId="0" fontId="3363" fillId="0" borderId="3363" xfId="0" applyFont="1" applyBorder="1" applyAlignment="1"/>
    <xf numFmtId="0" fontId="3364" fillId="0" borderId="3364" xfId="0" applyFont="1" applyBorder="1" applyAlignment="1"/>
    <xf numFmtId="0" fontId="3365" fillId="0" borderId="3365" xfId="0" applyFont="1" applyBorder="1" applyAlignment="1"/>
    <xf numFmtId="0" fontId="3366" fillId="0" borderId="3366" xfId="0" applyFont="1" applyBorder="1" applyAlignment="1"/>
    <xf numFmtId="0" fontId="3367" fillId="0" borderId="3367" xfId="0" applyFont="1" applyBorder="1" applyAlignment="1"/>
    <xf numFmtId="0" fontId="3368" fillId="0" borderId="3368" xfId="0" applyFont="1" applyBorder="1" applyAlignment="1"/>
    <xf numFmtId="0" fontId="3369" fillId="0" borderId="3369" xfId="0" applyFont="1" applyBorder="1" applyAlignment="1"/>
    <xf numFmtId="0" fontId="3370" fillId="0" borderId="3370" xfId="0" applyFont="1" applyBorder="1" applyAlignment="1"/>
    <xf numFmtId="0" fontId="3371" fillId="0" borderId="3371" xfId="0" applyFont="1" applyBorder="1" applyAlignment="1"/>
    <xf numFmtId="0" fontId="3372" fillId="0" borderId="3372" xfId="0" applyFont="1" applyBorder="1" applyAlignment="1"/>
    <xf numFmtId="0" fontId="3373" fillId="0" borderId="3373" xfId="0" applyFont="1" applyBorder="1" applyAlignment="1"/>
    <xf numFmtId="0" fontId="3374" fillId="0" borderId="3374" xfId="0" applyFont="1" applyBorder="1" applyAlignment="1"/>
    <xf numFmtId="0" fontId="3375" fillId="0" borderId="3375" xfId="0" applyFont="1" applyBorder="1" applyAlignment="1"/>
    <xf numFmtId="0" fontId="3376" fillId="0" borderId="3376" xfId="0" applyFont="1" applyBorder="1" applyAlignment="1"/>
    <xf numFmtId="0" fontId="3377" fillId="0" borderId="3377" xfId="0" applyFont="1" applyBorder="1" applyAlignment="1"/>
    <xf numFmtId="0" fontId="3378" fillId="0" borderId="3378" xfId="0" applyFont="1" applyBorder="1" applyAlignment="1"/>
    <xf numFmtId="0" fontId="3379" fillId="0" borderId="3379" xfId="0" applyFont="1" applyBorder="1" applyAlignment="1"/>
    <xf numFmtId="0" fontId="3380" fillId="0" borderId="3380" xfId="0" applyFont="1" applyBorder="1" applyAlignment="1"/>
    <xf numFmtId="0" fontId="3381" fillId="0" borderId="3381" xfId="0" applyFont="1" applyBorder="1" applyAlignment="1"/>
    <xf numFmtId="0" fontId="3382" fillId="0" borderId="3382" xfId="0" applyFont="1" applyBorder="1" applyAlignment="1"/>
    <xf numFmtId="0" fontId="3383" fillId="0" borderId="3383" xfId="0" applyFont="1" applyBorder="1" applyAlignment="1"/>
    <xf numFmtId="0" fontId="3384" fillId="0" borderId="3384" xfId="0" applyFont="1" applyBorder="1" applyAlignment="1"/>
    <xf numFmtId="0" fontId="3385" fillId="0" borderId="3385" xfId="0" applyFont="1" applyBorder="1" applyAlignment="1"/>
    <xf numFmtId="0" fontId="3386" fillId="0" borderId="3386" xfId="0" applyFont="1" applyBorder="1" applyAlignment="1"/>
    <xf numFmtId="0" fontId="3387" fillId="0" borderId="3387" xfId="0" applyFont="1" applyBorder="1" applyAlignment="1"/>
    <xf numFmtId="0" fontId="3388" fillId="0" borderId="3388" xfId="0" applyFont="1" applyBorder="1" applyAlignment="1"/>
    <xf numFmtId="0" fontId="3389" fillId="0" borderId="3389" xfId="0" applyFont="1" applyBorder="1" applyAlignment="1"/>
    <xf numFmtId="0" fontId="3390" fillId="0" borderId="3390" xfId="0" applyFont="1" applyBorder="1" applyAlignment="1"/>
    <xf numFmtId="0" fontId="3391" fillId="0" borderId="3391" xfId="0" applyFont="1" applyBorder="1" applyAlignment="1"/>
    <xf numFmtId="0" fontId="3392" fillId="0" borderId="3392" xfId="0" applyFont="1" applyBorder="1" applyAlignment="1"/>
    <xf numFmtId="0" fontId="3393" fillId="0" borderId="3393" xfId="0" applyFont="1" applyBorder="1" applyAlignment="1"/>
    <xf numFmtId="0" fontId="3394" fillId="0" borderId="3394" xfId="0" applyFont="1" applyBorder="1" applyAlignment="1"/>
    <xf numFmtId="0" fontId="3395" fillId="0" borderId="3395" xfId="0" applyFont="1" applyBorder="1" applyAlignment="1"/>
    <xf numFmtId="0" fontId="3396" fillId="0" borderId="3396" xfId="0" applyFont="1" applyBorder="1" applyAlignment="1"/>
    <xf numFmtId="0" fontId="3397" fillId="0" borderId="3397" xfId="0" applyFont="1" applyBorder="1" applyAlignment="1"/>
    <xf numFmtId="0" fontId="3398" fillId="0" borderId="3398" xfId="0" applyFont="1" applyBorder="1" applyAlignment="1"/>
    <xf numFmtId="0" fontId="3399" fillId="0" borderId="3399" xfId="0" applyFont="1" applyBorder="1" applyAlignment="1"/>
    <xf numFmtId="0" fontId="3400" fillId="0" borderId="3400" xfId="0" applyFont="1" applyBorder="1" applyAlignment="1"/>
    <xf numFmtId="0" fontId="3401" fillId="0" borderId="3401" xfId="0" applyFont="1" applyBorder="1" applyAlignment="1"/>
    <xf numFmtId="0" fontId="3402" fillId="0" borderId="3402" xfId="0" applyFont="1" applyBorder="1" applyAlignment="1"/>
    <xf numFmtId="0" fontId="3403" fillId="0" borderId="3403" xfId="0" applyFont="1" applyBorder="1" applyAlignment="1"/>
    <xf numFmtId="0" fontId="3404" fillId="0" borderId="3404" xfId="0" applyFont="1" applyBorder="1" applyAlignment="1"/>
    <xf numFmtId="0" fontId="3405" fillId="0" borderId="3405" xfId="0" applyFont="1" applyBorder="1" applyAlignment="1"/>
    <xf numFmtId="0" fontId="3406" fillId="0" borderId="3406" xfId="0" applyFont="1" applyBorder="1" applyAlignment="1"/>
    <xf numFmtId="0" fontId="3407" fillId="0" borderId="3407" xfId="0" applyFont="1" applyBorder="1" applyAlignment="1"/>
    <xf numFmtId="0" fontId="3408" fillId="0" borderId="3408" xfId="0" applyFont="1" applyBorder="1" applyAlignment="1"/>
    <xf numFmtId="0" fontId="3409" fillId="0" borderId="3409" xfId="0" applyFont="1" applyBorder="1" applyAlignment="1"/>
    <xf numFmtId="0" fontId="3410" fillId="0" borderId="3410" xfId="0" applyFont="1" applyBorder="1" applyAlignment="1"/>
    <xf numFmtId="0" fontId="3411" fillId="0" borderId="3411" xfId="0" applyFont="1" applyBorder="1" applyAlignment="1"/>
    <xf numFmtId="0" fontId="3412" fillId="0" borderId="3412" xfId="0" applyFont="1" applyBorder="1" applyAlignment="1"/>
    <xf numFmtId="0" fontId="3413" fillId="0" borderId="3413" xfId="0" applyFont="1" applyBorder="1" applyAlignment="1"/>
    <xf numFmtId="0" fontId="3414" fillId="0" borderId="3414" xfId="0" applyFont="1" applyBorder="1" applyAlignment="1"/>
    <xf numFmtId="0" fontId="3415" fillId="0" borderId="3415" xfId="0" applyFont="1" applyBorder="1" applyAlignment="1"/>
    <xf numFmtId="0" fontId="3416" fillId="0" borderId="3416" xfId="0" applyFont="1" applyBorder="1" applyAlignment="1"/>
    <xf numFmtId="0" fontId="3417" fillId="0" borderId="3417" xfId="0" applyFont="1" applyBorder="1" applyAlignment="1"/>
    <xf numFmtId="0" fontId="3418" fillId="0" borderId="3418" xfId="0" applyFont="1" applyBorder="1" applyAlignment="1"/>
    <xf numFmtId="0" fontId="3419" fillId="0" borderId="3419" xfId="0" applyFont="1" applyBorder="1" applyAlignment="1"/>
    <xf numFmtId="0" fontId="3420" fillId="0" borderId="3420" xfId="0" applyFont="1" applyBorder="1" applyAlignment="1"/>
    <xf numFmtId="0" fontId="3421" fillId="0" borderId="3421" xfId="0" applyFont="1" applyBorder="1" applyAlignment="1"/>
    <xf numFmtId="0" fontId="3422" fillId="0" borderId="3422" xfId="0" applyFont="1" applyBorder="1" applyAlignment="1"/>
    <xf numFmtId="0" fontId="3423" fillId="0" borderId="3423" xfId="0" applyFont="1" applyBorder="1" applyAlignment="1"/>
    <xf numFmtId="0" fontId="3424" fillId="0" borderId="3424" xfId="0" applyFont="1" applyBorder="1" applyAlignment="1"/>
    <xf numFmtId="0" fontId="3425" fillId="0" borderId="3425" xfId="0" applyFont="1" applyBorder="1" applyAlignment="1"/>
    <xf numFmtId="0" fontId="3426" fillId="0" borderId="3426" xfId="0" applyFont="1" applyBorder="1" applyAlignment="1"/>
    <xf numFmtId="0" fontId="3427" fillId="0" borderId="3427" xfId="0" applyFont="1" applyBorder="1" applyAlignment="1"/>
    <xf numFmtId="0" fontId="3428" fillId="0" borderId="3428" xfId="0" applyFont="1" applyBorder="1" applyAlignment="1"/>
    <xf numFmtId="0" fontId="3429" fillId="0" borderId="3429" xfId="0" applyFont="1" applyBorder="1" applyAlignment="1"/>
    <xf numFmtId="0" fontId="3430" fillId="0" borderId="3430" xfId="0" applyFont="1" applyBorder="1" applyAlignment="1"/>
    <xf numFmtId="0" fontId="3431" fillId="0" borderId="3431" xfId="0" applyFont="1" applyBorder="1" applyAlignment="1"/>
    <xf numFmtId="0" fontId="3432" fillId="0" borderId="3432" xfId="0" applyFont="1" applyBorder="1" applyAlignment="1"/>
    <xf numFmtId="0" fontId="3433" fillId="0" borderId="3433" xfId="0" applyFont="1" applyBorder="1" applyAlignment="1"/>
    <xf numFmtId="0" fontId="3434" fillId="0" borderId="3434" xfId="0" applyFont="1" applyBorder="1" applyAlignment="1"/>
    <xf numFmtId="0" fontId="3435" fillId="0" borderId="3435" xfId="0" applyFont="1" applyBorder="1" applyAlignment="1"/>
    <xf numFmtId="0" fontId="3436" fillId="0" borderId="3436" xfId="0" applyFont="1" applyBorder="1" applyAlignment="1"/>
    <xf numFmtId="0" fontId="3437" fillId="0" borderId="3437" xfId="0" applyFont="1" applyBorder="1" applyAlignment="1"/>
    <xf numFmtId="0" fontId="3438" fillId="0" borderId="3438" xfId="0" applyFont="1" applyBorder="1" applyAlignment="1"/>
    <xf numFmtId="0" fontId="3439" fillId="0" borderId="3439" xfId="0" applyFont="1" applyBorder="1" applyAlignment="1"/>
    <xf numFmtId="0" fontId="3440" fillId="0" borderId="3440" xfId="0" applyFont="1" applyBorder="1" applyAlignment="1"/>
    <xf numFmtId="0" fontId="3441" fillId="0" borderId="3441" xfId="0" applyFont="1" applyBorder="1" applyAlignment="1"/>
    <xf numFmtId="0" fontId="3442" fillId="0" borderId="3442" xfId="0" applyFont="1" applyBorder="1" applyAlignment="1"/>
    <xf numFmtId="0" fontId="3443" fillId="0" borderId="3443" xfId="0" applyFont="1" applyBorder="1" applyAlignment="1"/>
    <xf numFmtId="0" fontId="3444" fillId="0" borderId="3444" xfId="0" applyFont="1" applyBorder="1" applyAlignment="1"/>
    <xf numFmtId="0" fontId="3445" fillId="0" borderId="3445" xfId="0" applyFont="1" applyBorder="1" applyAlignment="1"/>
    <xf numFmtId="0" fontId="3446" fillId="0" borderId="3446" xfId="0" applyFont="1" applyBorder="1" applyAlignment="1"/>
    <xf numFmtId="0" fontId="3447" fillId="0" borderId="3447" xfId="0" applyFont="1" applyBorder="1" applyAlignment="1"/>
    <xf numFmtId="0" fontId="3448" fillId="0" borderId="3448" xfId="0" applyFont="1" applyBorder="1" applyAlignment="1"/>
    <xf numFmtId="0" fontId="3449" fillId="0" borderId="3449" xfId="0" applyFont="1" applyBorder="1" applyAlignment="1"/>
    <xf numFmtId="0" fontId="3450" fillId="0" borderId="3450" xfId="0" applyFont="1" applyBorder="1" applyAlignment="1"/>
    <xf numFmtId="0" fontId="3451" fillId="0" borderId="3451" xfId="0" applyFont="1" applyBorder="1" applyAlignment="1"/>
    <xf numFmtId="0" fontId="3452" fillId="0" borderId="3452" xfId="0" applyFont="1" applyBorder="1" applyAlignment="1"/>
    <xf numFmtId="0" fontId="3453" fillId="0" borderId="3453" xfId="0" applyFont="1" applyBorder="1" applyAlignment="1"/>
    <xf numFmtId="0" fontId="3454" fillId="0" borderId="3454" xfId="0" applyFont="1" applyBorder="1" applyAlignment="1"/>
    <xf numFmtId="0" fontId="3455" fillId="0" borderId="3455" xfId="0" applyFont="1" applyBorder="1" applyAlignment="1"/>
    <xf numFmtId="0" fontId="3456" fillId="0" borderId="3456" xfId="0" applyFont="1" applyBorder="1" applyAlignment="1"/>
    <xf numFmtId="0" fontId="3457" fillId="0" borderId="3457" xfId="0" applyFont="1" applyBorder="1" applyAlignment="1"/>
    <xf numFmtId="0" fontId="3458" fillId="0" borderId="3458" xfId="0" applyFont="1" applyBorder="1" applyAlignment="1"/>
    <xf numFmtId="0" fontId="3459" fillId="0" borderId="3459" xfId="0" applyFont="1" applyBorder="1" applyAlignment="1"/>
    <xf numFmtId="0" fontId="3460" fillId="0" borderId="3460" xfId="0" applyFont="1" applyBorder="1" applyAlignment="1"/>
    <xf numFmtId="0" fontId="3461" fillId="0" borderId="3461" xfId="0" applyFont="1" applyBorder="1" applyAlignment="1"/>
    <xf numFmtId="0" fontId="3462" fillId="0" borderId="3462" xfId="0" applyFont="1" applyBorder="1" applyAlignment="1"/>
    <xf numFmtId="0" fontId="3463" fillId="0" borderId="3463" xfId="0" applyFont="1" applyBorder="1" applyAlignment="1"/>
    <xf numFmtId="0" fontId="3464" fillId="0" borderId="3464" xfId="0" applyFont="1" applyBorder="1" applyAlignment="1"/>
    <xf numFmtId="0" fontId="3465" fillId="0" borderId="3465" xfId="0" applyFont="1" applyBorder="1" applyAlignment="1"/>
    <xf numFmtId="0" fontId="3466" fillId="0" borderId="3466" xfId="0" applyFont="1" applyBorder="1" applyAlignment="1"/>
    <xf numFmtId="0" fontId="3467" fillId="0" borderId="3467" xfId="0" applyFont="1" applyBorder="1" applyAlignment="1"/>
    <xf numFmtId="0" fontId="3468" fillId="0" borderId="3468" xfId="0" applyFont="1" applyBorder="1" applyAlignment="1"/>
    <xf numFmtId="0" fontId="3469" fillId="0" borderId="3469" xfId="0" applyFont="1" applyBorder="1" applyAlignment="1"/>
    <xf numFmtId="0" fontId="3470" fillId="0" borderId="3470" xfId="0" applyFont="1" applyBorder="1" applyAlignment="1"/>
    <xf numFmtId="0" fontId="3471" fillId="0" borderId="3471" xfId="0" applyFont="1" applyBorder="1" applyAlignment="1"/>
    <xf numFmtId="0" fontId="3472" fillId="0" borderId="3472" xfId="0" applyFont="1" applyBorder="1" applyAlignment="1"/>
    <xf numFmtId="0" fontId="3473" fillId="0" borderId="3473" xfId="0" applyFont="1" applyBorder="1" applyAlignment="1"/>
    <xf numFmtId="0" fontId="3474" fillId="0" borderId="3474" xfId="0" applyFont="1" applyBorder="1" applyAlignment="1"/>
    <xf numFmtId="0" fontId="3475" fillId="0" borderId="3475" xfId="0" applyFont="1" applyBorder="1" applyAlignment="1"/>
    <xf numFmtId="0" fontId="3476" fillId="0" borderId="3476" xfId="0" applyFont="1" applyBorder="1" applyAlignment="1"/>
    <xf numFmtId="0" fontId="3477" fillId="0" borderId="3477" xfId="0" applyFont="1" applyBorder="1" applyAlignment="1"/>
    <xf numFmtId="0" fontId="3478" fillId="0" borderId="3478" xfId="0" applyFont="1" applyBorder="1" applyAlignment="1"/>
    <xf numFmtId="0" fontId="3479" fillId="0" borderId="3479" xfId="0" applyFont="1" applyBorder="1" applyAlignment="1"/>
    <xf numFmtId="0" fontId="3480" fillId="0" borderId="3480" xfId="0" applyFont="1" applyBorder="1" applyAlignment="1"/>
    <xf numFmtId="0" fontId="3481" fillId="0" borderId="3481" xfId="0" applyFont="1" applyBorder="1" applyAlignment="1"/>
    <xf numFmtId="0" fontId="3482" fillId="0" borderId="3482" xfId="0" applyFont="1" applyBorder="1" applyAlignment="1"/>
    <xf numFmtId="0" fontId="3483" fillId="0" borderId="3483" xfId="0" applyFont="1" applyBorder="1" applyAlignment="1"/>
    <xf numFmtId="0" fontId="3484" fillId="0" borderId="3484" xfId="0" applyFont="1" applyBorder="1" applyAlignment="1"/>
    <xf numFmtId="0" fontId="3485" fillId="0" borderId="3485" xfId="0" applyFont="1" applyBorder="1" applyAlignment="1"/>
    <xf numFmtId="0" fontId="3486" fillId="0" borderId="3486" xfId="0" applyFont="1" applyBorder="1" applyAlignment="1"/>
    <xf numFmtId="0" fontId="3487" fillId="0" borderId="3487" xfId="0" applyFont="1" applyBorder="1" applyAlignment="1"/>
    <xf numFmtId="0" fontId="3488" fillId="0" borderId="3488" xfId="0" applyFont="1" applyBorder="1" applyAlignment="1"/>
    <xf numFmtId="0" fontId="3489" fillId="0" borderId="3489" xfId="0" applyFont="1" applyBorder="1" applyAlignment="1"/>
    <xf numFmtId="0" fontId="3490" fillId="0" borderId="3490" xfId="0" applyFont="1" applyBorder="1" applyAlignment="1"/>
    <xf numFmtId="0" fontId="3491" fillId="0" borderId="3491" xfId="0" applyFont="1" applyBorder="1" applyAlignment="1"/>
    <xf numFmtId="0" fontId="3492" fillId="0" borderId="3492" xfId="0" applyFont="1" applyBorder="1" applyAlignment="1"/>
    <xf numFmtId="0" fontId="3493" fillId="0" borderId="3493" xfId="0" applyFont="1" applyBorder="1" applyAlignment="1"/>
    <xf numFmtId="0" fontId="3494" fillId="0" borderId="3494" xfId="0" applyFont="1" applyBorder="1" applyAlignment="1"/>
    <xf numFmtId="0" fontId="3495" fillId="0" borderId="3495" xfId="0" applyFont="1" applyBorder="1" applyAlignment="1"/>
    <xf numFmtId="0" fontId="3496" fillId="0" borderId="3496" xfId="0" applyFont="1" applyBorder="1" applyAlignment="1"/>
    <xf numFmtId="0" fontId="3497" fillId="0" borderId="3497" xfId="0" applyFont="1" applyBorder="1" applyAlignment="1"/>
    <xf numFmtId="0" fontId="3498" fillId="0" borderId="3498" xfId="0" applyFont="1" applyBorder="1" applyAlignment="1"/>
    <xf numFmtId="0" fontId="3499" fillId="0" borderId="3499" xfId="0" applyFont="1" applyBorder="1" applyAlignment="1"/>
    <xf numFmtId="0" fontId="3500" fillId="0" borderId="3500" xfId="0" applyFont="1" applyBorder="1" applyAlignment="1"/>
    <xf numFmtId="0" fontId="3501" fillId="0" borderId="3501" xfId="0" applyFont="1" applyBorder="1" applyAlignment="1"/>
    <xf numFmtId="0" fontId="3502" fillId="0" borderId="3502" xfId="0" applyFont="1" applyBorder="1" applyAlignment="1"/>
    <xf numFmtId="0" fontId="3503" fillId="0" borderId="3503" xfId="0" applyFont="1" applyBorder="1" applyAlignment="1"/>
    <xf numFmtId="0" fontId="3504" fillId="0" borderId="3504" xfId="0" applyFont="1" applyBorder="1" applyAlignment="1"/>
    <xf numFmtId="0" fontId="3505" fillId="0" borderId="3505" xfId="0" applyFont="1" applyBorder="1" applyAlignment="1"/>
    <xf numFmtId="0" fontId="3506" fillId="0" borderId="3506" xfId="0" applyFont="1" applyBorder="1" applyAlignment="1"/>
    <xf numFmtId="0" fontId="3507" fillId="0" borderId="3507" xfId="0" applyFont="1" applyBorder="1" applyAlignment="1"/>
    <xf numFmtId="0" fontId="3508" fillId="0" borderId="3508" xfId="0" applyFont="1" applyBorder="1" applyAlignment="1"/>
    <xf numFmtId="0" fontId="3509" fillId="0" borderId="3509" xfId="0" applyFont="1" applyBorder="1" applyAlignment="1"/>
    <xf numFmtId="0" fontId="3510" fillId="0" borderId="3510" xfId="0" applyFont="1" applyBorder="1" applyAlignment="1"/>
    <xf numFmtId="0" fontId="3511" fillId="0" borderId="3511" xfId="0" applyFont="1" applyBorder="1" applyAlignment="1"/>
    <xf numFmtId="0" fontId="3512" fillId="0" borderId="3512" xfId="0" applyFont="1" applyBorder="1" applyAlignment="1"/>
    <xf numFmtId="0" fontId="3513" fillId="0" borderId="3513" xfId="0" applyFont="1" applyBorder="1" applyAlignment="1"/>
    <xf numFmtId="0" fontId="3514" fillId="0" borderId="3514" xfId="0" applyFont="1" applyBorder="1" applyAlignment="1"/>
    <xf numFmtId="0" fontId="3515" fillId="0" borderId="3515" xfId="0" applyFont="1" applyBorder="1" applyAlignment="1"/>
    <xf numFmtId="0" fontId="3516" fillId="0" borderId="3516" xfId="0" applyFont="1" applyBorder="1" applyAlignment="1"/>
    <xf numFmtId="0" fontId="3517" fillId="0" borderId="3517" xfId="0" applyFont="1" applyBorder="1" applyAlignment="1"/>
    <xf numFmtId="0" fontId="3518" fillId="0" borderId="3518" xfId="0" applyFont="1" applyBorder="1" applyAlignment="1"/>
    <xf numFmtId="0" fontId="3519" fillId="0" borderId="3519" xfId="0" applyFont="1" applyBorder="1" applyAlignment="1"/>
    <xf numFmtId="0" fontId="3520" fillId="0" borderId="3520" xfId="0" applyFont="1" applyBorder="1" applyAlignment="1"/>
    <xf numFmtId="0" fontId="3521" fillId="0" borderId="3521" xfId="0" applyFont="1" applyBorder="1" applyAlignment="1"/>
    <xf numFmtId="0" fontId="3522" fillId="0" borderId="3522" xfId="0" applyFont="1" applyBorder="1" applyAlignment="1"/>
    <xf numFmtId="0" fontId="3523" fillId="0" borderId="3523" xfId="0" applyFont="1" applyBorder="1" applyAlignment="1"/>
    <xf numFmtId="0" fontId="3524" fillId="0" borderId="3524" xfId="0" applyFont="1" applyBorder="1" applyAlignment="1"/>
    <xf numFmtId="0" fontId="3525" fillId="0" borderId="3525" xfId="0" applyFont="1" applyBorder="1" applyAlignment="1"/>
    <xf numFmtId="0" fontId="3526" fillId="0" borderId="3526" xfId="0" applyFont="1" applyBorder="1" applyAlignment="1"/>
    <xf numFmtId="0" fontId="3527" fillId="0" borderId="3527" xfId="0" applyFont="1" applyBorder="1" applyAlignment="1"/>
    <xf numFmtId="0" fontId="3528" fillId="0" borderId="3528" xfId="0" applyFont="1" applyBorder="1" applyAlignment="1"/>
    <xf numFmtId="0" fontId="3529" fillId="0" borderId="3529" xfId="0" applyFont="1" applyBorder="1" applyAlignment="1"/>
    <xf numFmtId="0" fontId="3530" fillId="0" borderId="3530" xfId="0" applyFont="1" applyBorder="1" applyAlignment="1"/>
    <xf numFmtId="0" fontId="3531" fillId="0" borderId="3531" xfId="0" applyFont="1" applyBorder="1" applyAlignment="1"/>
    <xf numFmtId="0" fontId="3532" fillId="0" borderId="3532" xfId="0" applyFont="1" applyBorder="1" applyAlignment="1"/>
    <xf numFmtId="0" fontId="3533" fillId="0" borderId="3533" xfId="0" applyFont="1" applyBorder="1" applyAlignment="1"/>
    <xf numFmtId="0" fontId="3534" fillId="0" borderId="3534" xfId="0" applyFont="1" applyBorder="1" applyAlignment="1"/>
    <xf numFmtId="0" fontId="3535" fillId="0" borderId="3535" xfId="0" applyFont="1" applyBorder="1" applyAlignment="1"/>
    <xf numFmtId="0" fontId="3536" fillId="0" borderId="3536" xfId="0" applyFont="1" applyBorder="1" applyAlignment="1"/>
    <xf numFmtId="0" fontId="3537" fillId="0" borderId="3537" xfId="0" applyFont="1" applyBorder="1" applyAlignment="1"/>
    <xf numFmtId="0" fontId="3538" fillId="0" borderId="3538" xfId="0" applyFont="1" applyBorder="1" applyAlignment="1"/>
    <xf numFmtId="0" fontId="3539" fillId="0" borderId="3539" xfId="0" applyFont="1" applyBorder="1" applyAlignment="1"/>
    <xf numFmtId="0" fontId="3540" fillId="0" borderId="3540" xfId="0" applyFont="1" applyBorder="1" applyAlignment="1"/>
    <xf numFmtId="0" fontId="3541" fillId="0" borderId="3541" xfId="0" applyFont="1" applyBorder="1" applyAlignment="1"/>
    <xf numFmtId="0" fontId="3542" fillId="0" borderId="3542" xfId="0" applyFont="1" applyBorder="1" applyAlignment="1"/>
    <xf numFmtId="0" fontId="3543" fillId="0" borderId="3543" xfId="0" applyFont="1" applyBorder="1" applyAlignment="1"/>
    <xf numFmtId="0" fontId="3544" fillId="0" borderId="3544" xfId="0" applyFont="1" applyBorder="1" applyAlignment="1"/>
    <xf numFmtId="0" fontId="3545" fillId="0" borderId="3545" xfId="0" applyFont="1" applyBorder="1" applyAlignment="1"/>
    <xf numFmtId="0" fontId="3546" fillId="0" borderId="3546" xfId="0" applyFont="1" applyBorder="1" applyAlignment="1"/>
    <xf numFmtId="0" fontId="3547" fillId="0" borderId="3547" xfId="0" applyFont="1" applyBorder="1" applyAlignment="1"/>
    <xf numFmtId="0" fontId="3548" fillId="0" borderId="3548" xfId="0" applyFont="1" applyBorder="1" applyAlignment="1"/>
    <xf numFmtId="0" fontId="3549" fillId="0" borderId="3549" xfId="0" applyFont="1" applyBorder="1" applyAlignment="1"/>
    <xf numFmtId="0" fontId="3550" fillId="0" borderId="3550" xfId="0" applyFont="1" applyBorder="1" applyAlignment="1"/>
    <xf numFmtId="0" fontId="3551" fillId="0" borderId="3551" xfId="0" applyFont="1" applyBorder="1" applyAlignment="1"/>
    <xf numFmtId="0" fontId="3552" fillId="0" borderId="3552" xfId="0" applyFont="1" applyBorder="1" applyAlignment="1"/>
    <xf numFmtId="0" fontId="3553" fillId="0" borderId="3553" xfId="0" applyFont="1" applyBorder="1" applyAlignment="1"/>
    <xf numFmtId="0" fontId="3554" fillId="0" borderId="3554" xfId="0" applyFont="1" applyBorder="1" applyAlignment="1"/>
    <xf numFmtId="0" fontId="3555" fillId="0" borderId="3555" xfId="0" applyFont="1" applyBorder="1" applyAlignment="1"/>
    <xf numFmtId="0" fontId="3556" fillId="0" borderId="3556" xfId="0" applyFont="1" applyBorder="1" applyAlignment="1"/>
    <xf numFmtId="0" fontId="3557" fillId="0" borderId="3557" xfId="0" applyFont="1" applyBorder="1" applyAlignment="1"/>
    <xf numFmtId="0" fontId="3558" fillId="0" borderId="3558" xfId="0" applyFont="1" applyBorder="1" applyAlignment="1"/>
    <xf numFmtId="0" fontId="3559" fillId="0" borderId="3559" xfId="0" applyFont="1" applyBorder="1" applyAlignment="1"/>
    <xf numFmtId="0" fontId="3560" fillId="0" borderId="3560" xfId="0" applyFont="1" applyBorder="1" applyAlignment="1"/>
    <xf numFmtId="0" fontId="3561" fillId="0" borderId="3561" xfId="0" applyFont="1" applyBorder="1" applyAlignment="1"/>
    <xf numFmtId="0" fontId="3562" fillId="0" borderId="3562" xfId="0" applyFont="1" applyBorder="1" applyAlignment="1"/>
    <xf numFmtId="0" fontId="3563" fillId="0" borderId="3563" xfId="0" applyFont="1" applyBorder="1" applyAlignment="1"/>
    <xf numFmtId="0" fontId="3564" fillId="0" borderId="3564" xfId="0" applyFont="1" applyBorder="1" applyAlignment="1"/>
    <xf numFmtId="0" fontId="3565" fillId="0" borderId="3565" xfId="0" applyFont="1" applyBorder="1" applyAlignment="1"/>
    <xf numFmtId="0" fontId="3566" fillId="0" borderId="3566" xfId="0" applyFont="1" applyBorder="1" applyAlignment="1"/>
    <xf numFmtId="0" fontId="3567" fillId="0" borderId="3567" xfId="0" applyFont="1" applyBorder="1" applyAlignment="1"/>
    <xf numFmtId="0" fontId="3568" fillId="0" borderId="3568" xfId="0" applyFont="1" applyBorder="1" applyAlignment="1"/>
    <xf numFmtId="0" fontId="3569" fillId="0" borderId="3569" xfId="0" applyFont="1" applyBorder="1" applyAlignment="1"/>
    <xf numFmtId="0" fontId="3570" fillId="0" borderId="3570" xfId="0" applyFont="1" applyBorder="1" applyAlignment="1"/>
    <xf numFmtId="0" fontId="3571" fillId="0" borderId="3571" xfId="0" applyFont="1" applyBorder="1" applyAlignment="1"/>
    <xf numFmtId="0" fontId="3572" fillId="0" borderId="3572" xfId="0" applyFont="1" applyBorder="1" applyAlignment="1"/>
    <xf numFmtId="0" fontId="3573" fillId="0" borderId="3573" xfId="0" applyFont="1" applyBorder="1" applyAlignment="1"/>
    <xf numFmtId="0" fontId="3574" fillId="0" borderId="3574" xfId="0" applyFont="1" applyBorder="1" applyAlignment="1"/>
    <xf numFmtId="0" fontId="3575" fillId="0" borderId="3575" xfId="0" applyFont="1" applyBorder="1" applyAlignment="1"/>
    <xf numFmtId="0" fontId="3576" fillId="0" borderId="3576" xfId="0" applyFont="1" applyBorder="1" applyAlignment="1"/>
    <xf numFmtId="0" fontId="3577" fillId="0" borderId="3577" xfId="0" applyFont="1" applyBorder="1" applyAlignment="1"/>
    <xf numFmtId="0" fontId="3578" fillId="0" borderId="3578" xfId="0" applyFont="1" applyBorder="1" applyAlignment="1"/>
    <xf numFmtId="0" fontId="3579" fillId="0" borderId="3579" xfId="0" applyFont="1" applyBorder="1" applyAlignment="1"/>
    <xf numFmtId="0" fontId="3580" fillId="0" borderId="3580" xfId="0" applyFont="1" applyBorder="1" applyAlignment="1"/>
    <xf numFmtId="0" fontId="3581" fillId="0" borderId="3581" xfId="0" applyFont="1" applyBorder="1" applyAlignment="1"/>
    <xf numFmtId="0" fontId="3582" fillId="0" borderId="3582" xfId="0" applyFont="1" applyBorder="1" applyAlignment="1"/>
    <xf numFmtId="0" fontId="3583" fillId="0" borderId="3583" xfId="0" applyFont="1" applyBorder="1" applyAlignment="1"/>
    <xf numFmtId="0" fontId="3584" fillId="0" borderId="3584" xfId="0" applyFont="1" applyBorder="1" applyAlignment="1"/>
    <xf numFmtId="0" fontId="3585" fillId="0" borderId="3585" xfId="0" applyFont="1" applyBorder="1" applyAlignment="1"/>
    <xf numFmtId="0" fontId="3586" fillId="0" borderId="3586" xfId="0" applyFont="1" applyBorder="1" applyAlignment="1"/>
    <xf numFmtId="0" fontId="3587" fillId="0" borderId="3587" xfId="0" applyFont="1" applyBorder="1" applyAlignment="1"/>
    <xf numFmtId="0" fontId="3588" fillId="0" borderId="3588" xfId="0" applyFont="1" applyBorder="1" applyAlignment="1"/>
    <xf numFmtId="0" fontId="3589" fillId="0" borderId="3589" xfId="0" applyFont="1" applyBorder="1" applyAlignment="1"/>
    <xf numFmtId="0" fontId="3590" fillId="0" borderId="3590" xfId="0" applyFont="1" applyBorder="1" applyAlignment="1"/>
    <xf numFmtId="0" fontId="3591" fillId="0" borderId="3591" xfId="0" applyFont="1" applyBorder="1" applyAlignment="1"/>
    <xf numFmtId="0" fontId="3592" fillId="0" borderId="3592" xfId="0" applyFont="1" applyBorder="1" applyAlignment="1"/>
    <xf numFmtId="0" fontId="3593" fillId="0" borderId="3593" xfId="0" applyFont="1" applyBorder="1" applyAlignment="1"/>
    <xf numFmtId="0" fontId="3594" fillId="0" borderId="3594" xfId="0" applyFont="1" applyBorder="1" applyAlignment="1"/>
    <xf numFmtId="0" fontId="3595" fillId="0" borderId="3595" xfId="0" applyFont="1" applyBorder="1" applyAlignment="1"/>
    <xf numFmtId="0" fontId="3596" fillId="0" borderId="3596" xfId="0" applyFont="1" applyBorder="1" applyAlignment="1"/>
    <xf numFmtId="0" fontId="3597" fillId="0" borderId="3597" xfId="0" applyFont="1" applyBorder="1" applyAlignment="1"/>
    <xf numFmtId="0" fontId="3598" fillId="0" borderId="3598" xfId="0" applyFont="1" applyBorder="1" applyAlignment="1"/>
    <xf numFmtId="0" fontId="3599" fillId="0" borderId="3599" xfId="0" applyFont="1" applyBorder="1" applyAlignment="1"/>
    <xf numFmtId="0" fontId="3600" fillId="0" borderId="3600" xfId="0" applyFont="1" applyBorder="1" applyAlignment="1"/>
    <xf numFmtId="0" fontId="3601" fillId="0" borderId="3601" xfId="0" applyFont="1" applyBorder="1" applyAlignment="1"/>
    <xf numFmtId="0" fontId="3602" fillId="0" borderId="3602" xfId="0" applyFont="1" applyBorder="1" applyAlignment="1"/>
    <xf numFmtId="0" fontId="3603" fillId="0" borderId="3603" xfId="0" applyFont="1" applyBorder="1" applyAlignment="1"/>
    <xf numFmtId="0" fontId="3604" fillId="0" borderId="3604" xfId="0" applyFont="1" applyBorder="1" applyAlignment="1"/>
    <xf numFmtId="0" fontId="3605" fillId="0" borderId="3605" xfId="0" applyFont="1" applyBorder="1" applyAlignment="1"/>
    <xf numFmtId="0" fontId="3606" fillId="0" borderId="3606" xfId="0" applyFont="1" applyBorder="1" applyAlignment="1"/>
    <xf numFmtId="0" fontId="3607" fillId="0" borderId="3607" xfId="0" applyFont="1" applyBorder="1" applyAlignment="1"/>
    <xf numFmtId="0" fontId="3608" fillId="0" borderId="3608" xfId="0" applyFont="1" applyBorder="1" applyAlignment="1"/>
    <xf numFmtId="0" fontId="3609" fillId="0" borderId="3609" xfId="0" applyFont="1" applyBorder="1" applyAlignment="1"/>
    <xf numFmtId="0" fontId="3610" fillId="0" borderId="3610" xfId="0" applyFont="1" applyBorder="1" applyAlignment="1"/>
    <xf numFmtId="0" fontId="3611" fillId="0" borderId="3611" xfId="0" applyFont="1" applyBorder="1" applyAlignment="1"/>
    <xf numFmtId="0" fontId="3612" fillId="0" borderId="3612" xfId="0" applyFont="1" applyBorder="1" applyAlignment="1"/>
    <xf numFmtId="0" fontId="3613" fillId="0" borderId="3613" xfId="0" applyFont="1" applyBorder="1" applyAlignment="1"/>
    <xf numFmtId="0" fontId="3614" fillId="0" borderId="3614" xfId="0" applyFont="1" applyBorder="1" applyAlignment="1"/>
    <xf numFmtId="0" fontId="3615" fillId="0" borderId="3615" xfId="0" applyFont="1" applyBorder="1" applyAlignment="1"/>
    <xf numFmtId="0" fontId="3616" fillId="0" borderId="3616" xfId="0" applyFont="1" applyBorder="1" applyAlignment="1"/>
    <xf numFmtId="0" fontId="3617" fillId="0" borderId="3617" xfId="0" applyFont="1" applyBorder="1" applyAlignment="1"/>
    <xf numFmtId="0" fontId="3618" fillId="0" borderId="3618" xfId="0" applyFont="1" applyBorder="1" applyAlignment="1"/>
    <xf numFmtId="0" fontId="3619" fillId="0" borderId="3619" xfId="0" applyFont="1" applyBorder="1" applyAlignment="1"/>
    <xf numFmtId="0" fontId="3620" fillId="0" borderId="3620" xfId="0" applyFont="1" applyBorder="1" applyAlignment="1"/>
    <xf numFmtId="0" fontId="3621" fillId="0" borderId="3621" xfId="0" applyFont="1" applyBorder="1" applyAlignment="1"/>
    <xf numFmtId="0" fontId="3622" fillId="0" borderId="3622" xfId="0" applyFont="1" applyBorder="1" applyAlignment="1"/>
    <xf numFmtId="0" fontId="3623" fillId="0" borderId="3623" xfId="0" applyFont="1" applyBorder="1" applyAlignment="1"/>
    <xf numFmtId="0" fontId="3624" fillId="0" borderId="3624" xfId="0" applyFont="1" applyBorder="1" applyAlignment="1"/>
    <xf numFmtId="0" fontId="3625" fillId="0" borderId="3625" xfId="0" applyFont="1" applyBorder="1" applyAlignment="1"/>
    <xf numFmtId="0" fontId="3626" fillId="0" borderId="3626" xfId="0" applyFont="1" applyBorder="1" applyAlignment="1"/>
    <xf numFmtId="0" fontId="3627" fillId="0" borderId="3627" xfId="0" applyFont="1" applyBorder="1" applyAlignment="1"/>
    <xf numFmtId="0" fontId="3628" fillId="0" borderId="3628" xfId="0" applyFont="1" applyBorder="1" applyAlignment="1"/>
    <xf numFmtId="0" fontId="3629" fillId="0" borderId="3629" xfId="0" applyFont="1" applyBorder="1" applyAlignment="1"/>
    <xf numFmtId="0" fontId="3630" fillId="0" borderId="3630" xfId="0" applyFont="1" applyBorder="1" applyAlignment="1"/>
    <xf numFmtId="0" fontId="3631" fillId="0" borderId="3631" xfId="0" applyFont="1" applyBorder="1" applyAlignment="1"/>
    <xf numFmtId="0" fontId="3632" fillId="0" borderId="3632" xfId="0" applyFont="1" applyBorder="1" applyAlignment="1"/>
    <xf numFmtId="0" fontId="3633" fillId="0" borderId="3633" xfId="0" applyFont="1" applyBorder="1" applyAlignment="1"/>
    <xf numFmtId="0" fontId="3634" fillId="0" borderId="3634" xfId="0" applyFont="1" applyBorder="1" applyAlignment="1"/>
    <xf numFmtId="0" fontId="3635" fillId="0" borderId="3635" xfId="0" applyFont="1" applyBorder="1" applyAlignment="1"/>
    <xf numFmtId="0" fontId="3636" fillId="0" borderId="3636" xfId="0" applyFont="1" applyBorder="1" applyAlignment="1"/>
    <xf numFmtId="0" fontId="3637" fillId="0" borderId="3637" xfId="0" applyFont="1" applyBorder="1" applyAlignment="1"/>
    <xf numFmtId="0" fontId="3638" fillId="0" borderId="3638" xfId="0" applyFont="1" applyBorder="1" applyAlignment="1"/>
    <xf numFmtId="0" fontId="3639" fillId="0" borderId="3639" xfId="0" applyFont="1" applyBorder="1" applyAlignment="1"/>
    <xf numFmtId="0" fontId="3640" fillId="0" borderId="3640" xfId="0" applyFont="1" applyBorder="1" applyAlignment="1"/>
    <xf numFmtId="0" fontId="3641" fillId="0" borderId="3641" xfId="0" applyFont="1" applyBorder="1" applyAlignment="1"/>
    <xf numFmtId="0" fontId="3642" fillId="0" borderId="3642" xfId="0" applyFont="1" applyBorder="1" applyAlignment="1"/>
    <xf numFmtId="0" fontId="3643" fillId="0" borderId="3643" xfId="0" applyFont="1" applyBorder="1" applyAlignment="1"/>
    <xf numFmtId="0" fontId="3644" fillId="0" borderId="3644" xfId="0" applyFont="1" applyBorder="1" applyAlignment="1"/>
    <xf numFmtId="0" fontId="3645" fillId="0" borderId="3645" xfId="0" applyFont="1" applyBorder="1" applyAlignment="1"/>
    <xf numFmtId="0" fontId="3646" fillId="0" borderId="3646" xfId="0" applyFont="1" applyBorder="1" applyAlignment="1"/>
    <xf numFmtId="0" fontId="3647" fillId="0" borderId="3647" xfId="0" applyFont="1" applyBorder="1" applyAlignment="1"/>
    <xf numFmtId="0" fontId="3648" fillId="0" borderId="3648" xfId="0" applyFont="1" applyBorder="1" applyAlignment="1"/>
    <xf numFmtId="0" fontId="3649" fillId="0" borderId="3649" xfId="0" applyFont="1" applyBorder="1" applyAlignment="1"/>
    <xf numFmtId="0" fontId="3650" fillId="0" borderId="3650" xfId="0" applyFont="1" applyBorder="1" applyAlignment="1"/>
    <xf numFmtId="0" fontId="3651" fillId="0" borderId="3651" xfId="0" applyFont="1" applyBorder="1" applyAlignment="1"/>
    <xf numFmtId="0" fontId="3652" fillId="0" borderId="3652" xfId="0" applyFont="1" applyBorder="1" applyAlignment="1"/>
    <xf numFmtId="0" fontId="3653" fillId="0" borderId="3653" xfId="0" applyFont="1" applyBorder="1" applyAlignment="1"/>
    <xf numFmtId="0" fontId="3654" fillId="0" borderId="3654" xfId="0" applyFont="1" applyBorder="1" applyAlignment="1"/>
    <xf numFmtId="0" fontId="3655" fillId="0" borderId="3655" xfId="0" applyFont="1" applyBorder="1" applyAlignment="1"/>
    <xf numFmtId="0" fontId="3656" fillId="0" borderId="3656" xfId="0" applyFont="1" applyBorder="1" applyAlignment="1"/>
    <xf numFmtId="0" fontId="3657" fillId="0" borderId="3657" xfId="0" applyFont="1" applyBorder="1" applyAlignment="1"/>
    <xf numFmtId="0" fontId="3658" fillId="0" borderId="3658" xfId="0" applyFont="1" applyBorder="1" applyAlignment="1"/>
    <xf numFmtId="0" fontId="3659" fillId="0" borderId="3659" xfId="0" applyFont="1" applyBorder="1" applyAlignment="1"/>
    <xf numFmtId="0" fontId="3660" fillId="0" borderId="3660" xfId="0" applyFont="1" applyBorder="1" applyAlignment="1"/>
    <xf numFmtId="0" fontId="3661" fillId="0" borderId="3661" xfId="0" applyFont="1" applyBorder="1" applyAlignment="1"/>
    <xf numFmtId="0" fontId="3662" fillId="0" borderId="3662" xfId="0" applyFont="1" applyBorder="1" applyAlignment="1"/>
    <xf numFmtId="0" fontId="3663" fillId="0" borderId="3663" xfId="0" applyFont="1" applyBorder="1" applyAlignment="1"/>
    <xf numFmtId="0" fontId="3664" fillId="0" borderId="3664" xfId="0" applyFont="1" applyBorder="1" applyAlignment="1"/>
    <xf numFmtId="0" fontId="3665" fillId="0" borderId="3665" xfId="0" applyFont="1" applyBorder="1" applyAlignment="1"/>
    <xf numFmtId="0" fontId="3666" fillId="0" borderId="3666" xfId="0" applyFont="1" applyBorder="1" applyAlignment="1"/>
    <xf numFmtId="0" fontId="3667" fillId="0" borderId="3667" xfId="0" applyFont="1" applyBorder="1" applyAlignment="1"/>
    <xf numFmtId="0" fontId="3668" fillId="0" borderId="3668" xfId="0" applyFont="1" applyBorder="1" applyAlignment="1"/>
    <xf numFmtId="0" fontId="3669" fillId="0" borderId="3669" xfId="0" applyFont="1" applyBorder="1" applyAlignment="1"/>
    <xf numFmtId="0" fontId="3670" fillId="0" borderId="3670" xfId="0" applyFont="1" applyBorder="1" applyAlignment="1"/>
    <xf numFmtId="0" fontId="3671" fillId="0" borderId="3671" xfId="0" applyFont="1" applyBorder="1" applyAlignment="1"/>
    <xf numFmtId="0" fontId="3672" fillId="0" borderId="3672" xfId="0" applyFont="1" applyBorder="1" applyAlignment="1"/>
    <xf numFmtId="0" fontId="3673" fillId="0" borderId="3673" xfId="0" applyFont="1" applyBorder="1" applyAlignment="1"/>
    <xf numFmtId="0" fontId="3674" fillId="0" borderId="3674" xfId="0" applyFont="1" applyBorder="1" applyAlignment="1"/>
    <xf numFmtId="0" fontId="3675" fillId="0" borderId="3675" xfId="0" applyFont="1" applyBorder="1" applyAlignment="1"/>
    <xf numFmtId="0" fontId="3676" fillId="0" borderId="3676" xfId="0" applyFont="1" applyBorder="1" applyAlignment="1"/>
    <xf numFmtId="0" fontId="3677" fillId="0" borderId="3677" xfId="0" applyFont="1" applyBorder="1" applyAlignment="1"/>
    <xf numFmtId="0" fontId="3678" fillId="0" borderId="3678" xfId="0" applyFont="1" applyBorder="1" applyAlignment="1"/>
    <xf numFmtId="0" fontId="3679" fillId="0" borderId="3679" xfId="0" applyFont="1" applyBorder="1" applyAlignment="1"/>
    <xf numFmtId="0" fontId="3680" fillId="0" borderId="3680" xfId="0" applyFont="1" applyBorder="1" applyAlignment="1"/>
    <xf numFmtId="0" fontId="3681" fillId="0" borderId="3681" xfId="0" applyFont="1" applyBorder="1" applyAlignment="1"/>
    <xf numFmtId="0" fontId="3682" fillId="0" borderId="3682" xfId="0" applyFont="1" applyBorder="1" applyAlignment="1"/>
    <xf numFmtId="0" fontId="3683" fillId="0" borderId="3683" xfId="0" applyFont="1" applyBorder="1" applyAlignment="1"/>
    <xf numFmtId="0" fontId="3684" fillId="0" borderId="3684" xfId="0" applyFont="1" applyBorder="1" applyAlignment="1"/>
    <xf numFmtId="0" fontId="3685" fillId="0" borderId="3685" xfId="0" applyFont="1" applyBorder="1" applyAlignment="1"/>
    <xf numFmtId="0" fontId="3686" fillId="0" borderId="3686" xfId="0" applyFont="1" applyBorder="1" applyAlignment="1"/>
    <xf numFmtId="0" fontId="3687" fillId="0" borderId="3687" xfId="0" applyFont="1" applyBorder="1" applyAlignment="1"/>
    <xf numFmtId="0" fontId="3688" fillId="0" borderId="3688" xfId="0" applyFont="1" applyBorder="1" applyAlignment="1"/>
    <xf numFmtId="0" fontId="3689" fillId="0" borderId="3689" xfId="0" applyFont="1" applyBorder="1" applyAlignment="1"/>
    <xf numFmtId="0" fontId="3690" fillId="0" borderId="3690" xfId="0" applyFont="1" applyBorder="1" applyAlignment="1"/>
    <xf numFmtId="0" fontId="3691" fillId="0" borderId="3691" xfId="0" applyFont="1" applyBorder="1" applyAlignment="1"/>
    <xf numFmtId="0" fontId="3692" fillId="0" borderId="3692" xfId="0" applyFont="1" applyBorder="1" applyAlignment="1"/>
    <xf numFmtId="0" fontId="3693" fillId="0" borderId="3693" xfId="0" applyFont="1" applyBorder="1" applyAlignment="1"/>
    <xf numFmtId="0" fontId="3694" fillId="0" borderId="3694" xfId="0" applyFont="1" applyBorder="1" applyAlignment="1"/>
    <xf numFmtId="0" fontId="3695" fillId="0" borderId="3695" xfId="0" applyFont="1" applyBorder="1" applyAlignment="1"/>
    <xf numFmtId="0" fontId="3696" fillId="0" borderId="3696" xfId="0" applyFont="1" applyBorder="1" applyAlignment="1"/>
    <xf numFmtId="0" fontId="3697" fillId="0" borderId="3697" xfId="0" applyFont="1" applyBorder="1" applyAlignment="1"/>
    <xf numFmtId="0" fontId="3698" fillId="0" borderId="3698" xfId="0" applyFont="1" applyBorder="1" applyAlignment="1"/>
    <xf numFmtId="0" fontId="3699" fillId="0" borderId="3699" xfId="0" applyFont="1" applyBorder="1" applyAlignment="1"/>
    <xf numFmtId="0" fontId="3700" fillId="0" borderId="3700" xfId="0" applyFont="1" applyBorder="1" applyAlignment="1"/>
    <xf numFmtId="0" fontId="3701" fillId="0" borderId="3701" xfId="0" applyFont="1" applyBorder="1" applyAlignment="1"/>
    <xf numFmtId="0" fontId="3702" fillId="0" borderId="3702" xfId="0" applyFont="1" applyBorder="1" applyAlignment="1"/>
    <xf numFmtId="0" fontId="3703" fillId="0" borderId="3703" xfId="0" applyFont="1" applyBorder="1" applyAlignment="1"/>
    <xf numFmtId="0" fontId="3704" fillId="0" borderId="3704" xfId="0" applyFont="1" applyBorder="1" applyAlignment="1"/>
    <xf numFmtId="0" fontId="3705" fillId="0" borderId="3705" xfId="0" applyFont="1" applyBorder="1" applyAlignment="1"/>
    <xf numFmtId="0" fontId="3706" fillId="0" borderId="3706" xfId="0" applyFont="1" applyBorder="1" applyAlignment="1"/>
    <xf numFmtId="0" fontId="3707" fillId="0" borderId="3707" xfId="0" applyFont="1" applyBorder="1" applyAlignment="1"/>
    <xf numFmtId="0" fontId="3708" fillId="0" borderId="3708" xfId="0" applyFont="1" applyBorder="1" applyAlignment="1"/>
    <xf numFmtId="0" fontId="3709" fillId="0" borderId="3709" xfId="0" applyFont="1" applyBorder="1" applyAlignment="1"/>
    <xf numFmtId="0" fontId="3710" fillId="0" borderId="3710" xfId="0" applyFont="1" applyBorder="1" applyAlignment="1"/>
    <xf numFmtId="0" fontId="3711" fillId="0" borderId="3711" xfId="0" applyFont="1" applyBorder="1" applyAlignment="1"/>
    <xf numFmtId="0" fontId="3712" fillId="0" borderId="3712" xfId="0" applyFont="1" applyBorder="1" applyAlignment="1"/>
    <xf numFmtId="0" fontId="3713" fillId="0" borderId="3713" xfId="0" applyFont="1" applyBorder="1" applyAlignment="1"/>
    <xf numFmtId="0" fontId="3714" fillId="0" borderId="3714" xfId="0" applyFont="1" applyBorder="1" applyAlignment="1"/>
    <xf numFmtId="0" fontId="3715" fillId="0" borderId="3715" xfId="0" applyFont="1" applyBorder="1" applyAlignment="1"/>
    <xf numFmtId="0" fontId="3716" fillId="0" borderId="3716" xfId="0" applyFont="1" applyBorder="1" applyAlignment="1"/>
    <xf numFmtId="0" fontId="3717" fillId="0" borderId="3717" xfId="0" applyFont="1" applyBorder="1" applyAlignment="1"/>
    <xf numFmtId="0" fontId="3718" fillId="0" borderId="3718" xfId="0" applyFont="1" applyBorder="1" applyAlignment="1"/>
    <xf numFmtId="0" fontId="3719" fillId="0" borderId="3719" xfId="0" applyFont="1" applyBorder="1" applyAlignment="1"/>
    <xf numFmtId="0" fontId="3720" fillId="0" borderId="3720" xfId="0" applyFont="1" applyBorder="1" applyAlignment="1"/>
    <xf numFmtId="0" fontId="3721" fillId="0" borderId="3721" xfId="0" applyFont="1" applyBorder="1" applyAlignment="1"/>
    <xf numFmtId="0" fontId="3722" fillId="0" borderId="3722" xfId="0" applyFont="1" applyBorder="1" applyAlignment="1"/>
    <xf numFmtId="0" fontId="3723" fillId="0" borderId="3723" xfId="0" applyFont="1" applyBorder="1" applyAlignment="1"/>
    <xf numFmtId="0" fontId="3724" fillId="0" borderId="3724" xfId="0" applyFont="1" applyBorder="1" applyAlignment="1"/>
    <xf numFmtId="0" fontId="3725" fillId="0" borderId="3725" xfId="0" applyFont="1" applyBorder="1" applyAlignment="1"/>
    <xf numFmtId="0" fontId="3726" fillId="0" borderId="3726" xfId="0" applyFont="1" applyBorder="1" applyAlignment="1"/>
    <xf numFmtId="0" fontId="3727" fillId="0" borderId="3727" xfId="0" applyFont="1" applyBorder="1" applyAlignment="1"/>
    <xf numFmtId="0" fontId="3728" fillId="0" borderId="3728" xfId="0" applyFont="1" applyBorder="1" applyAlignment="1"/>
    <xf numFmtId="0" fontId="3729" fillId="0" borderId="3729" xfId="0" applyFont="1" applyBorder="1" applyAlignment="1"/>
    <xf numFmtId="0" fontId="3730" fillId="0" borderId="3730" xfId="0" applyFont="1" applyBorder="1" applyAlignment="1"/>
    <xf numFmtId="0" fontId="3731" fillId="0" borderId="3731" xfId="0" applyFont="1" applyBorder="1" applyAlignment="1"/>
    <xf numFmtId="0" fontId="3732" fillId="0" borderId="3732" xfId="0" applyFont="1" applyBorder="1" applyAlignment="1"/>
    <xf numFmtId="0" fontId="3733" fillId="0" borderId="3733" xfId="0" applyFont="1" applyBorder="1" applyAlignment="1"/>
    <xf numFmtId="0" fontId="3734" fillId="0" borderId="3734" xfId="0" applyFont="1" applyBorder="1" applyAlignment="1"/>
    <xf numFmtId="0" fontId="3735" fillId="0" borderId="3735" xfId="0" applyFont="1" applyBorder="1" applyAlignment="1"/>
    <xf numFmtId="0" fontId="3736" fillId="0" borderId="3736" xfId="0" applyFont="1" applyBorder="1" applyAlignment="1"/>
    <xf numFmtId="0" fontId="3737" fillId="0" borderId="3737" xfId="0" applyFont="1" applyBorder="1" applyAlignment="1"/>
    <xf numFmtId="0" fontId="3738" fillId="0" borderId="3738" xfId="0" applyFont="1" applyBorder="1" applyAlignment="1"/>
    <xf numFmtId="0" fontId="3739" fillId="0" borderId="3739" xfId="0" applyFont="1" applyBorder="1" applyAlignment="1"/>
    <xf numFmtId="0" fontId="3740" fillId="0" borderId="3740" xfId="0" applyFont="1" applyBorder="1" applyAlignment="1"/>
    <xf numFmtId="0" fontId="3741" fillId="0" borderId="3741" xfId="0" applyFont="1" applyBorder="1" applyAlignment="1"/>
    <xf numFmtId="0" fontId="3742" fillId="0" borderId="3742" xfId="0" applyFont="1" applyBorder="1" applyAlignment="1"/>
    <xf numFmtId="0" fontId="3743" fillId="0" borderId="3743" xfId="0" applyFont="1" applyBorder="1" applyAlignment="1"/>
    <xf numFmtId="0" fontId="3744" fillId="0" borderId="3744" xfId="0" applyFont="1" applyBorder="1" applyAlignment="1"/>
    <xf numFmtId="0" fontId="3745" fillId="0" borderId="3745" xfId="0" applyFont="1" applyBorder="1" applyAlignment="1"/>
    <xf numFmtId="0" fontId="3746" fillId="0" borderId="3746" xfId="0" applyFont="1" applyBorder="1" applyAlignment="1"/>
    <xf numFmtId="0" fontId="3747" fillId="0" borderId="3747" xfId="0" applyFont="1" applyBorder="1" applyAlignment="1"/>
    <xf numFmtId="0" fontId="3748" fillId="0" borderId="3748" xfId="0" applyFont="1" applyBorder="1" applyAlignment="1"/>
    <xf numFmtId="0" fontId="3749" fillId="0" borderId="3749" xfId="0" applyFont="1" applyBorder="1" applyAlignment="1"/>
    <xf numFmtId="0" fontId="3750" fillId="0" borderId="3750" xfId="0" applyFont="1" applyBorder="1" applyAlignment="1"/>
    <xf numFmtId="0" fontId="3751" fillId="0" borderId="3751" xfId="0" applyFont="1" applyBorder="1" applyAlignment="1"/>
    <xf numFmtId="0" fontId="3752" fillId="0" borderId="3752" xfId="0" applyFont="1" applyBorder="1" applyAlignment="1"/>
    <xf numFmtId="0" fontId="3753" fillId="0" borderId="3753" xfId="0" applyFont="1" applyBorder="1" applyAlignment="1"/>
    <xf numFmtId="0" fontId="3754" fillId="0" borderId="3754" xfId="0" applyFont="1" applyBorder="1" applyAlignment="1"/>
    <xf numFmtId="0" fontId="3755" fillId="0" borderId="3755" xfId="0" applyFont="1" applyBorder="1" applyAlignment="1"/>
    <xf numFmtId="0" fontId="3756" fillId="0" borderId="3756" xfId="0" applyFont="1" applyBorder="1" applyAlignment="1"/>
    <xf numFmtId="0" fontId="3757" fillId="0" borderId="3757" xfId="0" applyFont="1" applyBorder="1" applyAlignment="1"/>
    <xf numFmtId="0" fontId="3758" fillId="0" borderId="3758" xfId="0" applyFont="1" applyBorder="1" applyAlignment="1"/>
    <xf numFmtId="0" fontId="3759" fillId="0" borderId="3759" xfId="0" applyFont="1" applyBorder="1" applyAlignment="1"/>
    <xf numFmtId="0" fontId="3760" fillId="0" borderId="3760" xfId="0" applyFont="1" applyBorder="1" applyAlignment="1"/>
    <xf numFmtId="0" fontId="3761" fillId="0" borderId="3761" xfId="0" applyFont="1" applyBorder="1" applyAlignment="1"/>
    <xf numFmtId="0" fontId="3762" fillId="0" borderId="3762" xfId="0" applyFont="1" applyBorder="1" applyAlignment="1"/>
    <xf numFmtId="0" fontId="3763" fillId="0" borderId="3763" xfId="0" applyFont="1" applyBorder="1" applyAlignment="1"/>
    <xf numFmtId="0" fontId="3764" fillId="0" borderId="3764" xfId="0" applyFont="1" applyBorder="1" applyAlignment="1"/>
    <xf numFmtId="0" fontId="3765" fillId="0" borderId="3765" xfId="0" applyFont="1" applyBorder="1" applyAlignment="1"/>
    <xf numFmtId="0" fontId="3766" fillId="0" borderId="3766" xfId="0" applyFont="1" applyBorder="1" applyAlignment="1"/>
    <xf numFmtId="0" fontId="3767" fillId="0" borderId="3767" xfId="0" applyFont="1" applyBorder="1" applyAlignment="1"/>
    <xf numFmtId="0" fontId="3768" fillId="0" borderId="3768" xfId="0" applyFont="1" applyBorder="1" applyAlignment="1"/>
    <xf numFmtId="0" fontId="3769" fillId="0" borderId="3769" xfId="0" applyFont="1" applyBorder="1" applyAlignment="1"/>
    <xf numFmtId="0" fontId="3770" fillId="0" borderId="3770" xfId="0" applyFont="1" applyBorder="1" applyAlignment="1"/>
    <xf numFmtId="0" fontId="3771" fillId="0" borderId="3771" xfId="0" applyFont="1" applyBorder="1" applyAlignment="1"/>
    <xf numFmtId="0" fontId="3772" fillId="0" borderId="3772" xfId="0" applyFont="1" applyBorder="1" applyAlignment="1"/>
    <xf numFmtId="0" fontId="3773" fillId="0" borderId="3773" xfId="0" applyFont="1" applyBorder="1" applyAlignment="1"/>
    <xf numFmtId="0" fontId="3774" fillId="0" borderId="3774" xfId="0" applyFont="1" applyBorder="1" applyAlignment="1"/>
    <xf numFmtId="0" fontId="3775" fillId="0" borderId="3775" xfId="0" applyFont="1" applyBorder="1" applyAlignment="1"/>
    <xf numFmtId="0" fontId="3776" fillId="0" borderId="3776" xfId="0" applyFont="1" applyBorder="1" applyAlignment="1"/>
    <xf numFmtId="0" fontId="3777" fillId="0" borderId="3777" xfId="0" applyFont="1" applyBorder="1" applyAlignment="1"/>
    <xf numFmtId="0" fontId="3778" fillId="0" borderId="3778" xfId="0" applyFont="1" applyBorder="1" applyAlignment="1"/>
    <xf numFmtId="0" fontId="3779" fillId="0" borderId="3779" xfId="0" applyFont="1" applyBorder="1" applyAlignment="1"/>
    <xf numFmtId="0" fontId="3780" fillId="0" borderId="3780" xfId="0" applyFont="1" applyBorder="1" applyAlignment="1"/>
    <xf numFmtId="0" fontId="3781" fillId="0" borderId="3781" xfId="0" applyFont="1" applyBorder="1" applyAlignment="1"/>
    <xf numFmtId="0" fontId="3782" fillId="0" borderId="3782" xfId="0" applyFont="1" applyBorder="1" applyAlignment="1"/>
    <xf numFmtId="0" fontId="3783" fillId="0" borderId="3783" xfId="0" applyFont="1" applyBorder="1" applyAlignment="1"/>
    <xf numFmtId="0" fontId="3784" fillId="0" borderId="3784" xfId="0" applyFont="1" applyBorder="1" applyAlignment="1"/>
    <xf numFmtId="0" fontId="3785" fillId="0" borderId="3785" xfId="0" applyFont="1" applyBorder="1" applyAlignment="1"/>
    <xf numFmtId="0" fontId="3786" fillId="0" borderId="3786" xfId="0" applyFont="1" applyBorder="1" applyAlignment="1"/>
    <xf numFmtId="0" fontId="3787" fillId="0" borderId="3787" xfId="0" applyFont="1" applyBorder="1" applyAlignment="1"/>
    <xf numFmtId="0" fontId="3788" fillId="0" borderId="3788" xfId="0" applyFont="1" applyBorder="1" applyAlignment="1"/>
    <xf numFmtId="0" fontId="3789" fillId="0" borderId="3789" xfId="0" applyFont="1" applyBorder="1" applyAlignment="1"/>
    <xf numFmtId="0" fontId="3790" fillId="0" borderId="3790" xfId="0" applyFont="1" applyBorder="1" applyAlignment="1"/>
    <xf numFmtId="0" fontId="3791" fillId="0" borderId="3791" xfId="0" applyFont="1" applyBorder="1" applyAlignment="1"/>
    <xf numFmtId="0" fontId="3792" fillId="0" borderId="3792" xfId="0" applyFont="1" applyBorder="1" applyAlignment="1"/>
    <xf numFmtId="0" fontId="3793" fillId="0" borderId="3793" xfId="0" applyFont="1" applyBorder="1" applyAlignment="1"/>
    <xf numFmtId="0" fontId="3794" fillId="0" borderId="3794" xfId="0" applyFont="1" applyBorder="1" applyAlignment="1"/>
    <xf numFmtId="0" fontId="3795" fillId="0" borderId="3795" xfId="0" applyFont="1" applyBorder="1" applyAlignment="1"/>
    <xf numFmtId="0" fontId="3796" fillId="0" borderId="3796" xfId="0" applyFont="1" applyBorder="1" applyAlignment="1"/>
    <xf numFmtId="0" fontId="3797" fillId="0" borderId="3797" xfId="0" applyFont="1" applyBorder="1" applyAlignment="1"/>
    <xf numFmtId="0" fontId="3798" fillId="0" borderId="3798" xfId="0" applyFont="1" applyBorder="1" applyAlignment="1"/>
    <xf numFmtId="0" fontId="3799" fillId="0" borderId="3799" xfId="0" applyFont="1" applyBorder="1" applyAlignment="1"/>
    <xf numFmtId="0" fontId="3800" fillId="0" borderId="3800" xfId="0" applyFont="1" applyBorder="1" applyAlignment="1"/>
    <xf numFmtId="0" fontId="3801" fillId="0" borderId="3801" xfId="0" applyFont="1" applyBorder="1" applyAlignment="1"/>
    <xf numFmtId="0" fontId="3802" fillId="0" borderId="3802" xfId="0" applyFont="1" applyBorder="1" applyAlignment="1"/>
    <xf numFmtId="0" fontId="3803" fillId="0" borderId="3803" xfId="0" applyFont="1" applyBorder="1" applyAlignment="1"/>
    <xf numFmtId="0" fontId="3804" fillId="0" borderId="3804" xfId="0" applyFont="1" applyBorder="1" applyAlignment="1"/>
    <xf numFmtId="0" fontId="3805" fillId="0" borderId="3805" xfId="0" applyFont="1" applyBorder="1" applyAlignment="1"/>
    <xf numFmtId="0" fontId="3806" fillId="0" borderId="3806" xfId="0" applyFont="1" applyBorder="1" applyAlignment="1"/>
    <xf numFmtId="0" fontId="3807" fillId="0" borderId="3807" xfId="0" applyFont="1" applyBorder="1" applyAlignment="1"/>
    <xf numFmtId="0" fontId="3808" fillId="0" borderId="3808" xfId="0" applyFont="1" applyBorder="1" applyAlignment="1"/>
    <xf numFmtId="0" fontId="3809" fillId="0" borderId="3809" xfId="0" applyFont="1" applyBorder="1" applyAlignment="1"/>
    <xf numFmtId="0" fontId="3810" fillId="0" borderId="3810" xfId="0" applyFont="1" applyBorder="1" applyAlignment="1"/>
    <xf numFmtId="0" fontId="3811" fillId="0" borderId="3811" xfId="0" applyFont="1" applyBorder="1" applyAlignment="1"/>
    <xf numFmtId="0" fontId="3812" fillId="0" borderId="3812" xfId="0" applyFont="1" applyBorder="1" applyAlignment="1"/>
    <xf numFmtId="0" fontId="3813" fillId="0" borderId="3813" xfId="0" applyFont="1" applyBorder="1" applyAlignment="1"/>
    <xf numFmtId="0" fontId="3814" fillId="0" borderId="3814" xfId="0" applyFont="1" applyBorder="1" applyAlignment="1"/>
    <xf numFmtId="0" fontId="3815" fillId="0" borderId="3815" xfId="0" applyFont="1" applyBorder="1" applyAlignment="1"/>
    <xf numFmtId="0" fontId="3816" fillId="0" borderId="3816" xfId="0" applyFont="1" applyBorder="1" applyAlignment="1"/>
    <xf numFmtId="0" fontId="3817" fillId="0" borderId="3817" xfId="0" applyFont="1" applyBorder="1" applyAlignment="1"/>
    <xf numFmtId="0" fontId="3818" fillId="0" borderId="3818" xfId="0" applyFont="1" applyBorder="1" applyAlignment="1"/>
    <xf numFmtId="0" fontId="3819" fillId="0" borderId="3819" xfId="0" applyFont="1" applyBorder="1" applyAlignment="1"/>
    <xf numFmtId="0" fontId="3820" fillId="0" borderId="3820" xfId="0" applyFont="1" applyBorder="1" applyAlignment="1"/>
    <xf numFmtId="0" fontId="3821" fillId="0" borderId="3821" xfId="0" applyFont="1" applyBorder="1" applyAlignment="1"/>
    <xf numFmtId="0" fontId="3822" fillId="0" borderId="3822" xfId="0" applyFont="1" applyBorder="1" applyAlignment="1"/>
    <xf numFmtId="0" fontId="3823" fillId="0" borderId="3823" xfId="0" applyFont="1" applyBorder="1" applyAlignment="1"/>
    <xf numFmtId="0" fontId="3824" fillId="0" borderId="3824" xfId="0" applyFont="1" applyBorder="1" applyAlignment="1"/>
    <xf numFmtId="0" fontId="3825" fillId="0" borderId="3825" xfId="0" applyFont="1" applyBorder="1" applyAlignment="1"/>
    <xf numFmtId="0" fontId="3826" fillId="0" borderId="3826" xfId="0" applyFont="1" applyBorder="1" applyAlignment="1"/>
    <xf numFmtId="0" fontId="3827" fillId="0" borderId="3827" xfId="0" applyFont="1" applyBorder="1" applyAlignment="1"/>
    <xf numFmtId="0" fontId="3828" fillId="0" borderId="3828" xfId="0" applyFont="1" applyBorder="1" applyAlignment="1"/>
    <xf numFmtId="0" fontId="3829" fillId="0" borderId="3829" xfId="0" applyFont="1" applyBorder="1" applyAlignment="1"/>
    <xf numFmtId="0" fontId="3830" fillId="0" borderId="3830" xfId="0" applyFont="1" applyBorder="1" applyAlignment="1"/>
    <xf numFmtId="0" fontId="3831" fillId="0" borderId="3831" xfId="0" applyFont="1" applyBorder="1" applyAlignment="1"/>
    <xf numFmtId="0" fontId="3832" fillId="0" borderId="3832" xfId="0" applyFont="1" applyBorder="1" applyAlignment="1"/>
    <xf numFmtId="0" fontId="3833" fillId="0" borderId="3833" xfId="0" applyFont="1" applyBorder="1" applyAlignment="1"/>
    <xf numFmtId="0" fontId="3834" fillId="0" borderId="3834" xfId="0" applyFont="1" applyBorder="1" applyAlignment="1"/>
    <xf numFmtId="0" fontId="3835" fillId="0" borderId="3835" xfId="0" applyFont="1" applyBorder="1" applyAlignment="1"/>
    <xf numFmtId="0" fontId="3836" fillId="0" borderId="3836" xfId="0" applyFont="1" applyBorder="1" applyAlignment="1"/>
    <xf numFmtId="0" fontId="3837" fillId="0" borderId="3837" xfId="0" applyFont="1" applyBorder="1" applyAlignment="1"/>
    <xf numFmtId="0" fontId="3838" fillId="0" borderId="3838" xfId="0" applyFont="1" applyBorder="1" applyAlignment="1"/>
    <xf numFmtId="0" fontId="3839" fillId="0" borderId="3839" xfId="0" applyFont="1" applyBorder="1" applyAlignment="1"/>
    <xf numFmtId="0" fontId="3840" fillId="0" borderId="3840" xfId="0" applyFont="1" applyBorder="1" applyAlignment="1"/>
    <xf numFmtId="0" fontId="3841" fillId="0" borderId="3841" xfId="0" applyFont="1" applyBorder="1" applyAlignment="1"/>
    <xf numFmtId="0" fontId="3842" fillId="0" borderId="3842" xfId="0" applyFont="1" applyBorder="1" applyAlignment="1"/>
    <xf numFmtId="0" fontId="3843" fillId="0" borderId="3843" xfId="0" applyFont="1" applyBorder="1" applyAlignment="1"/>
    <xf numFmtId="0" fontId="3844" fillId="0" borderId="3844" xfId="0" applyFont="1" applyBorder="1" applyAlignment="1"/>
    <xf numFmtId="0" fontId="3845" fillId="0" borderId="3845" xfId="0" applyFont="1" applyBorder="1" applyAlignment="1"/>
    <xf numFmtId="0" fontId="3846" fillId="0" borderId="3846" xfId="0" applyFont="1" applyBorder="1" applyAlignment="1"/>
    <xf numFmtId="0" fontId="3847" fillId="0" borderId="3847" xfId="0" applyFont="1" applyBorder="1" applyAlignment="1"/>
    <xf numFmtId="0" fontId="3848" fillId="0" borderId="3848" xfId="0" applyFont="1" applyBorder="1" applyAlignment="1"/>
    <xf numFmtId="0" fontId="3849" fillId="0" borderId="3849" xfId="0" applyFont="1" applyBorder="1" applyAlignment="1"/>
    <xf numFmtId="0" fontId="3850" fillId="0" borderId="3850" xfId="0" applyFont="1" applyBorder="1" applyAlignment="1"/>
    <xf numFmtId="0" fontId="3851" fillId="0" borderId="3851" xfId="0" applyFont="1" applyBorder="1" applyAlignment="1"/>
    <xf numFmtId="0" fontId="3852" fillId="0" borderId="3852" xfId="0" applyFont="1" applyBorder="1" applyAlignment="1"/>
    <xf numFmtId="0" fontId="3853" fillId="0" borderId="3853" xfId="0" applyFont="1" applyBorder="1" applyAlignment="1"/>
    <xf numFmtId="0" fontId="3854" fillId="0" borderId="3854" xfId="0" applyFont="1" applyBorder="1" applyAlignment="1"/>
    <xf numFmtId="0" fontId="3855" fillId="0" borderId="3855" xfId="0" applyFont="1" applyBorder="1" applyAlignment="1"/>
    <xf numFmtId="0" fontId="3856" fillId="0" borderId="3856" xfId="0" applyFont="1" applyBorder="1" applyAlignment="1"/>
    <xf numFmtId="0" fontId="3857" fillId="0" borderId="3857" xfId="0" applyFont="1" applyBorder="1" applyAlignment="1"/>
    <xf numFmtId="0" fontId="3858" fillId="0" borderId="3858" xfId="0" applyFont="1" applyBorder="1" applyAlignment="1"/>
    <xf numFmtId="0" fontId="3859" fillId="0" borderId="3859" xfId="0" applyFont="1" applyBorder="1" applyAlignment="1"/>
    <xf numFmtId="0" fontId="3860" fillId="0" borderId="3860" xfId="0" applyFont="1" applyBorder="1" applyAlignment="1"/>
    <xf numFmtId="0" fontId="3861" fillId="0" borderId="3861" xfId="0" applyFont="1" applyBorder="1" applyAlignment="1"/>
    <xf numFmtId="0" fontId="3862" fillId="0" borderId="3862" xfId="0" applyFont="1" applyBorder="1" applyAlignment="1"/>
    <xf numFmtId="0" fontId="3863" fillId="0" borderId="3863" xfId="0" applyFont="1" applyBorder="1" applyAlignment="1"/>
    <xf numFmtId="0" fontId="3864" fillId="0" borderId="3864" xfId="0" applyFont="1" applyBorder="1" applyAlignment="1"/>
    <xf numFmtId="0" fontId="3865" fillId="0" borderId="3865" xfId="0" applyFont="1" applyBorder="1" applyAlignment="1"/>
    <xf numFmtId="0" fontId="3866" fillId="0" borderId="3866" xfId="0" applyFont="1" applyBorder="1" applyAlignment="1"/>
    <xf numFmtId="0" fontId="3867" fillId="0" borderId="3867" xfId="0" applyFont="1" applyBorder="1" applyAlignment="1"/>
    <xf numFmtId="0" fontId="3868" fillId="0" borderId="3868" xfId="0" applyFont="1" applyBorder="1" applyAlignment="1"/>
    <xf numFmtId="0" fontId="3869" fillId="0" borderId="3869" xfId="0" applyFont="1" applyBorder="1" applyAlignment="1"/>
    <xf numFmtId="0" fontId="3870" fillId="0" borderId="3870" xfId="0" applyFont="1" applyBorder="1" applyAlignment="1"/>
    <xf numFmtId="0" fontId="3871" fillId="0" borderId="3871" xfId="0" applyFont="1" applyBorder="1" applyAlignment="1"/>
    <xf numFmtId="0" fontId="3872" fillId="0" borderId="3872" xfId="0" applyFont="1" applyBorder="1" applyAlignment="1"/>
    <xf numFmtId="0" fontId="3873" fillId="0" borderId="3873" xfId="0" applyFont="1" applyBorder="1" applyAlignment="1"/>
    <xf numFmtId="0" fontId="3874" fillId="0" borderId="3874" xfId="0" applyFont="1" applyBorder="1" applyAlignment="1"/>
    <xf numFmtId="0" fontId="3875" fillId="0" borderId="3875" xfId="0" applyFont="1" applyBorder="1" applyAlignment="1"/>
    <xf numFmtId="0" fontId="3876" fillId="0" borderId="3876" xfId="0" applyFont="1" applyBorder="1" applyAlignment="1"/>
    <xf numFmtId="0" fontId="3877" fillId="0" borderId="3877" xfId="0" applyFont="1" applyBorder="1" applyAlignment="1"/>
    <xf numFmtId="0" fontId="3878" fillId="0" borderId="3878" xfId="0" applyFont="1" applyBorder="1" applyAlignment="1"/>
    <xf numFmtId="0" fontId="3879" fillId="0" borderId="3879" xfId="0" applyFont="1" applyBorder="1" applyAlignment="1"/>
    <xf numFmtId="0" fontId="3880" fillId="0" borderId="3880" xfId="0" applyFont="1" applyBorder="1" applyAlignment="1"/>
    <xf numFmtId="0" fontId="3881" fillId="0" borderId="3881" xfId="0" applyFont="1" applyBorder="1" applyAlignment="1"/>
    <xf numFmtId="0" fontId="3882" fillId="0" borderId="3882" xfId="0" applyFont="1" applyBorder="1" applyAlignment="1"/>
    <xf numFmtId="0" fontId="3883" fillId="0" borderId="3883" xfId="0" applyFont="1" applyBorder="1" applyAlignment="1"/>
    <xf numFmtId="0" fontId="3884" fillId="0" borderId="3884" xfId="0" applyFont="1" applyBorder="1" applyAlignment="1"/>
    <xf numFmtId="0" fontId="3885" fillId="0" borderId="3885" xfId="0" applyFont="1" applyBorder="1" applyAlignment="1"/>
    <xf numFmtId="0" fontId="3886" fillId="0" borderId="3886" xfId="0" applyFont="1" applyBorder="1" applyAlignment="1"/>
    <xf numFmtId="0" fontId="3887" fillId="0" borderId="3887" xfId="0" applyFont="1" applyBorder="1" applyAlignment="1"/>
    <xf numFmtId="0" fontId="3888" fillId="0" borderId="3888" xfId="0" applyFont="1" applyBorder="1" applyAlignment="1"/>
    <xf numFmtId="0" fontId="3889" fillId="0" borderId="3889" xfId="0" applyFont="1" applyBorder="1" applyAlignment="1"/>
    <xf numFmtId="0" fontId="3890" fillId="0" borderId="3890" xfId="0" applyFont="1" applyBorder="1" applyAlignment="1"/>
    <xf numFmtId="0" fontId="3891" fillId="0" borderId="3891" xfId="0" applyFont="1" applyBorder="1" applyAlignment="1"/>
    <xf numFmtId="0" fontId="3892" fillId="0" borderId="3892" xfId="0" applyFont="1" applyBorder="1" applyAlignment="1"/>
    <xf numFmtId="0" fontId="3893" fillId="0" borderId="3893" xfId="0" applyFont="1" applyBorder="1" applyAlignment="1"/>
    <xf numFmtId="0" fontId="3894" fillId="0" borderId="3894" xfId="0" applyFont="1" applyBorder="1" applyAlignment="1"/>
    <xf numFmtId="0" fontId="3895" fillId="0" borderId="3895" xfId="0" applyFont="1" applyBorder="1" applyAlignment="1"/>
    <xf numFmtId="0" fontId="3896" fillId="0" borderId="3896" xfId="0" applyFont="1" applyBorder="1" applyAlignment="1"/>
    <xf numFmtId="0" fontId="3897" fillId="0" borderId="3897" xfId="0" applyFont="1" applyBorder="1" applyAlignment="1"/>
    <xf numFmtId="0" fontId="3898" fillId="0" borderId="3898" xfId="0" applyFont="1" applyBorder="1" applyAlignment="1"/>
    <xf numFmtId="0" fontId="3899" fillId="0" borderId="3899" xfId="0" applyFont="1" applyBorder="1" applyAlignment="1"/>
    <xf numFmtId="0" fontId="3900" fillId="0" borderId="3900" xfId="0" applyFont="1" applyBorder="1" applyAlignment="1"/>
    <xf numFmtId="0" fontId="3901" fillId="0" borderId="3901" xfId="0" applyFont="1" applyBorder="1" applyAlignment="1"/>
    <xf numFmtId="0" fontId="3902" fillId="0" borderId="3902" xfId="0" applyFont="1" applyBorder="1" applyAlignment="1"/>
    <xf numFmtId="0" fontId="3903" fillId="0" borderId="3903" xfId="0" applyFont="1" applyBorder="1" applyAlignment="1"/>
    <xf numFmtId="0" fontId="3904" fillId="0" borderId="3904" xfId="0" applyFont="1" applyBorder="1" applyAlignment="1"/>
    <xf numFmtId="0" fontId="3905" fillId="0" borderId="3905" xfId="0" applyFont="1" applyBorder="1" applyAlignment="1"/>
    <xf numFmtId="0" fontId="3906" fillId="0" borderId="3906" xfId="0" applyFont="1" applyBorder="1" applyAlignment="1"/>
    <xf numFmtId="0" fontId="3907" fillId="0" borderId="3907" xfId="0" applyFont="1" applyBorder="1" applyAlignment="1"/>
    <xf numFmtId="0" fontId="3908" fillId="0" borderId="3908" xfId="0" applyFont="1" applyBorder="1" applyAlignment="1"/>
    <xf numFmtId="0" fontId="3909" fillId="0" borderId="3909" xfId="0" applyFont="1" applyBorder="1" applyAlignment="1"/>
    <xf numFmtId="0" fontId="3910" fillId="0" borderId="3910" xfId="0" applyFont="1" applyBorder="1" applyAlignment="1"/>
    <xf numFmtId="0" fontId="3911" fillId="0" borderId="3911" xfId="0" applyFont="1" applyBorder="1" applyAlignment="1"/>
    <xf numFmtId="0" fontId="3912" fillId="0" borderId="3912" xfId="0" applyFont="1" applyBorder="1" applyAlignment="1"/>
    <xf numFmtId="0" fontId="3913" fillId="0" borderId="3913" xfId="0" applyFont="1" applyBorder="1" applyAlignment="1"/>
    <xf numFmtId="0" fontId="3914" fillId="0" borderId="3914" xfId="0" applyFont="1" applyBorder="1" applyAlignment="1"/>
    <xf numFmtId="0" fontId="3915" fillId="0" borderId="3915" xfId="0" applyFont="1" applyBorder="1" applyAlignment="1"/>
    <xf numFmtId="0" fontId="3916" fillId="0" borderId="3916" xfId="0" applyFont="1" applyBorder="1" applyAlignment="1"/>
    <xf numFmtId="0" fontId="3917" fillId="0" borderId="3917" xfId="0" applyFont="1" applyBorder="1" applyAlignment="1"/>
    <xf numFmtId="0" fontId="3918" fillId="0" borderId="3918" xfId="0" applyFont="1" applyBorder="1" applyAlignment="1"/>
    <xf numFmtId="0" fontId="3919" fillId="0" borderId="3919" xfId="0" applyFont="1" applyBorder="1" applyAlignment="1"/>
    <xf numFmtId="0" fontId="3920" fillId="0" borderId="3920" xfId="0" applyFont="1" applyBorder="1" applyAlignment="1"/>
    <xf numFmtId="0" fontId="3921" fillId="0" borderId="3921" xfId="0" applyFont="1" applyBorder="1" applyAlignment="1"/>
    <xf numFmtId="0" fontId="3922" fillId="0" borderId="3922" xfId="0" applyFont="1" applyBorder="1" applyAlignment="1"/>
    <xf numFmtId="0" fontId="3923" fillId="0" borderId="3923" xfId="0" applyFont="1" applyBorder="1" applyAlignment="1"/>
    <xf numFmtId="0" fontId="3924" fillId="0" borderId="3924" xfId="0" applyFont="1" applyBorder="1" applyAlignment="1"/>
    <xf numFmtId="0" fontId="3925" fillId="0" borderId="3925" xfId="0" applyFont="1" applyBorder="1" applyAlignment="1"/>
    <xf numFmtId="0" fontId="3926" fillId="0" borderId="3926" xfId="0" applyFont="1" applyBorder="1" applyAlignment="1"/>
    <xf numFmtId="0" fontId="3927" fillId="0" borderId="3927" xfId="0" applyFont="1" applyBorder="1" applyAlignment="1"/>
    <xf numFmtId="0" fontId="3928" fillId="0" borderId="3928" xfId="0" applyFont="1" applyBorder="1" applyAlignment="1"/>
    <xf numFmtId="0" fontId="3929" fillId="0" borderId="3929" xfId="0" applyFont="1" applyBorder="1" applyAlignment="1"/>
    <xf numFmtId="0" fontId="3930" fillId="0" borderId="3930" xfId="0" applyFont="1" applyBorder="1" applyAlignment="1"/>
    <xf numFmtId="0" fontId="3931" fillId="0" borderId="3931" xfId="0" applyFont="1" applyBorder="1" applyAlignment="1"/>
    <xf numFmtId="0" fontId="3932" fillId="0" borderId="3932" xfId="0" applyFont="1" applyBorder="1" applyAlignment="1"/>
    <xf numFmtId="0" fontId="3933" fillId="0" borderId="3933" xfId="0" applyFont="1" applyBorder="1" applyAlignment="1"/>
    <xf numFmtId="0" fontId="3934" fillId="0" borderId="3934" xfId="0" applyFont="1" applyBorder="1" applyAlignment="1"/>
    <xf numFmtId="0" fontId="3935" fillId="0" borderId="3935" xfId="0" applyFont="1" applyBorder="1" applyAlignment="1"/>
    <xf numFmtId="0" fontId="3936" fillId="0" borderId="3936" xfId="0" applyFont="1" applyBorder="1" applyAlignment="1"/>
    <xf numFmtId="0" fontId="3937" fillId="0" borderId="3937" xfId="0" applyFont="1" applyBorder="1" applyAlignment="1"/>
    <xf numFmtId="0" fontId="3938" fillId="0" borderId="3938" xfId="0" applyFont="1" applyBorder="1" applyAlignment="1"/>
    <xf numFmtId="0" fontId="3939" fillId="0" borderId="3939" xfId="0" applyFont="1" applyBorder="1" applyAlignment="1"/>
    <xf numFmtId="0" fontId="3940" fillId="0" borderId="3940" xfId="0" applyFont="1" applyBorder="1" applyAlignment="1"/>
    <xf numFmtId="0" fontId="3941" fillId="0" borderId="3941" xfId="0" applyFont="1" applyBorder="1" applyAlignment="1"/>
    <xf numFmtId="0" fontId="3942" fillId="0" borderId="3942" xfId="0" applyFont="1" applyBorder="1" applyAlignment="1"/>
    <xf numFmtId="0" fontId="3943" fillId="0" borderId="3943" xfId="0" applyFont="1" applyBorder="1" applyAlignment="1"/>
    <xf numFmtId="0" fontId="3944" fillId="0" borderId="3944" xfId="0" applyFont="1" applyBorder="1" applyAlignment="1"/>
    <xf numFmtId="0" fontId="3945" fillId="0" borderId="3945" xfId="0" applyFont="1" applyBorder="1" applyAlignment="1"/>
    <xf numFmtId="0" fontId="3946" fillId="0" borderId="3946" xfId="0" applyFont="1" applyBorder="1" applyAlignment="1"/>
    <xf numFmtId="0" fontId="3947" fillId="0" borderId="3947" xfId="0" applyFont="1" applyBorder="1" applyAlignment="1"/>
    <xf numFmtId="0" fontId="3948" fillId="0" borderId="3948" xfId="0" applyFont="1" applyBorder="1" applyAlignment="1"/>
    <xf numFmtId="0" fontId="3949" fillId="0" borderId="3949" xfId="0" applyFont="1" applyBorder="1" applyAlignment="1"/>
    <xf numFmtId="0" fontId="3950" fillId="0" borderId="3950" xfId="0" applyFont="1" applyBorder="1" applyAlignment="1"/>
    <xf numFmtId="0" fontId="3951" fillId="0" borderId="3951" xfId="0" applyFont="1" applyBorder="1" applyAlignment="1"/>
    <xf numFmtId="0" fontId="3952" fillId="0" borderId="3952" xfId="0" applyFont="1" applyBorder="1" applyAlignment="1"/>
    <xf numFmtId="0" fontId="3953" fillId="0" borderId="3953" xfId="0" applyFont="1" applyBorder="1" applyAlignment="1"/>
    <xf numFmtId="0" fontId="3954" fillId="0" borderId="3954" xfId="0" applyFont="1" applyBorder="1" applyAlignment="1"/>
    <xf numFmtId="0" fontId="3955" fillId="0" borderId="3955" xfId="0" applyFont="1" applyBorder="1" applyAlignment="1"/>
    <xf numFmtId="0" fontId="3956" fillId="0" borderId="3956" xfId="0" applyFont="1" applyBorder="1" applyAlignment="1"/>
    <xf numFmtId="0" fontId="3957" fillId="0" borderId="3957" xfId="0" applyFont="1" applyBorder="1" applyAlignment="1"/>
    <xf numFmtId="0" fontId="3958" fillId="0" borderId="3958" xfId="0" applyFont="1" applyBorder="1" applyAlignment="1"/>
    <xf numFmtId="0" fontId="3959" fillId="0" borderId="3959" xfId="0" applyFont="1" applyBorder="1" applyAlignment="1"/>
    <xf numFmtId="0" fontId="3960" fillId="0" borderId="3960" xfId="0" applyFont="1" applyBorder="1" applyAlignment="1"/>
    <xf numFmtId="0" fontId="3961" fillId="0" borderId="3961" xfId="0" applyFont="1" applyBorder="1" applyAlignment="1"/>
    <xf numFmtId="0" fontId="3962" fillId="0" borderId="3962" xfId="0" applyFont="1" applyBorder="1" applyAlignment="1"/>
    <xf numFmtId="0" fontId="3963" fillId="0" borderId="3963" xfId="0" applyFont="1" applyBorder="1" applyAlignment="1"/>
    <xf numFmtId="0" fontId="3964" fillId="0" borderId="3964" xfId="0" applyFont="1" applyBorder="1" applyAlignment="1"/>
    <xf numFmtId="0" fontId="3965" fillId="0" borderId="3965" xfId="0" applyFont="1" applyBorder="1" applyAlignment="1"/>
    <xf numFmtId="0" fontId="3966" fillId="0" borderId="3966" xfId="0" applyFont="1" applyBorder="1" applyAlignment="1"/>
    <xf numFmtId="0" fontId="3967" fillId="0" borderId="3967" xfId="0" applyFont="1" applyBorder="1" applyAlignment="1"/>
    <xf numFmtId="0" fontId="3968" fillId="0" borderId="3968" xfId="0" applyFont="1" applyBorder="1" applyAlignment="1"/>
    <xf numFmtId="0" fontId="3969" fillId="0" borderId="3969" xfId="0" applyFont="1" applyBorder="1" applyAlignment="1"/>
    <xf numFmtId="0" fontId="3970" fillId="0" borderId="3970" xfId="0" applyFont="1" applyBorder="1" applyAlignment="1"/>
    <xf numFmtId="0" fontId="3971" fillId="0" borderId="3971" xfId="0" applyFont="1" applyBorder="1" applyAlignment="1"/>
    <xf numFmtId="0" fontId="3972" fillId="0" borderId="3972" xfId="0" applyFont="1" applyBorder="1" applyAlignment="1"/>
    <xf numFmtId="0" fontId="3973" fillId="0" borderId="3973" xfId="0" applyFont="1" applyBorder="1" applyAlignment="1"/>
    <xf numFmtId="0" fontId="3974" fillId="0" borderId="3974" xfId="0" applyFont="1" applyBorder="1" applyAlignment="1"/>
    <xf numFmtId="0" fontId="3975" fillId="0" borderId="3975" xfId="0" applyFont="1" applyBorder="1" applyAlignment="1"/>
    <xf numFmtId="0" fontId="3976" fillId="0" borderId="3976" xfId="0" applyFont="1" applyBorder="1" applyAlignment="1"/>
    <xf numFmtId="0" fontId="3977" fillId="0" borderId="3977" xfId="0" applyFont="1" applyBorder="1" applyAlignment="1"/>
    <xf numFmtId="0" fontId="3978" fillId="0" borderId="3978" xfId="0" applyFont="1" applyBorder="1" applyAlignment="1"/>
    <xf numFmtId="0" fontId="3979" fillId="0" borderId="3979" xfId="0" applyFont="1" applyBorder="1" applyAlignment="1"/>
    <xf numFmtId="0" fontId="3980" fillId="0" borderId="3980" xfId="0" applyFont="1" applyBorder="1" applyAlignment="1"/>
    <xf numFmtId="0" fontId="3981" fillId="0" borderId="3981" xfId="0" applyFont="1" applyBorder="1" applyAlignment="1"/>
    <xf numFmtId="0" fontId="3982" fillId="0" borderId="3982" xfId="0" applyFont="1" applyBorder="1" applyAlignment="1"/>
    <xf numFmtId="0" fontId="3983" fillId="0" borderId="3983" xfId="0" applyFont="1" applyBorder="1" applyAlignment="1"/>
    <xf numFmtId="0" fontId="3984" fillId="0" borderId="3984" xfId="0" applyFont="1" applyBorder="1" applyAlignment="1"/>
    <xf numFmtId="0" fontId="3985" fillId="0" borderId="3985" xfId="0" applyFont="1" applyBorder="1" applyAlignment="1"/>
    <xf numFmtId="0" fontId="3986" fillId="0" borderId="3986" xfId="0" applyFont="1" applyBorder="1" applyAlignment="1"/>
    <xf numFmtId="0" fontId="3987" fillId="0" borderId="3987" xfId="0" applyFont="1" applyBorder="1" applyAlignment="1"/>
    <xf numFmtId="0" fontId="3988" fillId="0" borderId="3988" xfId="0" applyFont="1" applyBorder="1" applyAlignment="1"/>
    <xf numFmtId="0" fontId="3989" fillId="0" borderId="3989" xfId="0" applyFont="1" applyBorder="1" applyAlignment="1"/>
    <xf numFmtId="0" fontId="3990" fillId="0" borderId="3990" xfId="0" applyFont="1" applyBorder="1" applyAlignment="1"/>
    <xf numFmtId="0" fontId="3991" fillId="0" borderId="3991" xfId="0" applyFont="1" applyBorder="1" applyAlignment="1"/>
    <xf numFmtId="0" fontId="3992" fillId="0" borderId="3992" xfId="0" applyFont="1" applyBorder="1" applyAlignment="1"/>
    <xf numFmtId="0" fontId="3993" fillId="0" borderId="3993" xfId="0" applyFont="1" applyBorder="1" applyAlignment="1"/>
    <xf numFmtId="0" fontId="3994" fillId="0" borderId="3994" xfId="0" applyFont="1" applyBorder="1" applyAlignment="1"/>
    <xf numFmtId="0" fontId="3995" fillId="0" borderId="3995" xfId="0" applyFont="1" applyBorder="1" applyAlignment="1"/>
    <xf numFmtId="0" fontId="3996" fillId="0" borderId="3996" xfId="0" applyFont="1" applyBorder="1" applyAlignment="1"/>
    <xf numFmtId="0" fontId="3997" fillId="0" borderId="3997" xfId="0" applyFont="1" applyBorder="1" applyAlignment="1"/>
    <xf numFmtId="0" fontId="3998" fillId="0" borderId="3998" xfId="0" applyFont="1" applyBorder="1" applyAlignment="1"/>
    <xf numFmtId="0" fontId="3999" fillId="0" borderId="3999" xfId="0" applyFont="1" applyBorder="1" applyAlignment="1"/>
    <xf numFmtId="0" fontId="4000" fillId="0" borderId="4000" xfId="0" applyFont="1" applyBorder="1" applyAlignment="1"/>
    <xf numFmtId="0" fontId="4001" fillId="0" borderId="4001" xfId="0" applyFont="1" applyBorder="1" applyAlignment="1"/>
    <xf numFmtId="0" fontId="4002" fillId="0" borderId="4002" xfId="0" applyFont="1" applyBorder="1" applyAlignment="1"/>
    <xf numFmtId="0" fontId="4003" fillId="0" borderId="4003" xfId="0" applyFont="1" applyBorder="1" applyAlignment="1"/>
    <xf numFmtId="0" fontId="4004" fillId="0" borderId="4004" xfId="0" applyFont="1" applyBorder="1" applyAlignment="1"/>
    <xf numFmtId="0" fontId="4005" fillId="0" borderId="4005" xfId="0" applyFont="1" applyBorder="1" applyAlignment="1"/>
    <xf numFmtId="0" fontId="4006" fillId="0" borderId="4006" xfId="0" applyFont="1" applyBorder="1" applyAlignment="1"/>
    <xf numFmtId="0" fontId="4007" fillId="0" borderId="4007" xfId="0" applyFont="1" applyBorder="1" applyAlignment="1"/>
    <xf numFmtId="0" fontId="4008" fillId="0" borderId="4008" xfId="0" applyFont="1" applyBorder="1" applyAlignment="1"/>
    <xf numFmtId="0" fontId="4009" fillId="0" borderId="4009" xfId="0" applyFont="1" applyBorder="1" applyAlignment="1"/>
    <xf numFmtId="0" fontId="4010" fillId="0" borderId="4010" xfId="0" applyFont="1" applyBorder="1" applyAlignment="1"/>
    <xf numFmtId="0" fontId="4011" fillId="0" borderId="4011" xfId="0" applyFont="1" applyBorder="1" applyAlignment="1"/>
    <xf numFmtId="0" fontId="4012" fillId="0" borderId="4012" xfId="0" applyFont="1" applyBorder="1" applyAlignment="1"/>
    <xf numFmtId="0" fontId="4013" fillId="0" borderId="4013" xfId="0" applyFont="1" applyBorder="1" applyAlignment="1"/>
    <xf numFmtId="0" fontId="4014" fillId="0" borderId="4014" xfId="0" applyFont="1" applyBorder="1" applyAlignment="1"/>
    <xf numFmtId="0" fontId="4015" fillId="0" borderId="4015" xfId="0" applyFont="1" applyBorder="1" applyAlignment="1"/>
    <xf numFmtId="0" fontId="4016" fillId="0" borderId="4016" xfId="0" applyFont="1" applyBorder="1" applyAlignment="1"/>
    <xf numFmtId="0" fontId="4017" fillId="0" borderId="4017" xfId="0" applyFont="1" applyBorder="1" applyAlignment="1"/>
    <xf numFmtId="0" fontId="4018" fillId="0" borderId="4018" xfId="0" applyFont="1" applyBorder="1" applyAlignment="1"/>
    <xf numFmtId="0" fontId="4019" fillId="0" borderId="4019" xfId="0" applyFont="1" applyBorder="1" applyAlignment="1"/>
    <xf numFmtId="0" fontId="4020" fillId="0" borderId="4020" xfId="0" applyFont="1" applyBorder="1" applyAlignment="1"/>
    <xf numFmtId="0" fontId="4021" fillId="0" borderId="4021" xfId="0" applyFont="1" applyBorder="1" applyAlignment="1"/>
    <xf numFmtId="0" fontId="4022" fillId="0" borderId="4022" xfId="0" applyFont="1" applyBorder="1" applyAlignment="1"/>
    <xf numFmtId="0" fontId="4023" fillId="0" borderId="4023" xfId="0" applyFont="1" applyBorder="1" applyAlignment="1"/>
    <xf numFmtId="0" fontId="4024" fillId="0" borderId="4024" xfId="0" applyFont="1" applyBorder="1" applyAlignment="1"/>
    <xf numFmtId="0" fontId="4025" fillId="0" borderId="4025" xfId="0" applyFont="1" applyBorder="1" applyAlignment="1"/>
    <xf numFmtId="0" fontId="4026" fillId="0" borderId="4026" xfId="0" applyFont="1" applyBorder="1" applyAlignment="1"/>
    <xf numFmtId="0" fontId="4027" fillId="0" borderId="4027" xfId="0" applyFont="1" applyBorder="1" applyAlignment="1"/>
    <xf numFmtId="0" fontId="4028" fillId="0" borderId="4028" xfId="0" applyFont="1" applyBorder="1" applyAlignment="1"/>
    <xf numFmtId="0" fontId="4029" fillId="0" borderId="4029" xfId="0" applyFont="1" applyBorder="1" applyAlignment="1"/>
    <xf numFmtId="0" fontId="4030" fillId="0" borderId="4030" xfId="0" applyFont="1" applyBorder="1" applyAlignment="1"/>
    <xf numFmtId="0" fontId="4031" fillId="0" borderId="4031" xfId="0" applyFont="1" applyBorder="1" applyAlignment="1"/>
    <xf numFmtId="0" fontId="4032" fillId="0" borderId="4032" xfId="0" applyFont="1" applyBorder="1" applyAlignment="1"/>
    <xf numFmtId="0" fontId="4033" fillId="0" borderId="4033" xfId="0" applyFont="1" applyBorder="1" applyAlignment="1"/>
    <xf numFmtId="0" fontId="4034" fillId="0" borderId="4034" xfId="0" applyFont="1" applyBorder="1" applyAlignment="1"/>
    <xf numFmtId="0" fontId="4035" fillId="0" borderId="4035" xfId="0" applyFont="1" applyBorder="1" applyAlignment="1"/>
    <xf numFmtId="0" fontId="4036" fillId="0" borderId="4036" xfId="0" applyFont="1" applyBorder="1" applyAlignment="1"/>
    <xf numFmtId="0" fontId="4037" fillId="0" borderId="4037" xfId="0" applyFont="1" applyBorder="1" applyAlignment="1"/>
    <xf numFmtId="0" fontId="4038" fillId="0" borderId="4038" xfId="0" applyFont="1" applyBorder="1" applyAlignment="1"/>
    <xf numFmtId="0" fontId="4039" fillId="0" borderId="4039" xfId="0" applyFont="1" applyBorder="1" applyAlignment="1"/>
    <xf numFmtId="0" fontId="4040" fillId="0" borderId="4040" xfId="0" applyFont="1" applyBorder="1" applyAlignment="1"/>
    <xf numFmtId="0" fontId="4041" fillId="0" borderId="4041" xfId="0" applyFont="1" applyBorder="1" applyAlignment="1"/>
    <xf numFmtId="0" fontId="4042" fillId="0" borderId="4042" xfId="0" applyFont="1" applyBorder="1" applyAlignment="1"/>
    <xf numFmtId="0" fontId="4043" fillId="0" borderId="4043" xfId="0" applyFont="1" applyBorder="1" applyAlignment="1"/>
    <xf numFmtId="0" fontId="4044" fillId="0" borderId="4044" xfId="0" applyFont="1" applyBorder="1" applyAlignment="1"/>
    <xf numFmtId="0" fontId="4045" fillId="0" borderId="4045" xfId="0" applyFont="1" applyBorder="1" applyAlignment="1"/>
    <xf numFmtId="0" fontId="4046" fillId="0" borderId="4046" xfId="0" applyFont="1" applyBorder="1" applyAlignment="1"/>
    <xf numFmtId="0" fontId="4047" fillId="0" borderId="4047" xfId="0" applyFont="1" applyBorder="1" applyAlignment="1"/>
    <xf numFmtId="0" fontId="4048" fillId="0" borderId="4048" xfId="0" applyFont="1" applyBorder="1" applyAlignment="1"/>
    <xf numFmtId="0" fontId="4049" fillId="0" borderId="4049" xfId="0" applyFont="1" applyBorder="1" applyAlignment="1"/>
    <xf numFmtId="0" fontId="4050" fillId="0" borderId="4050" xfId="0" applyFont="1" applyBorder="1" applyAlignment="1"/>
    <xf numFmtId="0" fontId="4051" fillId="0" borderId="4051" xfId="0" applyFont="1" applyBorder="1" applyAlignment="1"/>
    <xf numFmtId="0" fontId="4052" fillId="0" borderId="4052" xfId="0" applyFont="1" applyBorder="1" applyAlignment="1"/>
    <xf numFmtId="0" fontId="4053" fillId="0" borderId="4053" xfId="0" applyFont="1" applyBorder="1" applyAlignment="1"/>
    <xf numFmtId="0" fontId="4054" fillId="0" borderId="4054" xfId="0" applyFont="1" applyBorder="1" applyAlignment="1"/>
    <xf numFmtId="0" fontId="4055" fillId="0" borderId="4055" xfId="0" applyFont="1" applyBorder="1" applyAlignment="1"/>
    <xf numFmtId="0" fontId="4056" fillId="0" borderId="4056" xfId="0" applyFont="1" applyBorder="1" applyAlignment="1"/>
    <xf numFmtId="0" fontId="4057" fillId="0" borderId="4057" xfId="0" applyFont="1" applyBorder="1" applyAlignment="1"/>
    <xf numFmtId="0" fontId="4058" fillId="0" borderId="4058" xfId="0" applyFont="1" applyBorder="1" applyAlignment="1"/>
    <xf numFmtId="0" fontId="4059" fillId="0" borderId="4059" xfId="0" applyFont="1" applyBorder="1" applyAlignment="1"/>
    <xf numFmtId="0" fontId="4060" fillId="0" borderId="4060" xfId="0" applyFont="1" applyBorder="1" applyAlignment="1"/>
    <xf numFmtId="0" fontId="4061" fillId="0" borderId="4061" xfId="0" applyFont="1" applyBorder="1" applyAlignment="1"/>
    <xf numFmtId="0" fontId="4062" fillId="0" borderId="4062" xfId="0" applyFont="1" applyBorder="1" applyAlignment="1"/>
    <xf numFmtId="0" fontId="4063" fillId="0" borderId="4063" xfId="0" applyFont="1" applyBorder="1" applyAlignment="1"/>
    <xf numFmtId="0" fontId="4064" fillId="0" borderId="4064" xfId="0" applyFont="1" applyBorder="1" applyAlignment="1"/>
    <xf numFmtId="0" fontId="4065" fillId="0" borderId="4065" xfId="0" applyFont="1" applyBorder="1" applyAlignment="1"/>
    <xf numFmtId="0" fontId="4066" fillId="0" borderId="4066" xfId="0" applyFont="1" applyBorder="1" applyAlignment="1"/>
    <xf numFmtId="0" fontId="4067" fillId="0" borderId="4067" xfId="0" applyFont="1" applyBorder="1" applyAlignment="1"/>
    <xf numFmtId="0" fontId="4068" fillId="0" borderId="4068" xfId="0" applyFont="1" applyBorder="1" applyAlignment="1"/>
    <xf numFmtId="0" fontId="4069" fillId="0" borderId="4069" xfId="0" applyFont="1" applyBorder="1" applyAlignment="1"/>
    <xf numFmtId="0" fontId="4070" fillId="0" borderId="4070" xfId="0" applyFont="1" applyBorder="1" applyAlignment="1"/>
    <xf numFmtId="0" fontId="4071" fillId="0" borderId="4071" xfId="0" applyFont="1" applyBorder="1" applyAlignment="1"/>
    <xf numFmtId="0" fontId="4072" fillId="0" borderId="4072" xfId="0" applyFont="1" applyBorder="1" applyAlignment="1"/>
    <xf numFmtId="0" fontId="4073" fillId="0" borderId="4073" xfId="0" applyFont="1" applyBorder="1" applyAlignment="1"/>
    <xf numFmtId="0" fontId="4074" fillId="0" borderId="4074" xfId="0" applyFont="1" applyBorder="1" applyAlignment="1"/>
    <xf numFmtId="0" fontId="4075" fillId="0" borderId="4075" xfId="0" applyFont="1" applyBorder="1" applyAlignment="1"/>
    <xf numFmtId="0" fontId="4076" fillId="0" borderId="4076" xfId="0" applyFont="1" applyBorder="1" applyAlignment="1"/>
    <xf numFmtId="0" fontId="4077" fillId="0" borderId="4077" xfId="0" applyFont="1" applyBorder="1" applyAlignment="1"/>
    <xf numFmtId="0" fontId="4078" fillId="0" borderId="4078" xfId="0" applyFont="1" applyBorder="1" applyAlignment="1"/>
    <xf numFmtId="0" fontId="4079" fillId="0" borderId="4079" xfId="0" applyFont="1" applyBorder="1" applyAlignment="1"/>
    <xf numFmtId="0" fontId="4080" fillId="0" borderId="4080" xfId="0" applyFont="1" applyBorder="1" applyAlignment="1"/>
    <xf numFmtId="0" fontId="4081" fillId="0" borderId="4081" xfId="0" applyFont="1" applyBorder="1" applyAlignment="1"/>
    <xf numFmtId="0" fontId="4082" fillId="0" borderId="4082" xfId="0" applyFont="1" applyBorder="1" applyAlignment="1"/>
    <xf numFmtId="0" fontId="4083" fillId="0" borderId="4083" xfId="0" applyFont="1" applyBorder="1" applyAlignment="1"/>
    <xf numFmtId="0" fontId="4084" fillId="0" borderId="4084" xfId="0" applyFont="1" applyBorder="1" applyAlignment="1"/>
    <xf numFmtId="0" fontId="4085" fillId="0" borderId="4085" xfId="0" applyFont="1" applyBorder="1" applyAlignment="1"/>
    <xf numFmtId="0" fontId="4086" fillId="0" borderId="4086" xfId="0" applyFont="1" applyBorder="1" applyAlignment="1"/>
    <xf numFmtId="0" fontId="4087" fillId="0" borderId="4087" xfId="0" applyFont="1" applyBorder="1" applyAlignment="1"/>
    <xf numFmtId="0" fontId="4088" fillId="0" borderId="4088" xfId="0" applyFont="1" applyBorder="1" applyAlignment="1"/>
    <xf numFmtId="0" fontId="4089" fillId="0" borderId="4089" xfId="0" applyFont="1" applyBorder="1" applyAlignment="1"/>
    <xf numFmtId="0" fontId="4090" fillId="0" borderId="4090" xfId="0" applyFont="1" applyBorder="1" applyAlignment="1"/>
    <xf numFmtId="0" fontId="4091" fillId="0" borderId="4091" xfId="0" applyFont="1" applyBorder="1" applyAlignment="1"/>
    <xf numFmtId="0" fontId="4092" fillId="0" borderId="4092" xfId="0" applyFont="1" applyBorder="1" applyAlignment="1"/>
    <xf numFmtId="0" fontId="4093" fillId="0" borderId="4093" xfId="0" applyFont="1" applyBorder="1" applyAlignment="1"/>
    <xf numFmtId="0" fontId="4094" fillId="0" borderId="4094" xfId="0" applyFont="1" applyBorder="1" applyAlignment="1"/>
    <xf numFmtId="0" fontId="4095" fillId="0" borderId="4095" xfId="0" applyFont="1" applyBorder="1" applyAlignment="1"/>
    <xf numFmtId="0" fontId="4096" fillId="0" borderId="4096" xfId="0" applyFont="1" applyBorder="1" applyAlignment="1"/>
    <xf numFmtId="0" fontId="4097" fillId="0" borderId="4097" xfId="0" applyFont="1" applyBorder="1" applyAlignment="1"/>
    <xf numFmtId="0" fontId="4098" fillId="0" borderId="4098" xfId="0" applyFont="1" applyBorder="1" applyAlignment="1"/>
    <xf numFmtId="0" fontId="4099" fillId="0" borderId="4099" xfId="0" applyFont="1" applyBorder="1" applyAlignment="1"/>
    <xf numFmtId="0" fontId="4100" fillId="0" borderId="4100" xfId="0" applyFont="1" applyBorder="1" applyAlignment="1"/>
    <xf numFmtId="0" fontId="4101" fillId="0" borderId="4101" xfId="0" applyFont="1" applyBorder="1" applyAlignment="1"/>
    <xf numFmtId="0" fontId="4102" fillId="0" borderId="4102" xfId="0" applyFont="1" applyBorder="1" applyAlignment="1"/>
    <xf numFmtId="0" fontId="4103" fillId="0" borderId="4103" xfId="0" applyFont="1" applyBorder="1" applyAlignment="1"/>
    <xf numFmtId="0" fontId="4104" fillId="0" borderId="4104" xfId="0" applyFont="1" applyBorder="1" applyAlignment="1"/>
    <xf numFmtId="0" fontId="4105" fillId="0" borderId="4105" xfId="0" applyFont="1" applyBorder="1" applyAlignment="1"/>
    <xf numFmtId="0" fontId="4106" fillId="0" borderId="4106" xfId="0" applyFont="1" applyBorder="1" applyAlignment="1"/>
    <xf numFmtId="0" fontId="4107" fillId="0" borderId="4107" xfId="0" applyFont="1" applyBorder="1" applyAlignment="1"/>
    <xf numFmtId="0" fontId="4108" fillId="0" borderId="4108" xfId="0" applyFont="1" applyBorder="1" applyAlignment="1"/>
    <xf numFmtId="0" fontId="4109" fillId="0" borderId="4109" xfId="0" applyFont="1" applyBorder="1" applyAlignment="1"/>
    <xf numFmtId="0" fontId="4110" fillId="0" borderId="4110" xfId="0" applyFont="1" applyBorder="1" applyAlignment="1"/>
    <xf numFmtId="0" fontId="4111" fillId="0" borderId="4111" xfId="0" applyFont="1" applyBorder="1" applyAlignment="1"/>
    <xf numFmtId="0" fontId="4112" fillId="0" borderId="4112" xfId="0" applyFont="1" applyBorder="1" applyAlignment="1"/>
    <xf numFmtId="0" fontId="4113" fillId="0" borderId="4113" xfId="0" applyFont="1" applyBorder="1" applyAlignment="1"/>
    <xf numFmtId="0" fontId="4114" fillId="0" borderId="4114" xfId="0" applyFont="1" applyBorder="1" applyAlignment="1"/>
    <xf numFmtId="0" fontId="4115" fillId="0" borderId="4115" xfId="0" applyFont="1" applyBorder="1" applyAlignment="1"/>
    <xf numFmtId="0" fontId="4116" fillId="0" borderId="4116" xfId="0" applyFont="1" applyBorder="1" applyAlignment="1"/>
    <xf numFmtId="0" fontId="4117" fillId="0" borderId="4117" xfId="0" applyFont="1" applyBorder="1" applyAlignment="1"/>
    <xf numFmtId="0" fontId="4118" fillId="0" borderId="4118" xfId="0" applyFont="1" applyBorder="1" applyAlignment="1"/>
    <xf numFmtId="0" fontId="4119" fillId="0" borderId="4119" xfId="0" applyFont="1" applyBorder="1" applyAlignment="1"/>
    <xf numFmtId="0" fontId="4120" fillId="0" borderId="4120" xfId="0" applyFont="1" applyBorder="1" applyAlignment="1"/>
    <xf numFmtId="0" fontId="4121" fillId="0" borderId="4121" xfId="0" applyFont="1" applyBorder="1" applyAlignment="1"/>
    <xf numFmtId="0" fontId="4122" fillId="0" borderId="4122" xfId="0" applyFont="1" applyBorder="1" applyAlignment="1"/>
    <xf numFmtId="0" fontId="4123" fillId="0" borderId="4123" xfId="0" applyFont="1" applyBorder="1" applyAlignment="1"/>
    <xf numFmtId="0" fontId="4124" fillId="0" borderId="4124" xfId="0" applyFont="1" applyBorder="1" applyAlignment="1"/>
    <xf numFmtId="0" fontId="4125" fillId="0" borderId="4125" xfId="0" applyFont="1" applyBorder="1" applyAlignment="1"/>
    <xf numFmtId="0" fontId="4126" fillId="0" borderId="4126" xfId="0" applyFont="1" applyBorder="1" applyAlignment="1"/>
    <xf numFmtId="0" fontId="4127" fillId="0" borderId="4127" xfId="0" applyFont="1" applyBorder="1" applyAlignment="1"/>
    <xf numFmtId="0" fontId="4128" fillId="0" borderId="4128" xfId="0" applyFont="1" applyBorder="1" applyAlignment="1"/>
    <xf numFmtId="0" fontId="4129" fillId="0" borderId="4129" xfId="0" applyFont="1" applyBorder="1" applyAlignment="1"/>
    <xf numFmtId="0" fontId="4130" fillId="0" borderId="4130" xfId="0" applyFont="1" applyBorder="1" applyAlignment="1"/>
    <xf numFmtId="0" fontId="4131" fillId="0" borderId="4131" xfId="0" applyFont="1" applyBorder="1" applyAlignment="1"/>
    <xf numFmtId="0" fontId="4132" fillId="0" borderId="4132" xfId="0" applyFont="1" applyBorder="1" applyAlignment="1"/>
    <xf numFmtId="0" fontId="4133" fillId="0" borderId="4133" xfId="0" applyFont="1" applyBorder="1" applyAlignment="1"/>
    <xf numFmtId="0" fontId="4134" fillId="0" borderId="4134" xfId="0" applyFont="1" applyBorder="1" applyAlignment="1"/>
    <xf numFmtId="0" fontId="4135" fillId="0" borderId="4135" xfId="0" applyFont="1" applyBorder="1" applyAlignment="1"/>
    <xf numFmtId="0" fontId="4136" fillId="0" borderId="4136" xfId="0" applyFont="1" applyBorder="1" applyAlignment="1"/>
    <xf numFmtId="0" fontId="4137" fillId="0" borderId="4137" xfId="0" applyFont="1" applyBorder="1" applyAlignment="1"/>
    <xf numFmtId="0" fontId="4138" fillId="0" borderId="4138" xfId="0" applyFont="1" applyBorder="1" applyAlignment="1"/>
    <xf numFmtId="0" fontId="4139" fillId="0" borderId="4139" xfId="0" applyFont="1" applyBorder="1" applyAlignment="1"/>
    <xf numFmtId="0" fontId="4140" fillId="0" borderId="4140" xfId="0" applyFont="1" applyBorder="1" applyAlignment="1"/>
    <xf numFmtId="0" fontId="4141" fillId="0" borderId="4141" xfId="0" applyFont="1" applyBorder="1" applyAlignment="1"/>
    <xf numFmtId="0" fontId="4142" fillId="0" borderId="4142" xfId="0" applyFont="1" applyBorder="1" applyAlignment="1"/>
    <xf numFmtId="0" fontId="4143" fillId="0" borderId="4143" xfId="0" applyFont="1" applyBorder="1" applyAlignment="1"/>
    <xf numFmtId="0" fontId="4144" fillId="0" borderId="4144" xfId="0" applyFont="1" applyBorder="1" applyAlignment="1"/>
    <xf numFmtId="0" fontId="4145" fillId="0" borderId="4145" xfId="0" applyFont="1" applyBorder="1" applyAlignment="1"/>
    <xf numFmtId="0" fontId="4146" fillId="0" borderId="4146" xfId="0" applyFont="1" applyBorder="1" applyAlignment="1"/>
    <xf numFmtId="0" fontId="4147" fillId="0" borderId="4147" xfId="0" applyFont="1" applyBorder="1" applyAlignment="1"/>
    <xf numFmtId="0" fontId="4148" fillId="0" borderId="4148" xfId="0" applyFont="1" applyBorder="1" applyAlignment="1"/>
    <xf numFmtId="0" fontId="4149" fillId="0" borderId="4149" xfId="0" applyFont="1" applyBorder="1" applyAlignment="1"/>
    <xf numFmtId="0" fontId="4150" fillId="0" borderId="4150" xfId="0" applyFont="1" applyBorder="1" applyAlignment="1"/>
    <xf numFmtId="0" fontId="4151" fillId="0" borderId="4151" xfId="0" applyFont="1" applyBorder="1" applyAlignment="1"/>
    <xf numFmtId="0" fontId="4152" fillId="0" borderId="4152" xfId="0" applyFont="1" applyBorder="1" applyAlignment="1"/>
    <xf numFmtId="0" fontId="4153" fillId="0" borderId="4153" xfId="0" applyFont="1" applyBorder="1" applyAlignment="1"/>
    <xf numFmtId="0" fontId="4154" fillId="0" borderId="4154" xfId="0" applyFont="1" applyBorder="1" applyAlignment="1"/>
    <xf numFmtId="0" fontId="4155" fillId="0" borderId="4155" xfId="0" applyFont="1" applyBorder="1" applyAlignment="1"/>
    <xf numFmtId="0" fontId="4156" fillId="0" borderId="4156" xfId="0" applyFont="1" applyBorder="1" applyAlignment="1"/>
    <xf numFmtId="0" fontId="4157" fillId="0" borderId="4157" xfId="0" applyFont="1" applyBorder="1" applyAlignment="1"/>
    <xf numFmtId="0" fontId="4158" fillId="0" borderId="4158" xfId="0" applyFont="1" applyBorder="1" applyAlignment="1"/>
    <xf numFmtId="0" fontId="4159" fillId="0" borderId="4159" xfId="0" applyFont="1" applyBorder="1" applyAlignment="1"/>
    <xf numFmtId="0" fontId="4160" fillId="0" borderId="4160" xfId="0" applyFont="1" applyBorder="1" applyAlignment="1"/>
    <xf numFmtId="0" fontId="4161" fillId="0" borderId="4161" xfId="0" applyFont="1" applyBorder="1" applyAlignment="1"/>
    <xf numFmtId="0" fontId="4162" fillId="0" borderId="4162" xfId="0" applyFont="1" applyBorder="1" applyAlignment="1"/>
    <xf numFmtId="0" fontId="4163" fillId="0" borderId="4163" xfId="0" applyFont="1" applyBorder="1" applyAlignment="1"/>
    <xf numFmtId="0" fontId="4164" fillId="0" borderId="4164" xfId="0" applyFont="1" applyBorder="1" applyAlignment="1"/>
    <xf numFmtId="0" fontId="4165" fillId="0" borderId="4165" xfId="0" applyFont="1" applyBorder="1" applyAlignment="1"/>
    <xf numFmtId="0" fontId="4166" fillId="0" borderId="4166" xfId="0" applyFont="1" applyBorder="1" applyAlignment="1"/>
    <xf numFmtId="0" fontId="4167" fillId="0" borderId="4167" xfId="0" applyFont="1" applyBorder="1" applyAlignment="1"/>
    <xf numFmtId="0" fontId="4168" fillId="0" borderId="4168" xfId="0" applyFont="1" applyBorder="1" applyAlignment="1"/>
    <xf numFmtId="0" fontId="4169" fillId="0" borderId="4169" xfId="0" applyFont="1" applyBorder="1" applyAlignment="1"/>
    <xf numFmtId="0" fontId="4170" fillId="0" borderId="4170" xfId="0" applyFont="1" applyBorder="1" applyAlignment="1"/>
    <xf numFmtId="0" fontId="4171" fillId="0" borderId="4171" xfId="0" applyFont="1" applyBorder="1" applyAlignment="1"/>
    <xf numFmtId="0" fontId="4172" fillId="0" borderId="4172" xfId="0" applyFont="1" applyBorder="1" applyAlignment="1"/>
    <xf numFmtId="0" fontId="4173" fillId="0" borderId="4173" xfId="0" applyFont="1" applyBorder="1" applyAlignment="1"/>
    <xf numFmtId="0" fontId="4174" fillId="0" borderId="4174" xfId="0" applyFont="1" applyBorder="1" applyAlignment="1"/>
    <xf numFmtId="0" fontId="4175" fillId="0" borderId="4175" xfId="0" applyFont="1" applyBorder="1" applyAlignment="1"/>
    <xf numFmtId="0" fontId="4176" fillId="0" borderId="4176" xfId="0" applyFont="1" applyBorder="1" applyAlignment="1"/>
    <xf numFmtId="0" fontId="4177" fillId="0" borderId="4177" xfId="0" applyFont="1" applyBorder="1" applyAlignment="1"/>
    <xf numFmtId="0" fontId="4178" fillId="0" borderId="4178" xfId="0" applyFont="1" applyBorder="1" applyAlignment="1"/>
    <xf numFmtId="0" fontId="4179" fillId="0" borderId="4179" xfId="0" applyFont="1" applyBorder="1" applyAlignment="1"/>
    <xf numFmtId="0" fontId="4180" fillId="0" borderId="4180" xfId="0" applyFont="1" applyBorder="1" applyAlignment="1"/>
    <xf numFmtId="0" fontId="4181" fillId="0" borderId="4181" xfId="0" applyFont="1" applyBorder="1" applyAlignment="1"/>
    <xf numFmtId="0" fontId="4182" fillId="0" borderId="4182" xfId="0" applyFont="1" applyBorder="1" applyAlignment="1"/>
    <xf numFmtId="0" fontId="4183" fillId="0" borderId="4183" xfId="0" applyFont="1" applyBorder="1" applyAlignment="1"/>
    <xf numFmtId="0" fontId="4184" fillId="0" borderId="4184" xfId="0" applyFont="1" applyBorder="1" applyAlignment="1"/>
    <xf numFmtId="0" fontId="4185" fillId="0" borderId="4185" xfId="0" applyFont="1" applyBorder="1" applyAlignment="1"/>
    <xf numFmtId="0" fontId="4186" fillId="0" borderId="4186" xfId="0" applyFont="1" applyBorder="1" applyAlignment="1"/>
    <xf numFmtId="0" fontId="4187" fillId="0" borderId="4187" xfId="0" applyFont="1" applyBorder="1" applyAlignment="1"/>
    <xf numFmtId="0" fontId="4188" fillId="0" borderId="4188" xfId="0" applyFont="1" applyBorder="1" applyAlignment="1"/>
    <xf numFmtId="0" fontId="4189" fillId="0" borderId="4189" xfId="0" applyFont="1" applyBorder="1" applyAlignment="1"/>
    <xf numFmtId="0" fontId="4190" fillId="0" borderId="4190" xfId="0" applyFont="1" applyBorder="1" applyAlignment="1"/>
    <xf numFmtId="0" fontId="4191" fillId="0" borderId="4191" xfId="0" applyFont="1" applyBorder="1" applyAlignment="1"/>
    <xf numFmtId="0" fontId="4192" fillId="0" borderId="4192" xfId="0" applyFont="1" applyBorder="1" applyAlignment="1"/>
    <xf numFmtId="0" fontId="4193" fillId="0" borderId="4193" xfId="0" applyFont="1" applyBorder="1" applyAlignment="1"/>
    <xf numFmtId="0" fontId="4194" fillId="0" borderId="4194" xfId="0" applyFont="1" applyBorder="1" applyAlignment="1"/>
    <xf numFmtId="0" fontId="4195" fillId="0" borderId="4195" xfId="0" applyFont="1" applyBorder="1" applyAlignment="1"/>
    <xf numFmtId="0" fontId="4196" fillId="0" borderId="4196" xfId="0" applyFont="1" applyBorder="1" applyAlignment="1"/>
    <xf numFmtId="0" fontId="4197" fillId="0" borderId="4197" xfId="0" applyFont="1" applyBorder="1" applyAlignment="1"/>
    <xf numFmtId="0" fontId="4198" fillId="0" borderId="4198" xfId="0" applyFont="1" applyBorder="1" applyAlignment="1"/>
    <xf numFmtId="0" fontId="4199" fillId="0" borderId="4199" xfId="0" applyFont="1" applyBorder="1" applyAlignment="1"/>
    <xf numFmtId="0" fontId="4200" fillId="0" borderId="4200" xfId="0" applyFont="1" applyBorder="1" applyAlignment="1"/>
    <xf numFmtId="0" fontId="4201" fillId="0" borderId="4201" xfId="0" applyFont="1" applyBorder="1" applyAlignment="1"/>
    <xf numFmtId="0" fontId="4202" fillId="0" borderId="4202" xfId="0" applyFont="1" applyBorder="1" applyAlignment="1"/>
    <xf numFmtId="0" fontId="4203" fillId="0" borderId="4203" xfId="0" applyFont="1" applyBorder="1" applyAlignment="1"/>
    <xf numFmtId="0" fontId="4204" fillId="0" borderId="4204" xfId="0" applyFont="1" applyBorder="1" applyAlignment="1"/>
    <xf numFmtId="0" fontId="4205" fillId="0" borderId="4205" xfId="0" applyFont="1" applyBorder="1" applyAlignment="1"/>
    <xf numFmtId="0" fontId="4206" fillId="0" borderId="4206" xfId="0" applyFont="1" applyBorder="1" applyAlignment="1"/>
    <xf numFmtId="0" fontId="4207" fillId="0" borderId="4207" xfId="0" applyFont="1" applyBorder="1" applyAlignment="1"/>
    <xf numFmtId="0" fontId="4208" fillId="0" borderId="4208" xfId="0" applyFont="1" applyBorder="1" applyAlignment="1"/>
    <xf numFmtId="0" fontId="4209" fillId="0" borderId="4209" xfId="0" applyFont="1" applyBorder="1" applyAlignment="1"/>
    <xf numFmtId="0" fontId="4210" fillId="0" borderId="4210" xfId="0" applyFont="1" applyBorder="1" applyAlignment="1"/>
    <xf numFmtId="0" fontId="4211" fillId="0" borderId="4211" xfId="0" applyFont="1" applyBorder="1" applyAlignment="1"/>
    <xf numFmtId="0" fontId="4212" fillId="0" borderId="4212" xfId="0" applyFont="1" applyBorder="1" applyAlignment="1"/>
    <xf numFmtId="0" fontId="4213" fillId="0" borderId="4213" xfId="0" applyFont="1" applyBorder="1" applyAlignment="1"/>
    <xf numFmtId="0" fontId="4214" fillId="0" borderId="4214" xfId="0" applyFont="1" applyBorder="1" applyAlignment="1"/>
    <xf numFmtId="0" fontId="4215" fillId="0" borderId="4215" xfId="0" applyFont="1" applyBorder="1" applyAlignment="1"/>
    <xf numFmtId="0" fontId="4216" fillId="0" borderId="4216" xfId="0" applyFont="1" applyBorder="1" applyAlignment="1"/>
    <xf numFmtId="0" fontId="4217" fillId="0" borderId="4217" xfId="0" applyFont="1" applyBorder="1" applyAlignment="1"/>
    <xf numFmtId="0" fontId="4218" fillId="0" borderId="4218" xfId="0" applyFont="1" applyBorder="1" applyAlignment="1"/>
    <xf numFmtId="0" fontId="4219" fillId="0" borderId="4219" xfId="0" applyFont="1" applyBorder="1" applyAlignment="1"/>
    <xf numFmtId="0" fontId="4220" fillId="0" borderId="4220" xfId="0" applyFont="1" applyBorder="1" applyAlignment="1"/>
    <xf numFmtId="0" fontId="4221" fillId="0" borderId="4221" xfId="0" applyFont="1" applyBorder="1" applyAlignment="1"/>
    <xf numFmtId="0" fontId="4222" fillId="0" borderId="4222" xfId="0" applyFont="1" applyBorder="1" applyAlignment="1"/>
    <xf numFmtId="0" fontId="4223" fillId="0" borderId="4223" xfId="0" applyFont="1" applyBorder="1" applyAlignment="1"/>
    <xf numFmtId="0" fontId="4224" fillId="0" borderId="4224" xfId="0" applyFont="1" applyBorder="1" applyAlignment="1"/>
    <xf numFmtId="0" fontId="4225" fillId="0" borderId="4225" xfId="0" applyFont="1" applyBorder="1" applyAlignment="1"/>
    <xf numFmtId="0" fontId="4226" fillId="0" borderId="4226" xfId="0" applyFont="1" applyBorder="1" applyAlignment="1"/>
    <xf numFmtId="0" fontId="4227" fillId="0" borderId="4227" xfId="0" applyFont="1" applyBorder="1" applyAlignment="1"/>
    <xf numFmtId="0" fontId="4228" fillId="0" borderId="4228" xfId="0" applyFont="1" applyBorder="1" applyAlignment="1"/>
    <xf numFmtId="0" fontId="4229" fillId="0" borderId="4229" xfId="0" applyFont="1" applyBorder="1" applyAlignment="1"/>
    <xf numFmtId="0" fontId="4230" fillId="0" borderId="4230" xfId="0" applyFont="1" applyBorder="1" applyAlignment="1"/>
    <xf numFmtId="0" fontId="4231" fillId="0" borderId="4231" xfId="0" applyFont="1" applyBorder="1" applyAlignment="1"/>
    <xf numFmtId="0" fontId="4232" fillId="0" borderId="4232" xfId="0" applyFont="1" applyBorder="1" applyAlignment="1"/>
    <xf numFmtId="0" fontId="4233" fillId="0" borderId="4233" xfId="0" applyFont="1" applyBorder="1" applyAlignment="1"/>
    <xf numFmtId="0" fontId="4234" fillId="0" borderId="4234" xfId="0" applyFont="1" applyBorder="1" applyAlignment="1"/>
    <xf numFmtId="0" fontId="4235" fillId="0" borderId="4235" xfId="0" applyFont="1" applyBorder="1" applyAlignment="1"/>
    <xf numFmtId="0" fontId="4236" fillId="0" borderId="4236" xfId="0" applyFont="1" applyBorder="1" applyAlignment="1"/>
    <xf numFmtId="0" fontId="4237" fillId="0" borderId="4237" xfId="0" applyFont="1" applyBorder="1" applyAlignment="1"/>
    <xf numFmtId="0" fontId="4238" fillId="0" borderId="4238" xfId="0" applyFont="1" applyBorder="1" applyAlignment="1"/>
    <xf numFmtId="0" fontId="4239" fillId="0" borderId="4239" xfId="0" applyFont="1" applyBorder="1" applyAlignment="1"/>
    <xf numFmtId="0" fontId="4240" fillId="0" borderId="4240" xfId="0" applyFont="1" applyBorder="1" applyAlignment="1"/>
    <xf numFmtId="0" fontId="4241" fillId="0" borderId="4241" xfId="0" applyFont="1" applyBorder="1" applyAlignment="1"/>
    <xf numFmtId="0" fontId="4242" fillId="0" borderId="4242" xfId="0" applyFont="1" applyBorder="1" applyAlignment="1"/>
    <xf numFmtId="0" fontId="4243" fillId="0" borderId="4243" xfId="0" applyFont="1" applyBorder="1" applyAlignment="1"/>
    <xf numFmtId="0" fontId="4244" fillId="0" borderId="4244" xfId="0" applyFont="1" applyBorder="1" applyAlignment="1"/>
    <xf numFmtId="0" fontId="4245" fillId="0" borderId="4245" xfId="0" applyFont="1" applyBorder="1" applyAlignment="1"/>
    <xf numFmtId="0" fontId="4246" fillId="0" borderId="4246" xfId="0" applyFont="1" applyBorder="1" applyAlignment="1"/>
    <xf numFmtId="0" fontId="4247" fillId="0" borderId="4247" xfId="0" applyFont="1" applyBorder="1" applyAlignment="1"/>
    <xf numFmtId="0" fontId="4248" fillId="0" borderId="4248" xfId="0" applyFont="1" applyBorder="1" applyAlignment="1"/>
    <xf numFmtId="0" fontId="4249" fillId="0" borderId="4249" xfId="0" applyFont="1" applyBorder="1" applyAlignment="1"/>
    <xf numFmtId="0" fontId="4250" fillId="0" borderId="4250" xfId="0" applyFont="1" applyBorder="1" applyAlignment="1"/>
    <xf numFmtId="0" fontId="4251" fillId="0" borderId="4251" xfId="0" applyFont="1" applyBorder="1" applyAlignment="1"/>
    <xf numFmtId="0" fontId="4252" fillId="0" borderId="4252" xfId="0" applyFont="1" applyBorder="1" applyAlignment="1"/>
    <xf numFmtId="0" fontId="4253" fillId="0" borderId="4253" xfId="0" applyFont="1" applyBorder="1" applyAlignment="1"/>
    <xf numFmtId="0" fontId="4254" fillId="0" borderId="4254" xfId="0" applyFont="1" applyBorder="1" applyAlignment="1"/>
    <xf numFmtId="0" fontId="4255" fillId="0" borderId="4255" xfId="0" applyFont="1" applyBorder="1" applyAlignment="1"/>
    <xf numFmtId="0" fontId="4256" fillId="0" borderId="4256" xfId="0" applyFont="1" applyBorder="1" applyAlignment="1"/>
    <xf numFmtId="0" fontId="4257" fillId="0" borderId="4257" xfId="0" applyFont="1" applyBorder="1" applyAlignment="1"/>
    <xf numFmtId="0" fontId="4258" fillId="0" borderId="4258" xfId="0" applyFont="1" applyBorder="1" applyAlignment="1"/>
    <xf numFmtId="0" fontId="4259" fillId="0" borderId="4259" xfId="0" applyFont="1" applyBorder="1" applyAlignment="1"/>
    <xf numFmtId="0" fontId="4260" fillId="0" borderId="4260" xfId="0" applyFont="1" applyBorder="1" applyAlignment="1"/>
    <xf numFmtId="0" fontId="4261" fillId="0" borderId="4261" xfId="0" applyFont="1" applyBorder="1" applyAlignment="1"/>
    <xf numFmtId="0" fontId="4262" fillId="0" borderId="4262" xfId="0" applyFont="1" applyBorder="1" applyAlignment="1"/>
    <xf numFmtId="0" fontId="4263" fillId="0" borderId="4263" xfId="0" applyFont="1" applyBorder="1" applyAlignment="1"/>
    <xf numFmtId="0" fontId="4264" fillId="0" borderId="4264" xfId="0" applyFont="1" applyBorder="1" applyAlignment="1"/>
    <xf numFmtId="0" fontId="4265" fillId="0" borderId="4265" xfId="0" applyFont="1" applyBorder="1" applyAlignment="1"/>
    <xf numFmtId="0" fontId="4266" fillId="0" borderId="4266" xfId="0" applyFont="1" applyBorder="1" applyAlignment="1"/>
    <xf numFmtId="0" fontId="4267" fillId="0" borderId="4267" xfId="0" applyFont="1" applyBorder="1" applyAlignment="1"/>
    <xf numFmtId="0" fontId="4268" fillId="0" borderId="4268" xfId="0" applyFont="1" applyBorder="1" applyAlignment="1"/>
    <xf numFmtId="0" fontId="4269" fillId="0" borderId="4269" xfId="0" applyFont="1" applyBorder="1" applyAlignment="1"/>
    <xf numFmtId="0" fontId="4270" fillId="0" borderId="4270" xfId="0" applyFont="1" applyBorder="1" applyAlignment="1"/>
    <xf numFmtId="0" fontId="4271" fillId="0" borderId="4271" xfId="0" applyFont="1" applyBorder="1" applyAlignment="1"/>
    <xf numFmtId="0" fontId="4272" fillId="0" borderId="4272" xfId="0" applyFont="1" applyBorder="1" applyAlignment="1"/>
    <xf numFmtId="0" fontId="4273" fillId="0" borderId="4273" xfId="0" applyFont="1" applyBorder="1" applyAlignment="1"/>
    <xf numFmtId="0" fontId="4274" fillId="0" borderId="4274" xfId="0" applyFont="1" applyBorder="1" applyAlignment="1"/>
    <xf numFmtId="0" fontId="4275" fillId="0" borderId="4275" xfId="0" applyFont="1" applyBorder="1" applyAlignment="1"/>
    <xf numFmtId="0" fontId="4276" fillId="0" borderId="4276" xfId="0" applyFont="1" applyBorder="1" applyAlignment="1"/>
    <xf numFmtId="0" fontId="4277" fillId="0" borderId="4277" xfId="0" applyFont="1" applyBorder="1" applyAlignment="1"/>
    <xf numFmtId="0" fontId="4278" fillId="0" borderId="4278" xfId="0" applyFont="1" applyBorder="1" applyAlignment="1"/>
    <xf numFmtId="0" fontId="4279" fillId="0" borderId="4279" xfId="0" applyFont="1" applyBorder="1" applyAlignment="1"/>
    <xf numFmtId="0" fontId="4280" fillId="0" borderId="4280" xfId="0" applyFont="1" applyBorder="1" applyAlignment="1"/>
    <xf numFmtId="0" fontId="4281" fillId="0" borderId="4281" xfId="0" applyFont="1" applyBorder="1" applyAlignment="1"/>
    <xf numFmtId="0" fontId="4282" fillId="0" borderId="4282" xfId="0" applyFont="1" applyBorder="1" applyAlignment="1"/>
    <xf numFmtId="0" fontId="4283" fillId="0" borderId="4283" xfId="0" applyFont="1" applyBorder="1" applyAlignment="1"/>
    <xf numFmtId="0" fontId="4284" fillId="0" borderId="4284" xfId="0" applyFont="1" applyBorder="1" applyAlignment="1"/>
    <xf numFmtId="0" fontId="4285" fillId="0" borderId="4285" xfId="0" applyFont="1" applyBorder="1" applyAlignment="1"/>
    <xf numFmtId="0" fontId="4286" fillId="0" borderId="4286" xfId="0" applyFont="1" applyBorder="1" applyAlignment="1"/>
    <xf numFmtId="0" fontId="4287" fillId="0" borderId="4287" xfId="0" applyFont="1" applyBorder="1" applyAlignment="1"/>
    <xf numFmtId="0" fontId="4288" fillId="0" borderId="4288" xfId="0" applyFont="1" applyBorder="1" applyAlignment="1"/>
    <xf numFmtId="0" fontId="4289" fillId="0" borderId="4289" xfId="0" applyFont="1" applyBorder="1" applyAlignment="1"/>
    <xf numFmtId="0" fontId="4290" fillId="0" borderId="4290" xfId="0" applyFont="1" applyBorder="1" applyAlignment="1"/>
    <xf numFmtId="0" fontId="4291" fillId="0" borderId="4291" xfId="0" applyFont="1" applyBorder="1" applyAlignment="1"/>
    <xf numFmtId="0" fontId="4292" fillId="0" borderId="4292" xfId="0" applyFont="1" applyBorder="1" applyAlignment="1"/>
    <xf numFmtId="0" fontId="4293" fillId="0" borderId="4293" xfId="0" applyFont="1" applyBorder="1" applyAlignment="1"/>
    <xf numFmtId="0" fontId="4294" fillId="0" borderId="4294" xfId="0" applyFont="1" applyBorder="1" applyAlignment="1"/>
    <xf numFmtId="0" fontId="4295" fillId="0" borderId="4295" xfId="0" applyFont="1" applyBorder="1" applyAlignment="1"/>
    <xf numFmtId="0" fontId="4296" fillId="0" borderId="4296" xfId="0" applyFont="1" applyBorder="1" applyAlignment="1"/>
    <xf numFmtId="0" fontId="4297" fillId="0" borderId="4297" xfId="0" applyFont="1" applyBorder="1" applyAlignment="1"/>
    <xf numFmtId="0" fontId="4298" fillId="0" borderId="4298" xfId="0" applyFont="1" applyBorder="1" applyAlignment="1"/>
    <xf numFmtId="0" fontId="4299" fillId="0" borderId="4299" xfId="0" applyFont="1" applyBorder="1" applyAlignment="1"/>
    <xf numFmtId="0" fontId="4300" fillId="0" borderId="4300" xfId="0" applyFont="1" applyBorder="1" applyAlignment="1"/>
    <xf numFmtId="0" fontId="4301" fillId="0" borderId="4301" xfId="0" applyFont="1" applyBorder="1" applyAlignment="1"/>
    <xf numFmtId="0" fontId="4302" fillId="0" borderId="4302" xfId="0" applyFont="1" applyBorder="1" applyAlignment="1"/>
    <xf numFmtId="0" fontId="4303" fillId="0" borderId="4303" xfId="0" applyFont="1" applyBorder="1" applyAlignment="1"/>
    <xf numFmtId="0" fontId="4304" fillId="0" borderId="4304" xfId="0" applyFont="1" applyBorder="1" applyAlignment="1"/>
    <xf numFmtId="0" fontId="4305" fillId="0" borderId="4305" xfId="0" applyFont="1" applyBorder="1" applyAlignment="1"/>
    <xf numFmtId="0" fontId="4306" fillId="0" borderId="4306" xfId="0" applyFont="1" applyBorder="1" applyAlignment="1"/>
    <xf numFmtId="0" fontId="4307" fillId="0" borderId="4307" xfId="0" applyFont="1" applyBorder="1" applyAlignment="1"/>
    <xf numFmtId="0" fontId="4308" fillId="0" borderId="4308" xfId="0" applyFont="1" applyBorder="1" applyAlignment="1"/>
    <xf numFmtId="0" fontId="4309" fillId="0" borderId="4309" xfId="0" applyFont="1" applyBorder="1" applyAlignment="1"/>
    <xf numFmtId="0" fontId="4310" fillId="0" borderId="4310" xfId="0" applyFont="1" applyBorder="1" applyAlignment="1"/>
    <xf numFmtId="0" fontId="4311" fillId="0" borderId="4311" xfId="0" applyFont="1" applyBorder="1" applyAlignment="1"/>
    <xf numFmtId="0" fontId="4312" fillId="0" borderId="4312" xfId="0" applyFont="1" applyBorder="1" applyAlignment="1"/>
    <xf numFmtId="0" fontId="4313" fillId="0" borderId="4313" xfId="0" applyFont="1" applyBorder="1" applyAlignment="1"/>
    <xf numFmtId="0" fontId="4314" fillId="0" borderId="4314" xfId="0" applyFont="1" applyBorder="1" applyAlignment="1"/>
    <xf numFmtId="0" fontId="4315" fillId="0" borderId="4315" xfId="0" applyFont="1" applyBorder="1" applyAlignment="1"/>
    <xf numFmtId="0" fontId="4316" fillId="0" borderId="4316" xfId="0" applyFont="1" applyBorder="1" applyAlignment="1"/>
    <xf numFmtId="0" fontId="4317" fillId="0" borderId="4317" xfId="0" applyFont="1" applyBorder="1" applyAlignment="1"/>
    <xf numFmtId="0" fontId="4318" fillId="0" borderId="4318" xfId="0" applyFont="1" applyBorder="1" applyAlignment="1"/>
    <xf numFmtId="0" fontId="4319" fillId="0" borderId="4319" xfId="0" applyFont="1" applyBorder="1" applyAlignment="1"/>
    <xf numFmtId="0" fontId="4320" fillId="0" borderId="4320" xfId="0" applyFont="1" applyBorder="1" applyAlignment="1"/>
    <xf numFmtId="0" fontId="4321" fillId="0" borderId="4321" xfId="0" applyFont="1" applyBorder="1" applyAlignment="1"/>
    <xf numFmtId="0" fontId="4322" fillId="0" borderId="4322" xfId="0" applyFont="1" applyBorder="1" applyAlignment="1"/>
    <xf numFmtId="0" fontId="4323" fillId="0" borderId="4323" xfId="0" applyFont="1" applyBorder="1" applyAlignment="1"/>
    <xf numFmtId="0" fontId="4324" fillId="0" borderId="4324" xfId="0" applyFont="1" applyBorder="1" applyAlignment="1"/>
    <xf numFmtId="0" fontId="4325" fillId="0" borderId="4325" xfId="0" applyFont="1" applyBorder="1" applyAlignment="1"/>
    <xf numFmtId="0" fontId="4326" fillId="0" borderId="4326" xfId="0" applyFont="1" applyBorder="1" applyAlignment="1"/>
    <xf numFmtId="0" fontId="4327" fillId="0" borderId="4327" xfId="0" applyFont="1" applyBorder="1" applyAlignment="1"/>
    <xf numFmtId="0" fontId="4328" fillId="0" borderId="4328" xfId="0" applyFont="1" applyBorder="1" applyAlignment="1"/>
    <xf numFmtId="0" fontId="4329" fillId="0" borderId="4329" xfId="0" applyFont="1" applyBorder="1" applyAlignment="1"/>
    <xf numFmtId="0" fontId="4330" fillId="0" borderId="4330" xfId="0" applyFont="1" applyBorder="1" applyAlignment="1"/>
    <xf numFmtId="0" fontId="4331" fillId="0" borderId="4331" xfId="0" applyFont="1" applyBorder="1" applyAlignment="1"/>
    <xf numFmtId="0" fontId="4332" fillId="0" borderId="4332" xfId="0" applyFont="1" applyBorder="1" applyAlignment="1"/>
    <xf numFmtId="0" fontId="4333" fillId="0" borderId="4333" xfId="0" applyFont="1" applyBorder="1" applyAlignment="1"/>
    <xf numFmtId="0" fontId="4334" fillId="0" borderId="4334" xfId="0" applyFont="1" applyBorder="1" applyAlignment="1"/>
    <xf numFmtId="0" fontId="4335" fillId="0" borderId="4335" xfId="0" applyFont="1" applyBorder="1" applyAlignment="1"/>
    <xf numFmtId="0" fontId="4336" fillId="0" borderId="4336" xfId="0" applyFont="1" applyBorder="1" applyAlignment="1"/>
    <xf numFmtId="0" fontId="4337" fillId="0" borderId="4337" xfId="0" applyFont="1" applyBorder="1" applyAlignment="1"/>
    <xf numFmtId="0" fontId="4338" fillId="0" borderId="4338" xfId="0" applyFont="1" applyBorder="1" applyAlignment="1"/>
    <xf numFmtId="0" fontId="4339" fillId="0" borderId="4339" xfId="0" applyFont="1" applyBorder="1" applyAlignment="1"/>
    <xf numFmtId="0" fontId="4340" fillId="0" borderId="4340" xfId="0" applyFont="1" applyBorder="1" applyAlignment="1"/>
    <xf numFmtId="0" fontId="4341" fillId="0" borderId="4341" xfId="0" applyFont="1" applyBorder="1" applyAlignment="1"/>
    <xf numFmtId="0" fontId="4342" fillId="0" borderId="4342" xfId="0" applyFont="1" applyBorder="1" applyAlignment="1"/>
    <xf numFmtId="0" fontId="4343" fillId="0" borderId="4343" xfId="0" applyFont="1" applyBorder="1" applyAlignment="1"/>
    <xf numFmtId="0" fontId="4344" fillId="0" borderId="4344" xfId="0" applyFont="1" applyBorder="1" applyAlignment="1"/>
    <xf numFmtId="0" fontId="4345" fillId="0" borderId="4345" xfId="0" applyFont="1" applyBorder="1" applyAlignment="1"/>
    <xf numFmtId="0" fontId="4346" fillId="0" borderId="4346" xfId="0" applyFont="1" applyBorder="1" applyAlignment="1"/>
    <xf numFmtId="0" fontId="4347" fillId="0" borderId="4347" xfId="0" applyFont="1" applyBorder="1" applyAlignment="1"/>
    <xf numFmtId="0" fontId="4348" fillId="0" borderId="4348" xfId="0" applyFont="1" applyBorder="1" applyAlignment="1"/>
    <xf numFmtId="0" fontId="4349" fillId="0" borderId="4349" xfId="0" applyFont="1" applyBorder="1" applyAlignment="1"/>
    <xf numFmtId="0" fontId="4350" fillId="0" borderId="4350" xfId="0" applyFont="1" applyBorder="1" applyAlignment="1"/>
    <xf numFmtId="0" fontId="4351" fillId="0" borderId="4351" xfId="0" applyFont="1" applyBorder="1" applyAlignment="1"/>
    <xf numFmtId="0" fontId="4352" fillId="0" borderId="4352" xfId="0" applyFont="1" applyBorder="1" applyAlignment="1"/>
    <xf numFmtId="0" fontId="4353" fillId="0" borderId="4353" xfId="0" applyFont="1" applyBorder="1" applyAlignment="1"/>
    <xf numFmtId="0" fontId="4354" fillId="0" borderId="4354" xfId="0" applyFont="1" applyBorder="1" applyAlignment="1"/>
    <xf numFmtId="0" fontId="4355" fillId="0" borderId="4355" xfId="0" applyFont="1" applyBorder="1" applyAlignment="1"/>
    <xf numFmtId="0" fontId="4356" fillId="0" borderId="4356" xfId="0" applyFont="1" applyBorder="1" applyAlignment="1"/>
    <xf numFmtId="0" fontId="4357" fillId="0" borderId="4357" xfId="0" applyFont="1" applyBorder="1" applyAlignment="1"/>
    <xf numFmtId="0" fontId="4358" fillId="0" borderId="4358" xfId="0" applyFont="1" applyBorder="1" applyAlignment="1"/>
    <xf numFmtId="0" fontId="4359" fillId="0" borderId="4359" xfId="0" applyFont="1" applyBorder="1" applyAlignment="1"/>
    <xf numFmtId="0" fontId="4360" fillId="0" borderId="4360" xfId="0" applyFont="1" applyBorder="1" applyAlignment="1"/>
    <xf numFmtId="0" fontId="4361" fillId="0" borderId="4361" xfId="0" applyFont="1" applyBorder="1" applyAlignment="1"/>
    <xf numFmtId="0" fontId="4362" fillId="0" borderId="4362" xfId="0" applyFont="1" applyBorder="1" applyAlignment="1"/>
    <xf numFmtId="0" fontId="4363" fillId="0" borderId="4363" xfId="0" applyFont="1" applyBorder="1" applyAlignment="1"/>
    <xf numFmtId="0" fontId="4364" fillId="0" borderId="4364" xfId="0" applyFont="1" applyBorder="1" applyAlignment="1"/>
    <xf numFmtId="0" fontId="4365" fillId="0" borderId="4365" xfId="0" applyFont="1" applyBorder="1" applyAlignment="1"/>
    <xf numFmtId="0" fontId="4366" fillId="0" borderId="4366" xfId="0" applyFont="1" applyBorder="1" applyAlignment="1"/>
    <xf numFmtId="0" fontId="4367" fillId="0" borderId="4367" xfId="0" applyFont="1" applyBorder="1" applyAlignment="1"/>
    <xf numFmtId="0" fontId="4368" fillId="0" borderId="4368" xfId="0" applyFont="1" applyBorder="1" applyAlignment="1"/>
    <xf numFmtId="0" fontId="4369" fillId="0" borderId="4369" xfId="0" applyFont="1" applyBorder="1" applyAlignment="1"/>
    <xf numFmtId="0" fontId="4370" fillId="0" borderId="4370" xfId="0" applyFont="1" applyBorder="1" applyAlignment="1"/>
    <xf numFmtId="0" fontId="4371" fillId="0" borderId="4371" xfId="0" applyFont="1" applyBorder="1" applyAlignment="1"/>
    <xf numFmtId="0" fontId="4372" fillId="0" borderId="4372" xfId="0" applyFont="1" applyBorder="1" applyAlignment="1"/>
    <xf numFmtId="0" fontId="4373" fillId="0" borderId="4373" xfId="0" applyFont="1" applyBorder="1" applyAlignment="1"/>
    <xf numFmtId="0" fontId="4374" fillId="0" borderId="4374" xfId="0" applyFont="1" applyBorder="1" applyAlignment="1"/>
    <xf numFmtId="0" fontId="4375" fillId="0" borderId="4375" xfId="0" applyFont="1" applyBorder="1" applyAlignment="1"/>
    <xf numFmtId="0" fontId="4376" fillId="0" borderId="4376" xfId="0" applyFont="1" applyBorder="1" applyAlignment="1"/>
    <xf numFmtId="0" fontId="4377" fillId="0" borderId="4377" xfId="0" applyFont="1" applyBorder="1" applyAlignment="1"/>
    <xf numFmtId="0" fontId="4378" fillId="0" borderId="4378" xfId="0" applyFont="1" applyBorder="1" applyAlignment="1"/>
    <xf numFmtId="0" fontId="4379" fillId="0" borderId="4379" xfId="0" applyFont="1" applyBorder="1" applyAlignment="1"/>
    <xf numFmtId="0" fontId="4380" fillId="0" borderId="4380" xfId="0" applyFont="1" applyBorder="1" applyAlignment="1"/>
    <xf numFmtId="0" fontId="4381" fillId="0" borderId="4381" xfId="0" applyFont="1" applyBorder="1" applyAlignment="1"/>
    <xf numFmtId="0" fontId="4382" fillId="0" borderId="4382" xfId="0" applyFont="1" applyBorder="1" applyAlignment="1"/>
    <xf numFmtId="0" fontId="4383" fillId="0" borderId="4383" xfId="0" applyFont="1" applyBorder="1" applyAlignment="1"/>
    <xf numFmtId="0" fontId="4384" fillId="0" borderId="4384" xfId="0" applyFont="1" applyBorder="1" applyAlignment="1"/>
    <xf numFmtId="0" fontId="4385" fillId="0" borderId="4385" xfId="0" applyFont="1" applyBorder="1" applyAlignment="1"/>
    <xf numFmtId="0" fontId="4386" fillId="0" borderId="4386" xfId="0" applyFont="1" applyBorder="1" applyAlignment="1"/>
    <xf numFmtId="0" fontId="4387" fillId="0" borderId="4387" xfId="0" applyFont="1" applyBorder="1" applyAlignment="1"/>
    <xf numFmtId="0" fontId="4388" fillId="0" borderId="4388" xfId="0" applyFont="1" applyBorder="1" applyAlignment="1"/>
    <xf numFmtId="0" fontId="4389" fillId="0" borderId="4389" xfId="0" applyFont="1" applyBorder="1" applyAlignment="1"/>
    <xf numFmtId="0" fontId="4390" fillId="0" borderId="4390" xfId="0" applyFont="1" applyBorder="1" applyAlignment="1"/>
    <xf numFmtId="0" fontId="4391" fillId="0" borderId="4391" xfId="0" applyFont="1" applyBorder="1" applyAlignment="1"/>
    <xf numFmtId="0" fontId="4392" fillId="0" borderId="4392" xfId="0" applyFont="1" applyBorder="1" applyAlignment="1"/>
    <xf numFmtId="0" fontId="4393" fillId="0" borderId="4393" xfId="0" applyFont="1" applyBorder="1" applyAlignment="1"/>
    <xf numFmtId="0" fontId="4394" fillId="0" borderId="4394" xfId="0" applyFont="1" applyBorder="1" applyAlignment="1"/>
    <xf numFmtId="0" fontId="4395" fillId="0" borderId="4395" xfId="0" applyFont="1" applyBorder="1" applyAlignment="1"/>
    <xf numFmtId="0" fontId="4396" fillId="0" borderId="4396" xfId="0" applyFont="1" applyBorder="1" applyAlignment="1"/>
    <xf numFmtId="0" fontId="4397" fillId="0" borderId="4397" xfId="0" applyFont="1" applyBorder="1" applyAlignment="1"/>
    <xf numFmtId="0" fontId="4398" fillId="0" borderId="4398" xfId="0" applyFont="1" applyBorder="1" applyAlignment="1"/>
    <xf numFmtId="0" fontId="4399" fillId="0" borderId="4399" xfId="0" applyFont="1" applyBorder="1" applyAlignment="1"/>
    <xf numFmtId="0" fontId="4400" fillId="0" borderId="4400" xfId="0" applyFont="1" applyBorder="1" applyAlignment="1"/>
    <xf numFmtId="0" fontId="4401" fillId="0" borderId="4401" xfId="0" applyFont="1" applyBorder="1" applyAlignment="1"/>
    <xf numFmtId="0" fontId="4402" fillId="0" borderId="4402" xfId="0" applyFont="1" applyBorder="1" applyAlignment="1"/>
    <xf numFmtId="0" fontId="4403" fillId="0" borderId="4403" xfId="0" applyFont="1" applyBorder="1" applyAlignment="1"/>
    <xf numFmtId="0" fontId="4404" fillId="0" borderId="4404" xfId="0" applyFont="1" applyBorder="1" applyAlignment="1"/>
    <xf numFmtId="0" fontId="4405" fillId="0" borderId="4405" xfId="0" applyFont="1" applyBorder="1" applyAlignment="1"/>
    <xf numFmtId="0" fontId="4406" fillId="0" borderId="4406" xfId="0" applyFont="1" applyBorder="1" applyAlignment="1"/>
    <xf numFmtId="0" fontId="4407" fillId="0" borderId="4407" xfId="0" applyFont="1" applyBorder="1" applyAlignment="1"/>
    <xf numFmtId="0" fontId="4408" fillId="0" borderId="4408" xfId="0" applyFont="1" applyBorder="1" applyAlignment="1"/>
    <xf numFmtId="0" fontId="4409" fillId="0" borderId="4409" xfId="0" applyFont="1" applyBorder="1" applyAlignment="1"/>
    <xf numFmtId="0" fontId="4410" fillId="0" borderId="4410" xfId="0" applyFont="1" applyBorder="1" applyAlignment="1"/>
    <xf numFmtId="0" fontId="4411" fillId="0" borderId="4411" xfId="0" applyFont="1" applyBorder="1" applyAlignment="1"/>
    <xf numFmtId="0" fontId="4412" fillId="0" borderId="4412" xfId="0" applyFont="1" applyBorder="1" applyAlignment="1"/>
    <xf numFmtId="0" fontId="4413" fillId="0" borderId="4413" xfId="0" applyFont="1" applyBorder="1" applyAlignment="1"/>
    <xf numFmtId="0" fontId="4414" fillId="0" borderId="4414" xfId="0" applyFont="1" applyBorder="1" applyAlignment="1"/>
    <xf numFmtId="0" fontId="4415" fillId="0" borderId="4415" xfId="0" applyFont="1" applyBorder="1" applyAlignment="1"/>
    <xf numFmtId="0" fontId="4416" fillId="0" borderId="4416" xfId="0" applyFont="1" applyBorder="1" applyAlignment="1"/>
    <xf numFmtId="0" fontId="4417" fillId="0" borderId="4417" xfId="0" applyFont="1" applyBorder="1" applyAlignment="1"/>
    <xf numFmtId="0" fontId="4418" fillId="0" borderId="4418" xfId="0" applyFont="1" applyBorder="1" applyAlignment="1"/>
    <xf numFmtId="0" fontId="4419" fillId="0" borderId="4419" xfId="0" applyFont="1" applyBorder="1" applyAlignment="1"/>
    <xf numFmtId="0" fontId="4420" fillId="0" borderId="4420" xfId="0" applyFont="1" applyBorder="1" applyAlignment="1"/>
    <xf numFmtId="0" fontId="4421" fillId="0" borderId="4421" xfId="0" applyFont="1" applyBorder="1" applyAlignment="1"/>
    <xf numFmtId="0" fontId="4422" fillId="0" borderId="4422" xfId="0" applyFont="1" applyBorder="1" applyAlignment="1"/>
    <xf numFmtId="0" fontId="4423" fillId="0" borderId="4423" xfId="0" applyFont="1" applyBorder="1" applyAlignment="1"/>
    <xf numFmtId="0" fontId="4424" fillId="0" borderId="4424" xfId="0" applyFont="1" applyBorder="1" applyAlignment="1"/>
    <xf numFmtId="0" fontId="4425" fillId="0" borderId="4425" xfId="0" applyFont="1" applyBorder="1" applyAlignment="1"/>
    <xf numFmtId="0" fontId="4426" fillId="0" borderId="4426" xfId="0" applyFont="1" applyBorder="1" applyAlignment="1"/>
    <xf numFmtId="0" fontId="4427" fillId="0" borderId="4427" xfId="0" applyFont="1" applyBorder="1" applyAlignment="1"/>
    <xf numFmtId="0" fontId="4428" fillId="0" borderId="4428" xfId="0" applyFont="1" applyBorder="1" applyAlignment="1"/>
    <xf numFmtId="0" fontId="4429" fillId="0" borderId="4429" xfId="0" applyFont="1" applyBorder="1" applyAlignment="1"/>
    <xf numFmtId="0" fontId="4430" fillId="0" borderId="4430" xfId="0" applyFont="1" applyBorder="1" applyAlignment="1"/>
    <xf numFmtId="0" fontId="4431" fillId="0" borderId="4431" xfId="0" applyFont="1" applyBorder="1" applyAlignment="1"/>
    <xf numFmtId="0" fontId="4432" fillId="0" borderId="4432" xfId="0" applyFont="1" applyBorder="1" applyAlignment="1"/>
    <xf numFmtId="0" fontId="4433" fillId="0" borderId="4433" xfId="0" applyFont="1" applyBorder="1" applyAlignment="1"/>
    <xf numFmtId="0" fontId="4434" fillId="0" borderId="4434" xfId="0" applyFont="1" applyBorder="1" applyAlignment="1"/>
    <xf numFmtId="0" fontId="4435" fillId="0" borderId="4435" xfId="0" applyFont="1" applyBorder="1" applyAlignment="1"/>
    <xf numFmtId="0" fontId="4436" fillId="0" borderId="4436" xfId="0" applyFont="1" applyBorder="1" applyAlignment="1"/>
    <xf numFmtId="0" fontId="4437" fillId="0" borderId="4437" xfId="0" applyFont="1" applyBorder="1" applyAlignment="1"/>
    <xf numFmtId="0" fontId="4438" fillId="0" borderId="4438" xfId="0" applyFont="1" applyBorder="1" applyAlignment="1"/>
    <xf numFmtId="0" fontId="4439" fillId="0" borderId="4439" xfId="0" applyFont="1" applyBorder="1" applyAlignment="1"/>
    <xf numFmtId="0" fontId="4440" fillId="0" borderId="4440" xfId="0" applyFont="1" applyBorder="1" applyAlignment="1"/>
    <xf numFmtId="0" fontId="4441" fillId="0" borderId="4441" xfId="0" applyFont="1" applyBorder="1" applyAlignment="1"/>
    <xf numFmtId="0" fontId="4442" fillId="0" borderId="4442" xfId="0" applyFont="1" applyBorder="1" applyAlignment="1"/>
    <xf numFmtId="0" fontId="4443" fillId="0" borderId="4443" xfId="0" applyFont="1" applyBorder="1" applyAlignment="1"/>
    <xf numFmtId="0" fontId="4444" fillId="0" borderId="4444" xfId="0" applyFont="1" applyBorder="1" applyAlignment="1"/>
    <xf numFmtId="0" fontId="4445" fillId="0" borderId="4445" xfId="0" applyFont="1" applyBorder="1" applyAlignment="1"/>
    <xf numFmtId="0" fontId="4446" fillId="0" borderId="4446" xfId="0" applyFont="1" applyBorder="1" applyAlignment="1"/>
    <xf numFmtId="0" fontId="4447" fillId="0" borderId="4447" xfId="0" applyFont="1" applyBorder="1" applyAlignment="1"/>
    <xf numFmtId="0" fontId="4448" fillId="0" borderId="4448" xfId="0" applyFont="1" applyBorder="1" applyAlignment="1"/>
    <xf numFmtId="0" fontId="4449" fillId="0" borderId="4449" xfId="0" applyFont="1" applyBorder="1" applyAlignment="1"/>
    <xf numFmtId="0" fontId="4450" fillId="0" borderId="4450" xfId="0" applyFont="1" applyBorder="1" applyAlignment="1"/>
    <xf numFmtId="0" fontId="4451" fillId="0" borderId="4451" xfId="0" applyFont="1" applyBorder="1" applyAlignment="1"/>
    <xf numFmtId="0" fontId="4452" fillId="0" borderId="4452" xfId="0" applyFont="1" applyBorder="1" applyAlignment="1"/>
    <xf numFmtId="0" fontId="4453" fillId="0" borderId="4453" xfId="0" applyFont="1" applyBorder="1" applyAlignment="1"/>
    <xf numFmtId="0" fontId="4454" fillId="0" borderId="4454" xfId="0" applyFont="1" applyBorder="1" applyAlignment="1"/>
    <xf numFmtId="0" fontId="4455" fillId="0" borderId="4455" xfId="0" applyFont="1" applyBorder="1" applyAlignment="1"/>
    <xf numFmtId="0" fontId="4456" fillId="0" borderId="4456" xfId="0" applyFont="1" applyBorder="1" applyAlignment="1"/>
    <xf numFmtId="0" fontId="4457" fillId="0" borderId="4457" xfId="0" applyFont="1" applyBorder="1" applyAlignment="1"/>
    <xf numFmtId="0" fontId="4458" fillId="0" borderId="4458" xfId="0" applyFont="1" applyBorder="1" applyAlignment="1"/>
    <xf numFmtId="0" fontId="4459" fillId="0" borderId="4459" xfId="0" applyFont="1" applyBorder="1" applyAlignment="1"/>
    <xf numFmtId="0" fontId="4460" fillId="0" borderId="4460" xfId="0" applyFont="1" applyBorder="1" applyAlignment="1"/>
    <xf numFmtId="0" fontId="4461" fillId="0" borderId="4461" xfId="0" applyFont="1" applyBorder="1" applyAlignment="1"/>
    <xf numFmtId="0" fontId="4462" fillId="0" borderId="4462" xfId="0" applyFont="1" applyBorder="1" applyAlignment="1"/>
    <xf numFmtId="0" fontId="4463" fillId="0" borderId="4463" xfId="0" applyFont="1" applyBorder="1" applyAlignment="1"/>
    <xf numFmtId="0" fontId="4464" fillId="0" borderId="4464" xfId="0" applyFont="1" applyBorder="1" applyAlignment="1"/>
    <xf numFmtId="0" fontId="4465" fillId="0" borderId="4465" xfId="0" applyFont="1" applyBorder="1" applyAlignment="1"/>
    <xf numFmtId="0" fontId="4466" fillId="0" borderId="4466" xfId="0" applyFont="1" applyBorder="1" applyAlignment="1"/>
    <xf numFmtId="0" fontId="4467" fillId="0" borderId="4467" xfId="0" applyFont="1" applyBorder="1" applyAlignment="1"/>
    <xf numFmtId="0" fontId="4468" fillId="0" borderId="4468" xfId="0" applyFont="1" applyBorder="1" applyAlignment="1"/>
    <xf numFmtId="0" fontId="4469" fillId="0" borderId="4469" xfId="0" applyFont="1" applyBorder="1" applyAlignment="1"/>
    <xf numFmtId="0" fontId="4470" fillId="0" borderId="4470" xfId="0" applyFont="1" applyBorder="1" applyAlignment="1"/>
    <xf numFmtId="0" fontId="4471" fillId="0" borderId="4471" xfId="0" applyFont="1" applyBorder="1" applyAlignment="1"/>
    <xf numFmtId="0" fontId="4472" fillId="0" borderId="4472" xfId="0" applyFont="1" applyBorder="1" applyAlignment="1"/>
    <xf numFmtId="0" fontId="4473" fillId="0" borderId="4473" xfId="0" applyFont="1" applyBorder="1" applyAlignment="1"/>
    <xf numFmtId="0" fontId="4474" fillId="0" borderId="4474" xfId="0" applyFont="1" applyBorder="1" applyAlignment="1"/>
    <xf numFmtId="0" fontId="4475" fillId="0" borderId="4475" xfId="0" applyFont="1" applyBorder="1" applyAlignment="1"/>
    <xf numFmtId="0" fontId="4476" fillId="0" borderId="4476" xfId="0" applyFont="1" applyBorder="1" applyAlignment="1"/>
    <xf numFmtId="0" fontId="4477" fillId="0" borderId="4477" xfId="0" applyFont="1" applyBorder="1" applyAlignment="1"/>
    <xf numFmtId="0" fontId="4478" fillId="0" borderId="4478" xfId="0" applyFont="1" applyBorder="1" applyAlignment="1"/>
    <xf numFmtId="0" fontId="4479" fillId="0" borderId="4479" xfId="0" applyFont="1" applyBorder="1" applyAlignment="1"/>
    <xf numFmtId="0" fontId="4480" fillId="0" borderId="4480" xfId="0" applyFont="1" applyBorder="1" applyAlignment="1"/>
    <xf numFmtId="0" fontId="4481" fillId="0" borderId="4481" xfId="0" applyFont="1" applyBorder="1" applyAlignment="1"/>
    <xf numFmtId="0" fontId="4482" fillId="0" borderId="4482" xfId="0" applyFont="1" applyBorder="1" applyAlignment="1"/>
    <xf numFmtId="0" fontId="4483" fillId="0" borderId="4483" xfId="0" applyFont="1" applyBorder="1" applyAlignment="1"/>
    <xf numFmtId="0" fontId="4484" fillId="0" borderId="4484" xfId="0" applyFont="1" applyBorder="1" applyAlignment="1"/>
    <xf numFmtId="0" fontId="4485" fillId="0" borderId="4485" xfId="0" applyFont="1" applyBorder="1" applyAlignment="1"/>
    <xf numFmtId="0" fontId="4486" fillId="0" borderId="4486" xfId="0" applyFont="1" applyBorder="1" applyAlignment="1"/>
    <xf numFmtId="0" fontId="4487" fillId="0" borderId="4487" xfId="0" applyFont="1" applyBorder="1" applyAlignment="1"/>
    <xf numFmtId="0" fontId="4488" fillId="0" borderId="4488" xfId="0" applyFont="1" applyBorder="1" applyAlignment="1"/>
    <xf numFmtId="0" fontId="4489" fillId="0" borderId="4489" xfId="0" applyFont="1" applyBorder="1" applyAlignment="1"/>
    <xf numFmtId="0" fontId="4490" fillId="0" borderId="4490" xfId="0" applyFont="1" applyBorder="1" applyAlignment="1"/>
    <xf numFmtId="0" fontId="4491" fillId="0" borderId="4491" xfId="0" applyFont="1" applyBorder="1" applyAlignment="1"/>
    <xf numFmtId="0" fontId="4492" fillId="0" borderId="4492" xfId="0" applyFont="1" applyBorder="1" applyAlignment="1"/>
    <xf numFmtId="0" fontId="4493" fillId="0" borderId="4493" xfId="0" applyFont="1" applyBorder="1" applyAlignment="1"/>
    <xf numFmtId="0" fontId="4494" fillId="0" borderId="4494" xfId="0" applyFont="1" applyBorder="1" applyAlignment="1"/>
    <xf numFmtId="0" fontId="4495" fillId="0" borderId="4495" xfId="0" applyFont="1" applyBorder="1" applyAlignment="1"/>
    <xf numFmtId="0" fontId="4496" fillId="0" borderId="4496" xfId="0" applyFont="1" applyBorder="1" applyAlignment="1"/>
    <xf numFmtId="0" fontId="4497" fillId="0" borderId="4497" xfId="0" applyFont="1" applyBorder="1" applyAlignment="1"/>
    <xf numFmtId="0" fontId="4498" fillId="0" borderId="4498" xfId="0" applyFont="1" applyBorder="1" applyAlignment="1"/>
    <xf numFmtId="0" fontId="4499" fillId="0" borderId="4499" xfId="0" applyFont="1" applyBorder="1" applyAlignment="1"/>
    <xf numFmtId="0" fontId="4500" fillId="0" borderId="4500" xfId="0" applyFont="1" applyBorder="1" applyAlignment="1"/>
    <xf numFmtId="0" fontId="4501" fillId="0" borderId="4501" xfId="0" applyFont="1" applyBorder="1" applyAlignment="1"/>
    <xf numFmtId="0" fontId="4502" fillId="0" borderId="4502" xfId="0" applyFont="1" applyBorder="1" applyAlignment="1"/>
    <xf numFmtId="0" fontId="4503" fillId="0" borderId="4503" xfId="0" applyFont="1" applyBorder="1" applyAlignment="1"/>
    <xf numFmtId="0" fontId="4504" fillId="0" borderId="4504" xfId="0" applyFont="1" applyBorder="1" applyAlignment="1"/>
    <xf numFmtId="0" fontId="4505" fillId="0" borderId="4505" xfId="0" applyFont="1" applyBorder="1" applyAlignment="1"/>
    <xf numFmtId="0" fontId="4506" fillId="0" borderId="4506" xfId="0" applyFont="1" applyBorder="1" applyAlignment="1"/>
    <xf numFmtId="0" fontId="4507" fillId="0" borderId="4507" xfId="0" applyFont="1" applyBorder="1" applyAlignment="1"/>
    <xf numFmtId="0" fontId="4508" fillId="0" borderId="4508" xfId="0" applyFont="1" applyBorder="1" applyAlignment="1"/>
    <xf numFmtId="0" fontId="4509" fillId="0" borderId="4509" xfId="0" applyFont="1" applyBorder="1" applyAlignment="1"/>
    <xf numFmtId="0" fontId="4510" fillId="0" borderId="4510" xfId="0" applyFont="1" applyBorder="1" applyAlignment="1"/>
    <xf numFmtId="0" fontId="4511" fillId="0" borderId="4511" xfId="0" applyFont="1" applyBorder="1" applyAlignment="1"/>
    <xf numFmtId="0" fontId="4512" fillId="0" borderId="4512" xfId="0" applyFont="1" applyBorder="1" applyAlignment="1"/>
    <xf numFmtId="0" fontId="4513" fillId="0" borderId="4513" xfId="0" applyFont="1" applyBorder="1" applyAlignment="1"/>
    <xf numFmtId="0" fontId="4514" fillId="0" borderId="4514" xfId="0" applyFont="1" applyBorder="1" applyAlignment="1"/>
    <xf numFmtId="0" fontId="4515" fillId="0" borderId="4515" xfId="0" applyFont="1" applyBorder="1" applyAlignment="1"/>
    <xf numFmtId="0" fontId="4516" fillId="0" borderId="4516" xfId="0" applyFont="1" applyBorder="1" applyAlignment="1"/>
    <xf numFmtId="0" fontId="4517" fillId="0" borderId="4517" xfId="0" applyFont="1" applyBorder="1" applyAlignment="1"/>
    <xf numFmtId="0" fontId="4518" fillId="0" borderId="4518" xfId="0" applyFont="1" applyBorder="1" applyAlignment="1"/>
    <xf numFmtId="0" fontId="4519" fillId="0" borderId="4519" xfId="0" applyFont="1" applyBorder="1" applyAlignment="1"/>
    <xf numFmtId="0" fontId="4520" fillId="0" borderId="4520" xfId="0" applyFont="1" applyBorder="1" applyAlignment="1"/>
    <xf numFmtId="0" fontId="4521" fillId="0" borderId="4521" xfId="0" applyFont="1" applyBorder="1" applyAlignment="1"/>
    <xf numFmtId="0" fontId="4522" fillId="0" borderId="4522" xfId="0" applyFont="1" applyBorder="1" applyAlignment="1"/>
    <xf numFmtId="0" fontId="4523" fillId="0" borderId="4523" xfId="0" applyFont="1" applyBorder="1" applyAlignment="1"/>
    <xf numFmtId="0" fontId="4524" fillId="0" borderId="4524" xfId="0" applyFont="1" applyBorder="1" applyAlignment="1"/>
    <xf numFmtId="0" fontId="4525" fillId="0" borderId="4525" xfId="0" applyFont="1" applyBorder="1" applyAlignment="1"/>
    <xf numFmtId="0" fontId="4526" fillId="0" borderId="4526" xfId="0" applyFont="1" applyBorder="1" applyAlignment="1"/>
    <xf numFmtId="0" fontId="4527" fillId="0" borderId="4527" xfId="0" applyFont="1" applyBorder="1" applyAlignment="1"/>
    <xf numFmtId="0" fontId="4528" fillId="0" borderId="4528" xfId="0" applyFont="1" applyBorder="1" applyAlignment="1"/>
    <xf numFmtId="0" fontId="4529" fillId="0" borderId="4529" xfId="0" applyFont="1" applyBorder="1" applyAlignment="1"/>
    <xf numFmtId="0" fontId="4530" fillId="0" borderId="4530" xfId="0" applyFont="1" applyBorder="1" applyAlignment="1"/>
    <xf numFmtId="0" fontId="4531" fillId="0" borderId="4531" xfId="0" applyFont="1" applyBorder="1" applyAlignment="1"/>
    <xf numFmtId="0" fontId="4532" fillId="0" borderId="4532" xfId="0" applyFont="1" applyBorder="1" applyAlignment="1"/>
    <xf numFmtId="0" fontId="4533" fillId="0" borderId="4533" xfId="0" applyFont="1" applyBorder="1" applyAlignment="1"/>
    <xf numFmtId="0" fontId="4534" fillId="0" borderId="4534" xfId="0" applyFont="1" applyBorder="1" applyAlignment="1"/>
    <xf numFmtId="0" fontId="4535" fillId="0" borderId="4535" xfId="0" applyFont="1" applyBorder="1" applyAlignment="1"/>
    <xf numFmtId="0" fontId="4536" fillId="0" borderId="4536" xfId="0" applyFont="1" applyBorder="1" applyAlignment="1"/>
    <xf numFmtId="0" fontId="4537" fillId="0" borderId="4537" xfId="0" applyFont="1" applyBorder="1" applyAlignment="1"/>
    <xf numFmtId="0" fontId="4538" fillId="0" borderId="4538" xfId="0" applyFont="1" applyBorder="1" applyAlignment="1"/>
    <xf numFmtId="0" fontId="4539" fillId="0" borderId="4539" xfId="0" applyFont="1" applyBorder="1" applyAlignment="1"/>
    <xf numFmtId="0" fontId="4540" fillId="0" borderId="4540" xfId="0" applyFont="1" applyBorder="1" applyAlignment="1"/>
    <xf numFmtId="0" fontId="4541" fillId="0" borderId="4541" xfId="0" applyFont="1" applyBorder="1" applyAlignment="1"/>
    <xf numFmtId="0" fontId="4542" fillId="0" borderId="4542" xfId="0" applyFont="1" applyBorder="1" applyAlignment="1"/>
    <xf numFmtId="0" fontId="4543" fillId="0" borderId="4543" xfId="0" applyFont="1" applyBorder="1" applyAlignment="1"/>
    <xf numFmtId="0" fontId="4544" fillId="0" borderId="4544" xfId="0" applyFont="1" applyBorder="1" applyAlignment="1"/>
    <xf numFmtId="0" fontId="4545" fillId="0" borderId="4545" xfId="0" applyFont="1" applyBorder="1" applyAlignment="1"/>
    <xf numFmtId="0" fontId="4546" fillId="0" borderId="4546" xfId="0" applyFont="1" applyBorder="1" applyAlignment="1"/>
    <xf numFmtId="0" fontId="4547" fillId="0" borderId="4547" xfId="0" applyFont="1" applyBorder="1" applyAlignment="1"/>
    <xf numFmtId="0" fontId="4548" fillId="0" borderId="4548" xfId="0" applyFont="1" applyBorder="1" applyAlignment="1"/>
    <xf numFmtId="0" fontId="4549" fillId="0" borderId="4549" xfId="0" applyFont="1" applyBorder="1" applyAlignment="1"/>
    <xf numFmtId="0" fontId="4550" fillId="0" borderId="4550" xfId="0" applyFont="1" applyBorder="1" applyAlignment="1"/>
    <xf numFmtId="0" fontId="4551" fillId="0" borderId="4551" xfId="0" applyFont="1" applyBorder="1" applyAlignment="1"/>
    <xf numFmtId="0" fontId="4552" fillId="0" borderId="4552" xfId="0" applyFont="1" applyBorder="1" applyAlignment="1"/>
    <xf numFmtId="0" fontId="4553" fillId="0" borderId="4553" xfId="0" applyFont="1" applyBorder="1" applyAlignment="1"/>
    <xf numFmtId="0" fontId="4554" fillId="0" borderId="4554" xfId="0" applyFont="1" applyBorder="1" applyAlignment="1"/>
    <xf numFmtId="0" fontId="4555" fillId="0" borderId="4555" xfId="0" applyFont="1" applyBorder="1" applyAlignment="1"/>
    <xf numFmtId="0" fontId="4556" fillId="0" borderId="4556" xfId="0" applyFont="1" applyBorder="1" applyAlignment="1"/>
    <xf numFmtId="0" fontId="4557" fillId="0" borderId="4557" xfId="0" applyFont="1" applyBorder="1" applyAlignment="1"/>
    <xf numFmtId="0" fontId="4558" fillId="0" borderId="4558" xfId="0" applyFont="1" applyBorder="1" applyAlignment="1"/>
    <xf numFmtId="0" fontId="4559" fillId="0" borderId="4559" xfId="0" applyFont="1" applyBorder="1" applyAlignment="1"/>
    <xf numFmtId="0" fontId="4560" fillId="0" borderId="4560" xfId="0" applyFont="1" applyBorder="1" applyAlignment="1"/>
    <xf numFmtId="0" fontId="4561" fillId="0" borderId="4561" xfId="0" applyFont="1" applyBorder="1" applyAlignment="1"/>
    <xf numFmtId="0" fontId="4562" fillId="0" borderId="4562" xfId="0" applyFont="1" applyBorder="1" applyAlignment="1"/>
    <xf numFmtId="0" fontId="4563" fillId="0" borderId="4563" xfId="0" applyFont="1" applyBorder="1" applyAlignment="1"/>
    <xf numFmtId="0" fontId="4564" fillId="0" borderId="4564" xfId="0" applyFont="1" applyBorder="1" applyAlignment="1"/>
    <xf numFmtId="0" fontId="4565" fillId="0" borderId="4565" xfId="0" applyFont="1" applyBorder="1" applyAlignment="1"/>
    <xf numFmtId="0" fontId="4566" fillId="0" borderId="4566" xfId="0" applyFont="1" applyBorder="1" applyAlignment="1"/>
    <xf numFmtId="0" fontId="4567" fillId="0" borderId="4567" xfId="0" applyFont="1" applyBorder="1" applyAlignment="1"/>
    <xf numFmtId="0" fontId="4568" fillId="0" borderId="4568" xfId="0" applyFont="1" applyBorder="1" applyAlignment="1"/>
    <xf numFmtId="0" fontId="4569" fillId="0" borderId="4569" xfId="0" applyFont="1" applyBorder="1" applyAlignment="1"/>
    <xf numFmtId="0" fontId="4570" fillId="0" borderId="4570" xfId="0" applyFont="1" applyBorder="1" applyAlignment="1"/>
    <xf numFmtId="0" fontId="4571" fillId="0" borderId="4571" xfId="0" applyFont="1" applyBorder="1" applyAlignment="1"/>
    <xf numFmtId="0" fontId="4572" fillId="0" borderId="4572" xfId="0" applyFont="1" applyBorder="1" applyAlignment="1"/>
    <xf numFmtId="0" fontId="4573" fillId="0" borderId="4573" xfId="0" applyFont="1" applyBorder="1" applyAlignment="1"/>
    <xf numFmtId="0" fontId="4574" fillId="0" borderId="4574" xfId="0" applyFont="1" applyBorder="1" applyAlignment="1"/>
    <xf numFmtId="0" fontId="4575" fillId="0" borderId="4575" xfId="0" applyFont="1" applyBorder="1" applyAlignment="1"/>
    <xf numFmtId="0" fontId="4576" fillId="0" borderId="4576" xfId="0" applyFont="1" applyBorder="1" applyAlignment="1"/>
    <xf numFmtId="0" fontId="4577" fillId="0" borderId="4577" xfId="0" applyFont="1" applyBorder="1" applyAlignment="1"/>
    <xf numFmtId="0" fontId="4578" fillId="0" borderId="4578" xfId="0" applyFont="1" applyBorder="1" applyAlignment="1"/>
    <xf numFmtId="0" fontId="4579" fillId="0" borderId="4579" xfId="0" applyFont="1" applyBorder="1" applyAlignment="1"/>
    <xf numFmtId="0" fontId="4580" fillId="0" borderId="4580" xfId="0" applyFont="1" applyBorder="1" applyAlignment="1"/>
    <xf numFmtId="0" fontId="4581" fillId="0" borderId="4581" xfId="0" applyFont="1" applyBorder="1" applyAlignment="1"/>
    <xf numFmtId="0" fontId="4582" fillId="0" borderId="4582" xfId="0" applyFont="1" applyBorder="1" applyAlignment="1"/>
    <xf numFmtId="0" fontId="4583" fillId="0" borderId="4583" xfId="0" applyFont="1" applyBorder="1" applyAlignment="1"/>
    <xf numFmtId="0" fontId="4584" fillId="0" borderId="4584" xfId="0" applyFont="1" applyBorder="1" applyAlignment="1"/>
    <xf numFmtId="0" fontId="4585" fillId="0" borderId="4585" xfId="0" applyFont="1" applyBorder="1" applyAlignment="1"/>
    <xf numFmtId="0" fontId="4586" fillId="0" borderId="4586" xfId="0" applyFont="1" applyBorder="1" applyAlignment="1"/>
    <xf numFmtId="0" fontId="4587" fillId="0" borderId="4587" xfId="0" applyFont="1" applyBorder="1" applyAlignment="1"/>
    <xf numFmtId="0" fontId="4588" fillId="0" borderId="4588" xfId="0" applyFont="1" applyBorder="1" applyAlignment="1"/>
    <xf numFmtId="0" fontId="4589" fillId="0" borderId="4589" xfId="0" applyFont="1" applyBorder="1" applyAlignment="1"/>
    <xf numFmtId="0" fontId="4590" fillId="0" borderId="4590" xfId="0" applyFont="1" applyBorder="1" applyAlignment="1"/>
    <xf numFmtId="0" fontId="4591" fillId="0" borderId="4591" xfId="0" applyFont="1" applyBorder="1" applyAlignment="1"/>
    <xf numFmtId="0" fontId="4592" fillId="0" borderId="4592" xfId="0" applyFont="1" applyBorder="1" applyAlignment="1"/>
    <xf numFmtId="0" fontId="4593" fillId="0" borderId="4593" xfId="0" applyFont="1" applyBorder="1" applyAlignment="1"/>
    <xf numFmtId="0" fontId="4594" fillId="0" borderId="4594" xfId="0" applyFont="1" applyBorder="1" applyAlignment="1"/>
    <xf numFmtId="0" fontId="4595" fillId="0" borderId="4595" xfId="0" applyFont="1" applyBorder="1" applyAlignment="1"/>
    <xf numFmtId="0" fontId="4596" fillId="0" borderId="4596" xfId="0" applyFont="1" applyBorder="1" applyAlignment="1"/>
    <xf numFmtId="0" fontId="4597" fillId="0" borderId="4597" xfId="0" applyFont="1" applyBorder="1" applyAlignment="1"/>
    <xf numFmtId="0" fontId="4598" fillId="0" borderId="4598" xfId="0" applyFont="1" applyBorder="1" applyAlignment="1"/>
    <xf numFmtId="0" fontId="4599" fillId="0" borderId="4599" xfId="0" applyFont="1" applyBorder="1" applyAlignment="1"/>
    <xf numFmtId="0" fontId="4600" fillId="0" borderId="4600" xfId="0" applyFont="1" applyBorder="1" applyAlignment="1"/>
    <xf numFmtId="0" fontId="4601" fillId="0" borderId="4601" xfId="0" applyFont="1" applyBorder="1" applyAlignment="1"/>
    <xf numFmtId="0" fontId="4602" fillId="0" borderId="4602" xfId="0" applyFont="1" applyBorder="1" applyAlignment="1"/>
    <xf numFmtId="0" fontId="4603" fillId="0" borderId="4603" xfId="0" applyFont="1" applyBorder="1" applyAlignment="1"/>
    <xf numFmtId="0" fontId="4604" fillId="0" borderId="4604" xfId="0" applyFont="1" applyBorder="1" applyAlignment="1"/>
    <xf numFmtId="0" fontId="4605" fillId="0" borderId="4605" xfId="0" applyFont="1" applyBorder="1" applyAlignment="1"/>
    <xf numFmtId="0" fontId="4606" fillId="0" borderId="4606" xfId="0" applyFont="1" applyBorder="1" applyAlignment="1"/>
    <xf numFmtId="0" fontId="4607" fillId="0" borderId="4607" xfId="0" applyFont="1" applyBorder="1" applyAlignment="1"/>
    <xf numFmtId="0" fontId="4608" fillId="0" borderId="4608" xfId="0" applyFont="1" applyBorder="1" applyAlignment="1"/>
    <xf numFmtId="0" fontId="4609" fillId="0" borderId="4609" xfId="0" applyFont="1" applyBorder="1" applyAlignment="1"/>
    <xf numFmtId="0" fontId="4610" fillId="0" borderId="4610" xfId="0" applyFont="1" applyBorder="1" applyAlignment="1"/>
    <xf numFmtId="0" fontId="4611" fillId="0" borderId="4611" xfId="0" applyFont="1" applyBorder="1" applyAlignment="1"/>
    <xf numFmtId="0" fontId="4612" fillId="0" borderId="4612" xfId="0" applyFont="1" applyBorder="1" applyAlignment="1"/>
    <xf numFmtId="0" fontId="4613" fillId="0" borderId="4613" xfId="0" applyFont="1" applyBorder="1" applyAlignment="1"/>
    <xf numFmtId="0" fontId="4614" fillId="0" borderId="4614" xfId="0" applyFont="1" applyBorder="1" applyAlignment="1"/>
    <xf numFmtId="0" fontId="4615" fillId="0" borderId="4615" xfId="0" applyFont="1" applyBorder="1" applyAlignment="1"/>
    <xf numFmtId="0" fontId="4616" fillId="0" borderId="4616" xfId="0" applyFont="1" applyBorder="1" applyAlignment="1"/>
    <xf numFmtId="0" fontId="4617" fillId="0" borderId="4617" xfId="0" applyFont="1" applyBorder="1" applyAlignment="1"/>
    <xf numFmtId="0" fontId="4618" fillId="0" borderId="4618" xfId="0" applyFont="1" applyBorder="1" applyAlignment="1"/>
    <xf numFmtId="0" fontId="4619" fillId="0" borderId="4619" xfId="0" applyFont="1" applyBorder="1" applyAlignment="1"/>
    <xf numFmtId="0" fontId="4620" fillId="0" borderId="4620" xfId="0" applyFont="1" applyBorder="1" applyAlignment="1"/>
    <xf numFmtId="0" fontId="4621" fillId="0" borderId="4621" xfId="0" applyFont="1" applyBorder="1" applyAlignment="1"/>
    <xf numFmtId="0" fontId="4622" fillId="0" borderId="4622" xfId="0" applyFont="1" applyBorder="1" applyAlignment="1"/>
    <xf numFmtId="0" fontId="4623" fillId="0" borderId="4623" xfId="0" applyFont="1" applyBorder="1" applyAlignment="1"/>
    <xf numFmtId="0" fontId="4624" fillId="0" borderId="4624" xfId="0" applyFont="1" applyBorder="1" applyAlignment="1"/>
    <xf numFmtId="0" fontId="4625" fillId="0" borderId="4625" xfId="0" applyFont="1" applyBorder="1" applyAlignment="1"/>
    <xf numFmtId="0" fontId="4626" fillId="0" borderId="4626" xfId="0" applyFont="1" applyBorder="1" applyAlignment="1"/>
    <xf numFmtId="0" fontId="4627" fillId="0" borderId="4627" xfId="0" applyFont="1" applyBorder="1" applyAlignment="1"/>
    <xf numFmtId="0" fontId="4628" fillId="0" borderId="4628" xfId="0" applyFont="1" applyBorder="1" applyAlignment="1"/>
    <xf numFmtId="0" fontId="4629" fillId="0" borderId="4629" xfId="0" applyFont="1" applyBorder="1" applyAlignment="1"/>
    <xf numFmtId="0" fontId="4630" fillId="0" borderId="4630" xfId="0" applyFont="1" applyBorder="1" applyAlignment="1"/>
    <xf numFmtId="0" fontId="4631" fillId="0" borderId="4631" xfId="0" applyFont="1" applyBorder="1" applyAlignment="1"/>
    <xf numFmtId="0" fontId="4632" fillId="0" borderId="4632" xfId="0" applyFont="1" applyBorder="1" applyAlignment="1"/>
    <xf numFmtId="0" fontId="4633" fillId="0" borderId="4633" xfId="0" applyFont="1" applyBorder="1" applyAlignment="1"/>
    <xf numFmtId="0" fontId="4634" fillId="0" borderId="4634" xfId="0" applyFont="1" applyBorder="1" applyAlignment="1"/>
    <xf numFmtId="0" fontId="4635" fillId="0" borderId="4635" xfId="0" applyFont="1" applyBorder="1" applyAlignment="1"/>
    <xf numFmtId="0" fontId="4636" fillId="0" borderId="4636" xfId="0" applyFont="1" applyBorder="1" applyAlignment="1"/>
    <xf numFmtId="0" fontId="4637" fillId="0" borderId="4637" xfId="0" applyFont="1" applyBorder="1" applyAlignment="1"/>
    <xf numFmtId="0" fontId="4638" fillId="0" borderId="4638" xfId="0" applyFont="1" applyBorder="1" applyAlignment="1"/>
    <xf numFmtId="0" fontId="4639" fillId="0" borderId="4639" xfId="0" applyFont="1" applyBorder="1" applyAlignment="1"/>
    <xf numFmtId="0" fontId="4640" fillId="0" borderId="4640" xfId="0" applyFont="1" applyBorder="1" applyAlignment="1"/>
    <xf numFmtId="0" fontId="4641" fillId="0" borderId="4641" xfId="0" applyFont="1" applyBorder="1" applyAlignment="1"/>
    <xf numFmtId="0" fontId="4642" fillId="0" borderId="4642" xfId="0" applyFont="1" applyBorder="1" applyAlignment="1"/>
    <xf numFmtId="0" fontId="4643" fillId="0" borderId="4643" xfId="0" applyFont="1" applyBorder="1" applyAlignment="1"/>
    <xf numFmtId="0" fontId="4644" fillId="0" borderId="4644" xfId="0" applyFont="1" applyBorder="1" applyAlignment="1"/>
    <xf numFmtId="0" fontId="4645" fillId="0" borderId="4645" xfId="0" applyFont="1" applyBorder="1" applyAlignment="1"/>
    <xf numFmtId="0" fontId="4646" fillId="0" borderId="4646" xfId="0" applyFont="1" applyBorder="1" applyAlignment="1"/>
    <xf numFmtId="0" fontId="4647" fillId="0" borderId="4647" xfId="0" applyFont="1" applyBorder="1" applyAlignment="1"/>
    <xf numFmtId="0" fontId="4648" fillId="0" borderId="4648" xfId="0" applyFont="1" applyBorder="1" applyAlignment="1"/>
    <xf numFmtId="0" fontId="4649" fillId="0" borderId="4649" xfId="0" applyFont="1" applyBorder="1" applyAlignment="1"/>
    <xf numFmtId="0" fontId="4650" fillId="0" borderId="4650" xfId="0" applyFont="1" applyBorder="1" applyAlignment="1"/>
    <xf numFmtId="0" fontId="4651" fillId="0" borderId="4651" xfId="0" applyFont="1" applyBorder="1" applyAlignment="1"/>
    <xf numFmtId="0" fontId="4652" fillId="0" borderId="4652" xfId="0" applyFont="1" applyBorder="1" applyAlignment="1"/>
    <xf numFmtId="0" fontId="4653" fillId="0" borderId="4653" xfId="0" applyFont="1" applyBorder="1" applyAlignment="1"/>
    <xf numFmtId="0" fontId="4654" fillId="0" borderId="4654" xfId="0" applyFont="1" applyBorder="1" applyAlignment="1"/>
    <xf numFmtId="0" fontId="4655" fillId="0" borderId="4655" xfId="0" applyFont="1" applyBorder="1" applyAlignment="1"/>
    <xf numFmtId="0" fontId="4656" fillId="0" borderId="4656" xfId="0" applyFont="1" applyBorder="1" applyAlignment="1"/>
    <xf numFmtId="0" fontId="4657" fillId="0" borderId="4657" xfId="0" applyFont="1" applyBorder="1" applyAlignment="1"/>
    <xf numFmtId="0" fontId="4658" fillId="0" borderId="4658" xfId="0" applyFont="1" applyBorder="1" applyAlignment="1"/>
    <xf numFmtId="0" fontId="4659" fillId="0" borderId="4659" xfId="0" applyFont="1" applyBorder="1" applyAlignment="1"/>
    <xf numFmtId="0" fontId="4660" fillId="0" borderId="4660" xfId="0" applyFont="1" applyBorder="1" applyAlignment="1"/>
    <xf numFmtId="0" fontId="4661" fillId="0" borderId="4661" xfId="0" applyFont="1" applyBorder="1" applyAlignment="1"/>
    <xf numFmtId="0" fontId="4662" fillId="0" borderId="4662" xfId="0" applyFont="1" applyBorder="1" applyAlignment="1"/>
    <xf numFmtId="0" fontId="4663" fillId="0" borderId="4663" xfId="0" applyFont="1" applyBorder="1" applyAlignment="1"/>
    <xf numFmtId="0" fontId="4664" fillId="0" borderId="4664" xfId="0" applyFont="1" applyBorder="1" applyAlignment="1"/>
    <xf numFmtId="0" fontId="4665" fillId="0" borderId="4665" xfId="0" applyFont="1" applyBorder="1" applyAlignment="1"/>
    <xf numFmtId="0" fontId="4666" fillId="0" borderId="4666" xfId="0" applyFont="1" applyBorder="1" applyAlignment="1"/>
    <xf numFmtId="0" fontId="4667" fillId="0" borderId="4667" xfId="0" applyFont="1" applyBorder="1" applyAlignment="1"/>
    <xf numFmtId="0" fontId="4668" fillId="0" borderId="4668" xfId="0" applyFont="1" applyBorder="1" applyAlignment="1"/>
    <xf numFmtId="0" fontId="4669" fillId="0" borderId="4669" xfId="0" applyFont="1" applyBorder="1" applyAlignment="1"/>
    <xf numFmtId="0" fontId="4670" fillId="0" borderId="4670" xfId="0" applyFont="1" applyBorder="1" applyAlignment="1"/>
    <xf numFmtId="0" fontId="4671" fillId="0" borderId="4671" xfId="0" applyFont="1" applyBorder="1" applyAlignment="1"/>
    <xf numFmtId="0" fontId="4672" fillId="0" borderId="4672" xfId="0" applyFont="1" applyBorder="1" applyAlignment="1"/>
    <xf numFmtId="0" fontId="4673" fillId="0" borderId="4673" xfId="0" applyFont="1" applyBorder="1" applyAlignment="1"/>
    <xf numFmtId="0" fontId="4674" fillId="0" borderId="4674" xfId="0" applyFont="1" applyBorder="1" applyAlignment="1"/>
    <xf numFmtId="0" fontId="4675" fillId="0" borderId="4675" xfId="0" applyFont="1" applyBorder="1" applyAlignment="1"/>
    <xf numFmtId="0" fontId="4676" fillId="0" borderId="4676" xfId="0" applyFont="1" applyBorder="1" applyAlignment="1"/>
    <xf numFmtId="0" fontId="4677" fillId="0" borderId="4677" xfId="0" applyFont="1" applyBorder="1" applyAlignment="1"/>
    <xf numFmtId="0" fontId="4678" fillId="0" borderId="4678" xfId="0" applyFont="1" applyBorder="1" applyAlignment="1"/>
    <xf numFmtId="0" fontId="4679" fillId="0" borderId="4679" xfId="0" applyFont="1" applyBorder="1" applyAlignment="1"/>
    <xf numFmtId="0" fontId="4680" fillId="0" borderId="4680" xfId="0" applyFont="1" applyBorder="1" applyAlignment="1"/>
    <xf numFmtId="0" fontId="4681" fillId="0" borderId="4681" xfId="0" applyFont="1" applyBorder="1" applyAlignment="1"/>
    <xf numFmtId="0" fontId="4682" fillId="0" borderId="4682" xfId="0" applyFont="1" applyBorder="1" applyAlignment="1"/>
    <xf numFmtId="0" fontId="4683" fillId="0" borderId="4683" xfId="0" applyFont="1" applyBorder="1" applyAlignment="1"/>
    <xf numFmtId="0" fontId="4684" fillId="0" borderId="4684" xfId="0" applyFont="1" applyBorder="1" applyAlignment="1"/>
    <xf numFmtId="0" fontId="4685" fillId="0" borderId="4685" xfId="0" applyFont="1" applyBorder="1" applyAlignment="1"/>
    <xf numFmtId="0" fontId="4686" fillId="0" borderId="4686" xfId="0" applyFont="1" applyBorder="1" applyAlignment="1"/>
    <xf numFmtId="0" fontId="4687" fillId="0" borderId="4687" xfId="0" applyFont="1" applyBorder="1" applyAlignment="1"/>
    <xf numFmtId="0" fontId="4688" fillId="0" borderId="4688" xfId="0" applyFont="1" applyBorder="1" applyAlignment="1"/>
    <xf numFmtId="0" fontId="4689" fillId="0" borderId="4689" xfId="0" applyFont="1" applyBorder="1" applyAlignment="1"/>
    <xf numFmtId="0" fontId="4690" fillId="0" borderId="4690" xfId="0" applyFont="1" applyBorder="1" applyAlignment="1"/>
    <xf numFmtId="0" fontId="4691" fillId="0" borderId="4691" xfId="0" applyFont="1" applyBorder="1" applyAlignment="1"/>
    <xf numFmtId="0" fontId="4692" fillId="0" borderId="4692" xfId="0" applyFont="1" applyBorder="1" applyAlignment="1"/>
    <xf numFmtId="0" fontId="4693" fillId="0" borderId="4693" xfId="0" applyFont="1" applyBorder="1" applyAlignment="1"/>
    <xf numFmtId="0" fontId="4694" fillId="0" borderId="4694" xfId="0" applyFont="1" applyBorder="1" applyAlignment="1"/>
    <xf numFmtId="0" fontId="4695" fillId="0" borderId="4695" xfId="0" applyFont="1" applyBorder="1" applyAlignment="1"/>
    <xf numFmtId="0" fontId="4696" fillId="0" borderId="4696" xfId="0" applyFont="1" applyBorder="1" applyAlignment="1"/>
    <xf numFmtId="0" fontId="4697" fillId="0" borderId="4697" xfId="0" applyFont="1" applyBorder="1" applyAlignment="1"/>
    <xf numFmtId="0" fontId="4698" fillId="0" borderId="4698" xfId="0" applyFont="1" applyBorder="1" applyAlignment="1"/>
    <xf numFmtId="0" fontId="4699" fillId="0" borderId="4699" xfId="0" applyFont="1" applyBorder="1" applyAlignment="1"/>
    <xf numFmtId="0" fontId="4700" fillId="0" borderId="4700" xfId="0" applyFont="1" applyBorder="1" applyAlignment="1"/>
    <xf numFmtId="0" fontId="4701" fillId="0" borderId="4701" xfId="0" applyFont="1" applyBorder="1" applyAlignment="1"/>
    <xf numFmtId="0" fontId="4702" fillId="0" borderId="4702" xfId="0" applyFont="1" applyBorder="1" applyAlignment="1"/>
    <xf numFmtId="0" fontId="4703" fillId="0" borderId="4703" xfId="0" applyFont="1" applyBorder="1" applyAlignment="1"/>
    <xf numFmtId="0" fontId="4704" fillId="0" borderId="4704" xfId="0" applyFont="1" applyBorder="1" applyAlignment="1"/>
    <xf numFmtId="0" fontId="4705" fillId="0" borderId="4705" xfId="0" applyFont="1" applyBorder="1" applyAlignment="1"/>
    <xf numFmtId="0" fontId="4706" fillId="0" borderId="4706" xfId="0" applyFont="1" applyBorder="1" applyAlignment="1"/>
    <xf numFmtId="0" fontId="4707" fillId="0" borderId="4707" xfId="0" applyFont="1" applyBorder="1" applyAlignment="1"/>
    <xf numFmtId="0" fontId="4708" fillId="0" borderId="4708" xfId="0" applyFont="1" applyBorder="1" applyAlignment="1"/>
    <xf numFmtId="0" fontId="4709" fillId="0" borderId="4709" xfId="0" applyFont="1" applyBorder="1" applyAlignment="1"/>
    <xf numFmtId="0" fontId="4710" fillId="0" borderId="4710" xfId="0" applyFont="1" applyBorder="1" applyAlignment="1"/>
    <xf numFmtId="0" fontId="4711" fillId="0" borderId="4711" xfId="0" applyFont="1" applyBorder="1" applyAlignment="1"/>
    <xf numFmtId="0" fontId="4712" fillId="0" borderId="4712" xfId="0" applyFont="1" applyBorder="1" applyAlignment="1"/>
    <xf numFmtId="0" fontId="4713" fillId="0" borderId="4713" xfId="0" applyFont="1" applyBorder="1" applyAlignment="1"/>
    <xf numFmtId="0" fontId="4714" fillId="0" borderId="4714" xfId="0" applyFont="1" applyBorder="1" applyAlignment="1"/>
    <xf numFmtId="0" fontId="4715" fillId="0" borderId="4715" xfId="0" applyFont="1" applyBorder="1" applyAlignment="1"/>
    <xf numFmtId="0" fontId="4716" fillId="0" borderId="4716" xfId="0" applyFont="1" applyBorder="1" applyAlignment="1"/>
    <xf numFmtId="0" fontId="4717" fillId="0" borderId="4717" xfId="0" applyFont="1" applyBorder="1" applyAlignment="1"/>
    <xf numFmtId="0" fontId="4718" fillId="0" borderId="4718" xfId="0" applyFont="1" applyBorder="1" applyAlignment="1"/>
    <xf numFmtId="0" fontId="4719" fillId="0" borderId="4719" xfId="0" applyFont="1" applyBorder="1" applyAlignment="1"/>
    <xf numFmtId="0" fontId="4720" fillId="0" borderId="4720" xfId="0" applyFont="1" applyBorder="1" applyAlignment="1"/>
    <xf numFmtId="0" fontId="4721" fillId="0" borderId="4721" xfId="0" applyFont="1" applyBorder="1" applyAlignment="1"/>
    <xf numFmtId="0" fontId="4722" fillId="0" borderId="4722" xfId="0" applyFont="1" applyBorder="1" applyAlignment="1"/>
    <xf numFmtId="0" fontId="4723" fillId="0" borderId="4723" xfId="0" applyFont="1" applyBorder="1" applyAlignment="1"/>
    <xf numFmtId="0" fontId="4724" fillId="0" borderId="4724" xfId="0" applyFont="1" applyBorder="1" applyAlignment="1"/>
    <xf numFmtId="0" fontId="4725" fillId="0" borderId="4725" xfId="0" applyFont="1" applyBorder="1" applyAlignment="1"/>
    <xf numFmtId="0" fontId="4726" fillId="0" borderId="4726" xfId="0" applyFont="1" applyBorder="1" applyAlignment="1"/>
    <xf numFmtId="0" fontId="4727" fillId="0" borderId="4727" xfId="0" applyFont="1" applyBorder="1" applyAlignment="1"/>
    <xf numFmtId="0" fontId="4728" fillId="0" borderId="4728" xfId="0" applyFont="1" applyBorder="1" applyAlignment="1"/>
    <xf numFmtId="0" fontId="4729" fillId="0" borderId="4729" xfId="0" applyFont="1" applyBorder="1" applyAlignment="1"/>
    <xf numFmtId="0" fontId="4730" fillId="0" borderId="4730" xfId="0" applyFont="1" applyBorder="1" applyAlignment="1"/>
    <xf numFmtId="0" fontId="4731" fillId="0" borderId="4731" xfId="0" applyFont="1" applyBorder="1" applyAlignment="1"/>
    <xf numFmtId="0" fontId="4732" fillId="0" borderId="4732" xfId="0" applyFont="1" applyBorder="1" applyAlignment="1"/>
    <xf numFmtId="0" fontId="4733" fillId="0" borderId="4733" xfId="0" applyFont="1" applyBorder="1" applyAlignment="1"/>
    <xf numFmtId="0" fontId="4734" fillId="0" borderId="4734" xfId="0" applyFont="1" applyBorder="1" applyAlignment="1"/>
    <xf numFmtId="0" fontId="4735" fillId="0" borderId="4735" xfId="0" applyFont="1" applyBorder="1" applyAlignment="1"/>
    <xf numFmtId="0" fontId="4736" fillId="0" borderId="4736" xfId="0" applyFont="1" applyBorder="1" applyAlignment="1"/>
    <xf numFmtId="0" fontId="4737" fillId="0" borderId="4737" xfId="0" applyFont="1" applyBorder="1" applyAlignment="1"/>
    <xf numFmtId="0" fontId="4738" fillId="0" borderId="4738" xfId="0" applyFont="1" applyBorder="1" applyAlignment="1"/>
    <xf numFmtId="0" fontId="4739" fillId="0" borderId="4739" xfId="0" applyFont="1" applyBorder="1" applyAlignment="1"/>
    <xf numFmtId="0" fontId="4740" fillId="0" borderId="4740" xfId="0" applyFont="1" applyBorder="1" applyAlignment="1"/>
    <xf numFmtId="0" fontId="4741" fillId="0" borderId="4741" xfId="0" applyFont="1" applyBorder="1" applyAlignment="1"/>
    <xf numFmtId="0" fontId="4742" fillId="0" borderId="4742" xfId="0" applyFont="1" applyBorder="1" applyAlignment="1"/>
    <xf numFmtId="0" fontId="4743" fillId="0" borderId="4743" xfId="0" applyFont="1" applyBorder="1" applyAlignment="1"/>
    <xf numFmtId="0" fontId="4744" fillId="0" borderId="4744" xfId="0" applyFont="1" applyBorder="1" applyAlignment="1"/>
    <xf numFmtId="0" fontId="4745" fillId="0" borderId="4745" xfId="0" applyFont="1" applyBorder="1" applyAlignment="1"/>
    <xf numFmtId="0" fontId="4746" fillId="0" borderId="4746" xfId="0" applyFont="1" applyBorder="1" applyAlignment="1"/>
    <xf numFmtId="0" fontId="4747" fillId="0" borderId="4747" xfId="0" applyFont="1" applyBorder="1" applyAlignment="1"/>
    <xf numFmtId="0" fontId="4748" fillId="0" borderId="4748" xfId="0" applyFont="1" applyBorder="1" applyAlignment="1"/>
    <xf numFmtId="0" fontId="4749" fillId="0" borderId="4749" xfId="0" applyFont="1" applyBorder="1" applyAlignment="1"/>
    <xf numFmtId="0" fontId="4750" fillId="0" borderId="4750" xfId="0" applyFont="1" applyBorder="1" applyAlignment="1"/>
    <xf numFmtId="0" fontId="4751" fillId="0" borderId="4751" xfId="0" applyFont="1" applyBorder="1" applyAlignment="1"/>
    <xf numFmtId="0" fontId="4752" fillId="0" borderId="4752" xfId="0" applyFont="1" applyBorder="1" applyAlignment="1"/>
    <xf numFmtId="0" fontId="4753" fillId="0" borderId="4753" xfId="0" applyFont="1" applyBorder="1" applyAlignment="1"/>
    <xf numFmtId="0" fontId="4754" fillId="0" borderId="4754" xfId="0" applyFont="1" applyBorder="1" applyAlignment="1"/>
    <xf numFmtId="0" fontId="4755" fillId="0" borderId="4755" xfId="0" applyFont="1" applyBorder="1" applyAlignment="1"/>
    <xf numFmtId="0" fontId="4756" fillId="0" borderId="4756" xfId="0" applyFont="1" applyBorder="1" applyAlignment="1"/>
    <xf numFmtId="0" fontId="4757" fillId="0" borderId="4757" xfId="0" applyFont="1" applyBorder="1" applyAlignment="1"/>
    <xf numFmtId="0" fontId="4758" fillId="0" borderId="4758" xfId="0" applyFont="1" applyBorder="1" applyAlignment="1"/>
    <xf numFmtId="0" fontId="4759" fillId="0" borderId="4759" xfId="0" applyFont="1" applyBorder="1" applyAlignment="1"/>
    <xf numFmtId="0" fontId="4760" fillId="0" borderId="4760" xfId="0" applyFont="1" applyBorder="1" applyAlignment="1"/>
    <xf numFmtId="0" fontId="4761" fillId="0" borderId="4761" xfId="0" applyFont="1" applyBorder="1" applyAlignment="1"/>
    <xf numFmtId="0" fontId="4762" fillId="0" borderId="4762" xfId="0" applyFont="1" applyBorder="1" applyAlignment="1"/>
    <xf numFmtId="0" fontId="4763" fillId="0" borderId="4763" xfId="0" applyFont="1" applyBorder="1" applyAlignment="1"/>
    <xf numFmtId="0" fontId="4764" fillId="0" borderId="4764" xfId="0" applyFont="1" applyBorder="1" applyAlignment="1"/>
    <xf numFmtId="0" fontId="4765" fillId="0" borderId="4765" xfId="0" applyFont="1" applyBorder="1" applyAlignment="1"/>
    <xf numFmtId="0" fontId="4766" fillId="0" borderId="4766" xfId="0" applyFont="1" applyBorder="1" applyAlignment="1"/>
    <xf numFmtId="0" fontId="4767" fillId="0" borderId="4767" xfId="0" applyFont="1" applyBorder="1" applyAlignment="1"/>
    <xf numFmtId="0" fontId="4768" fillId="0" borderId="4768" xfId="0" applyFont="1" applyBorder="1" applyAlignment="1"/>
    <xf numFmtId="0" fontId="4769" fillId="0" borderId="4769" xfId="0" applyFont="1" applyBorder="1" applyAlignment="1"/>
    <xf numFmtId="0" fontId="4770" fillId="0" borderId="4770" xfId="0" applyFont="1" applyBorder="1" applyAlignment="1"/>
    <xf numFmtId="0" fontId="4771" fillId="0" borderId="4771" xfId="0" applyFont="1" applyBorder="1" applyAlignment="1"/>
    <xf numFmtId="0" fontId="4772" fillId="0" borderId="4772" xfId="0" applyFont="1" applyBorder="1" applyAlignment="1"/>
    <xf numFmtId="0" fontId="4773" fillId="0" borderId="4773" xfId="0" applyFont="1" applyBorder="1" applyAlignment="1"/>
    <xf numFmtId="0" fontId="4774" fillId="0" borderId="4774" xfId="0" applyFont="1" applyBorder="1" applyAlignment="1"/>
    <xf numFmtId="0" fontId="4775" fillId="0" borderId="4775" xfId="0" applyFont="1" applyBorder="1" applyAlignment="1"/>
    <xf numFmtId="0" fontId="4776" fillId="0" borderId="4776" xfId="0" applyFont="1" applyBorder="1" applyAlignment="1"/>
    <xf numFmtId="0" fontId="4777" fillId="0" borderId="4777" xfId="0" applyFont="1" applyBorder="1" applyAlignment="1"/>
    <xf numFmtId="0" fontId="4778" fillId="0" borderId="4778" xfId="0" applyFont="1" applyBorder="1" applyAlignment="1"/>
    <xf numFmtId="0" fontId="4779" fillId="0" borderId="4779" xfId="0" applyFont="1" applyBorder="1" applyAlignment="1"/>
    <xf numFmtId="0" fontId="4780" fillId="0" borderId="4780" xfId="0" applyFont="1" applyBorder="1" applyAlignment="1"/>
    <xf numFmtId="0" fontId="4781" fillId="0" borderId="4781" xfId="0" applyFont="1" applyBorder="1" applyAlignment="1"/>
    <xf numFmtId="0" fontId="4782" fillId="0" borderId="4782" xfId="0" applyFont="1" applyBorder="1" applyAlignment="1"/>
    <xf numFmtId="0" fontId="4783" fillId="0" borderId="4783" xfId="0" applyFont="1" applyBorder="1" applyAlignment="1"/>
    <xf numFmtId="0" fontId="4784" fillId="0" borderId="4784" xfId="0" applyFont="1" applyBorder="1" applyAlignment="1"/>
    <xf numFmtId="0" fontId="4785" fillId="0" borderId="4785" xfId="0" applyFont="1" applyBorder="1" applyAlignment="1"/>
    <xf numFmtId="0" fontId="4786" fillId="0" borderId="4786" xfId="0" applyFont="1" applyBorder="1" applyAlignment="1"/>
    <xf numFmtId="0" fontId="4787" fillId="0" borderId="4787" xfId="0" applyFont="1" applyBorder="1" applyAlignment="1"/>
    <xf numFmtId="0" fontId="4788" fillId="0" borderId="4788" xfId="0" applyFont="1" applyBorder="1" applyAlignment="1"/>
    <xf numFmtId="0" fontId="4789" fillId="0" borderId="4789" xfId="0" applyFont="1" applyBorder="1" applyAlignment="1"/>
    <xf numFmtId="0" fontId="4790" fillId="0" borderId="4790" xfId="0" applyFont="1" applyBorder="1" applyAlignment="1"/>
    <xf numFmtId="0" fontId="4791" fillId="0" borderId="4791" xfId="0" applyFont="1" applyBorder="1" applyAlignment="1"/>
    <xf numFmtId="0" fontId="4792" fillId="0" borderId="4792" xfId="0" applyFont="1" applyBorder="1" applyAlignment="1"/>
    <xf numFmtId="0" fontId="4793" fillId="0" borderId="4793" xfId="0" applyFont="1" applyBorder="1" applyAlignment="1"/>
    <xf numFmtId="0" fontId="4794" fillId="0" borderId="4794" xfId="0" applyFont="1" applyBorder="1" applyAlignment="1"/>
    <xf numFmtId="0" fontId="4795" fillId="0" borderId="4795" xfId="0" applyFont="1" applyBorder="1" applyAlignment="1"/>
    <xf numFmtId="0" fontId="4796" fillId="0" borderId="4796" xfId="0" applyFont="1" applyBorder="1" applyAlignment="1"/>
    <xf numFmtId="0" fontId="4797" fillId="0" borderId="4797" xfId="0" applyFont="1" applyBorder="1" applyAlignment="1"/>
    <xf numFmtId="0" fontId="4798" fillId="0" borderId="4798" xfId="0" applyFont="1" applyBorder="1" applyAlignment="1"/>
    <xf numFmtId="0" fontId="4799" fillId="0" borderId="4799" xfId="0" applyFont="1" applyBorder="1" applyAlignment="1"/>
    <xf numFmtId="0" fontId="4800" fillId="0" borderId="4800" xfId="0" applyFont="1" applyBorder="1" applyAlignment="1"/>
    <xf numFmtId="0" fontId="4801" fillId="0" borderId="4801" xfId="0" applyFont="1" applyBorder="1" applyAlignment="1"/>
    <xf numFmtId="0" fontId="4802" fillId="0" borderId="4802" xfId="0" applyFont="1" applyBorder="1" applyAlignment="1"/>
    <xf numFmtId="0" fontId="4803" fillId="0" borderId="4803" xfId="0" applyFont="1" applyBorder="1" applyAlignment="1"/>
    <xf numFmtId="0" fontId="4804" fillId="0" borderId="4804" xfId="0" applyFont="1" applyBorder="1" applyAlignment="1"/>
    <xf numFmtId="0" fontId="4805" fillId="0" borderId="4805" xfId="0" applyFont="1" applyBorder="1" applyAlignment="1"/>
    <xf numFmtId="0" fontId="4806" fillId="0" borderId="4806" xfId="0" applyFont="1" applyBorder="1" applyAlignment="1"/>
    <xf numFmtId="0" fontId="4807" fillId="0" borderId="4807" xfId="0" applyFont="1" applyBorder="1" applyAlignment="1"/>
    <xf numFmtId="0" fontId="4808" fillId="0" borderId="4808" xfId="0" applyFont="1" applyBorder="1" applyAlignment="1"/>
    <xf numFmtId="0" fontId="4809" fillId="0" borderId="4809" xfId="0" applyFont="1" applyBorder="1" applyAlignment="1"/>
    <xf numFmtId="0" fontId="4810" fillId="0" borderId="4810" xfId="0" applyFont="1" applyBorder="1" applyAlignment="1"/>
    <xf numFmtId="0" fontId="4811" fillId="0" borderId="4811" xfId="0" applyFont="1" applyBorder="1" applyAlignment="1"/>
    <xf numFmtId="0" fontId="4812" fillId="0" borderId="4812" xfId="0" applyFont="1" applyBorder="1" applyAlignment="1"/>
    <xf numFmtId="0" fontId="4813" fillId="0" borderId="4813" xfId="0" applyFont="1" applyBorder="1" applyAlignment="1"/>
    <xf numFmtId="0" fontId="4814" fillId="0" borderId="4814" xfId="0" applyFont="1" applyBorder="1" applyAlignment="1"/>
    <xf numFmtId="0" fontId="4815" fillId="0" borderId="4815" xfId="0" applyFont="1" applyBorder="1" applyAlignment="1"/>
    <xf numFmtId="0" fontId="4816" fillId="0" borderId="4816" xfId="0" applyFont="1" applyBorder="1" applyAlignment="1"/>
    <xf numFmtId="0" fontId="4817" fillId="0" borderId="4817" xfId="0" applyFont="1" applyBorder="1" applyAlignment="1"/>
    <xf numFmtId="0" fontId="4818" fillId="0" borderId="4818" xfId="0" applyFont="1" applyBorder="1" applyAlignment="1"/>
    <xf numFmtId="0" fontId="4819" fillId="0" borderId="4819" xfId="0" applyFont="1" applyBorder="1" applyAlignment="1"/>
    <xf numFmtId="0" fontId="4820" fillId="0" borderId="4820" xfId="0" applyFont="1" applyBorder="1" applyAlignment="1"/>
    <xf numFmtId="0" fontId="4821" fillId="0" borderId="4821" xfId="0" applyFont="1" applyBorder="1" applyAlignment="1"/>
    <xf numFmtId="0" fontId="4822" fillId="0" borderId="4822" xfId="0" applyFont="1" applyBorder="1" applyAlignment="1"/>
    <xf numFmtId="0" fontId="4823" fillId="0" borderId="4823" xfId="0" applyFont="1" applyBorder="1" applyAlignment="1"/>
    <xf numFmtId="0" fontId="4824" fillId="0" borderId="4824" xfId="0" applyFont="1" applyBorder="1" applyAlignment="1"/>
    <xf numFmtId="0" fontId="4825" fillId="0" borderId="4825" xfId="0" applyFont="1" applyBorder="1" applyAlignment="1"/>
    <xf numFmtId="0" fontId="4826" fillId="0" borderId="4826" xfId="0" applyFont="1" applyBorder="1" applyAlignment="1"/>
    <xf numFmtId="0" fontId="4827" fillId="0" borderId="4827" xfId="0" applyFont="1" applyBorder="1" applyAlignment="1"/>
    <xf numFmtId="0" fontId="4828" fillId="0" borderId="4828" xfId="0" applyFont="1" applyBorder="1" applyAlignment="1"/>
    <xf numFmtId="0" fontId="4829" fillId="0" borderId="4829" xfId="0" applyFont="1" applyBorder="1" applyAlignment="1"/>
    <xf numFmtId="0" fontId="4830" fillId="0" borderId="4830" xfId="0" applyFont="1" applyBorder="1" applyAlignment="1"/>
    <xf numFmtId="0" fontId="4831" fillId="0" borderId="4831" xfId="0" applyFont="1" applyBorder="1" applyAlignment="1"/>
    <xf numFmtId="0" fontId="4832" fillId="0" borderId="4832" xfId="0" applyFont="1" applyBorder="1" applyAlignment="1"/>
    <xf numFmtId="0" fontId="4833" fillId="0" borderId="4833" xfId="0" applyFont="1" applyBorder="1" applyAlignment="1"/>
    <xf numFmtId="0" fontId="4834" fillId="0" borderId="4834" xfId="0" applyFont="1" applyBorder="1" applyAlignment="1"/>
    <xf numFmtId="0" fontId="4835" fillId="0" borderId="4835" xfId="0" applyFont="1" applyBorder="1" applyAlignment="1"/>
    <xf numFmtId="0" fontId="4836" fillId="0" borderId="4836" xfId="0" applyFont="1" applyBorder="1" applyAlignment="1"/>
    <xf numFmtId="0" fontId="4837" fillId="0" borderId="4837" xfId="0" applyFont="1" applyBorder="1" applyAlignment="1"/>
    <xf numFmtId="0" fontId="4838" fillId="0" borderId="4838" xfId="0" applyFont="1" applyBorder="1" applyAlignment="1"/>
    <xf numFmtId="0" fontId="4839" fillId="0" borderId="4839" xfId="0" applyFont="1" applyBorder="1" applyAlignment="1"/>
    <xf numFmtId="0" fontId="4840" fillId="0" borderId="4840" xfId="0" applyFont="1" applyBorder="1" applyAlignment="1"/>
    <xf numFmtId="0" fontId="4841" fillId="0" borderId="4841" xfId="0" applyFont="1" applyBorder="1" applyAlignment="1"/>
    <xf numFmtId="0" fontId="4842" fillId="0" borderId="4842" xfId="0" applyFont="1" applyBorder="1" applyAlignment="1"/>
    <xf numFmtId="0" fontId="4843" fillId="0" borderId="4843" xfId="0" applyFont="1" applyBorder="1" applyAlignment="1"/>
    <xf numFmtId="0" fontId="4844" fillId="0" borderId="4844" xfId="0" applyFont="1" applyBorder="1" applyAlignment="1"/>
    <xf numFmtId="0" fontId="4845" fillId="0" borderId="4845" xfId="0" applyFont="1" applyBorder="1" applyAlignment="1"/>
    <xf numFmtId="0" fontId="4846" fillId="0" borderId="4846" xfId="0" applyFont="1" applyBorder="1" applyAlignment="1"/>
    <xf numFmtId="0" fontId="4847" fillId="0" borderId="4847" xfId="0" applyFont="1" applyBorder="1" applyAlignment="1"/>
    <xf numFmtId="0" fontId="4848" fillId="0" borderId="4848" xfId="0" applyFont="1" applyBorder="1" applyAlignment="1"/>
    <xf numFmtId="0" fontId="4849" fillId="0" borderId="4849" xfId="0" applyFont="1" applyBorder="1" applyAlignment="1"/>
    <xf numFmtId="0" fontId="4850" fillId="0" borderId="4850" xfId="0" applyFont="1" applyBorder="1" applyAlignment="1"/>
    <xf numFmtId="0" fontId="4851" fillId="0" borderId="4851" xfId="0" applyFont="1" applyBorder="1" applyAlignment="1"/>
    <xf numFmtId="0" fontId="4852" fillId="0" borderId="4852" xfId="0" applyFont="1" applyBorder="1" applyAlignment="1"/>
    <xf numFmtId="0" fontId="4853" fillId="0" borderId="4853" xfId="0" applyFont="1" applyBorder="1" applyAlignment="1"/>
    <xf numFmtId="0" fontId="4854" fillId="0" borderId="4854" xfId="0" applyFont="1" applyBorder="1" applyAlignment="1"/>
    <xf numFmtId="0" fontId="4855" fillId="0" borderId="4855" xfId="0" applyFont="1" applyBorder="1" applyAlignment="1"/>
    <xf numFmtId="0" fontId="4856" fillId="0" borderId="4856" xfId="0" applyFont="1" applyBorder="1" applyAlignment="1"/>
    <xf numFmtId="0" fontId="4857" fillId="0" borderId="4857" xfId="0" applyFont="1" applyBorder="1" applyAlignment="1"/>
    <xf numFmtId="0" fontId="4858" fillId="0" borderId="4858" xfId="0" applyFont="1" applyBorder="1" applyAlignment="1"/>
    <xf numFmtId="0" fontId="4859" fillId="0" borderId="4859" xfId="0" applyFont="1" applyBorder="1" applyAlignment="1"/>
    <xf numFmtId="0" fontId="4860" fillId="0" borderId="4860" xfId="0" applyFont="1" applyBorder="1" applyAlignment="1"/>
    <xf numFmtId="0" fontId="4861" fillId="0" borderId="4861" xfId="0" applyFont="1" applyBorder="1" applyAlignment="1"/>
    <xf numFmtId="0" fontId="4862" fillId="0" borderId="4862" xfId="0" applyFont="1" applyBorder="1" applyAlignment="1"/>
    <xf numFmtId="0" fontId="4863" fillId="0" borderId="4863" xfId="0" applyFont="1" applyBorder="1" applyAlignment="1"/>
    <xf numFmtId="0" fontId="4864" fillId="0" borderId="4864" xfId="0" applyFont="1" applyBorder="1" applyAlignment="1"/>
    <xf numFmtId="0" fontId="4865" fillId="0" borderId="4865" xfId="0" applyFont="1" applyBorder="1" applyAlignment="1"/>
    <xf numFmtId="0" fontId="4866" fillId="0" borderId="4866" xfId="0" applyFont="1" applyBorder="1" applyAlignment="1"/>
    <xf numFmtId="0" fontId="4867" fillId="0" borderId="4867" xfId="0" applyFont="1" applyBorder="1" applyAlignment="1"/>
    <xf numFmtId="0" fontId="4868" fillId="0" borderId="4868" xfId="0" applyFont="1" applyBorder="1" applyAlignment="1"/>
    <xf numFmtId="0" fontId="4869" fillId="0" borderId="4869" xfId="0" applyFont="1" applyBorder="1" applyAlignment="1"/>
    <xf numFmtId="0" fontId="4870" fillId="0" borderId="4870" xfId="0" applyFont="1" applyBorder="1" applyAlignment="1"/>
    <xf numFmtId="0" fontId="4871" fillId="0" borderId="4871" xfId="0" applyFont="1" applyBorder="1" applyAlignment="1"/>
    <xf numFmtId="0" fontId="4872" fillId="0" borderId="4872" xfId="0" applyFont="1" applyBorder="1" applyAlignment="1"/>
    <xf numFmtId="0" fontId="4873" fillId="0" borderId="4873" xfId="0" applyFont="1" applyBorder="1" applyAlignment="1"/>
    <xf numFmtId="0" fontId="4874" fillId="0" borderId="4874" xfId="0" applyFont="1" applyBorder="1" applyAlignment="1"/>
    <xf numFmtId="0" fontId="4875" fillId="0" borderId="4875" xfId="0" applyFont="1" applyBorder="1" applyAlignment="1"/>
    <xf numFmtId="0" fontId="4876" fillId="0" borderId="4876" xfId="0" applyFont="1" applyBorder="1" applyAlignment="1"/>
    <xf numFmtId="0" fontId="4877" fillId="0" borderId="4877" xfId="0" applyFont="1" applyBorder="1" applyAlignment="1"/>
    <xf numFmtId="0" fontId="4878" fillId="0" borderId="4878" xfId="0" applyFont="1" applyBorder="1" applyAlignment="1"/>
    <xf numFmtId="0" fontId="4879" fillId="0" borderId="4879" xfId="0" applyFont="1" applyBorder="1" applyAlignment="1"/>
    <xf numFmtId="0" fontId="4880" fillId="0" borderId="4880" xfId="0" applyFont="1" applyBorder="1" applyAlignment="1"/>
    <xf numFmtId="0" fontId="4881" fillId="0" borderId="4881" xfId="0" applyFont="1" applyBorder="1" applyAlignment="1"/>
    <xf numFmtId="0" fontId="4882" fillId="0" borderId="4882" xfId="0" applyFont="1" applyBorder="1" applyAlignment="1"/>
    <xf numFmtId="0" fontId="4883" fillId="0" borderId="4883" xfId="0" applyFont="1" applyBorder="1" applyAlignment="1"/>
    <xf numFmtId="0" fontId="4884" fillId="0" borderId="4884" xfId="0" applyFont="1" applyBorder="1" applyAlignment="1"/>
    <xf numFmtId="0" fontId="4885" fillId="0" borderId="4885" xfId="0" applyFont="1" applyBorder="1" applyAlignment="1"/>
    <xf numFmtId="0" fontId="4886" fillId="0" borderId="4886" xfId="0" applyFont="1" applyBorder="1" applyAlignment="1"/>
    <xf numFmtId="0" fontId="4887" fillId="0" borderId="4887" xfId="0" applyFont="1" applyBorder="1" applyAlignment="1"/>
    <xf numFmtId="0" fontId="4888" fillId="0" borderId="4888" xfId="0" applyFont="1" applyBorder="1" applyAlignment="1"/>
    <xf numFmtId="0" fontId="4889" fillId="0" borderId="4889" xfId="0" applyFont="1" applyBorder="1" applyAlignment="1"/>
    <xf numFmtId="0" fontId="4890" fillId="0" borderId="4890" xfId="0" applyFont="1" applyBorder="1" applyAlignment="1"/>
    <xf numFmtId="0" fontId="4891" fillId="0" borderId="4891" xfId="0" applyFont="1" applyBorder="1" applyAlignment="1"/>
    <xf numFmtId="0" fontId="4892" fillId="0" borderId="4892" xfId="0" applyFont="1" applyBorder="1" applyAlignment="1"/>
    <xf numFmtId="0" fontId="4893" fillId="0" borderId="4893" xfId="0" applyFont="1" applyBorder="1" applyAlignment="1"/>
    <xf numFmtId="0" fontId="4894" fillId="0" borderId="4894" xfId="0" applyFont="1" applyBorder="1" applyAlignment="1"/>
    <xf numFmtId="0" fontId="4895" fillId="0" borderId="4895" xfId="0" applyFont="1" applyBorder="1" applyAlignment="1"/>
    <xf numFmtId="0" fontId="4896" fillId="0" borderId="4896" xfId="0" applyFont="1" applyBorder="1" applyAlignment="1"/>
    <xf numFmtId="0" fontId="4897" fillId="0" borderId="4897" xfId="0" applyFont="1" applyBorder="1" applyAlignment="1"/>
    <xf numFmtId="0" fontId="4898" fillId="0" borderId="4898" xfId="0" applyFont="1" applyBorder="1" applyAlignment="1"/>
    <xf numFmtId="0" fontId="4899" fillId="0" borderId="4899" xfId="0" applyFont="1" applyBorder="1" applyAlignment="1"/>
    <xf numFmtId="0" fontId="4900" fillId="0" borderId="4900" xfId="0" applyFont="1" applyBorder="1" applyAlignment="1"/>
    <xf numFmtId="0" fontId="4901" fillId="0" borderId="4901" xfId="0" applyFont="1" applyBorder="1" applyAlignment="1"/>
    <xf numFmtId="0" fontId="4902" fillId="0" borderId="4902" xfId="0" applyFont="1" applyBorder="1" applyAlignment="1"/>
    <xf numFmtId="0" fontId="4903" fillId="0" borderId="4903" xfId="0" applyFont="1" applyBorder="1" applyAlignment="1"/>
    <xf numFmtId="0" fontId="4904" fillId="0" borderId="4904" xfId="0" applyFont="1" applyBorder="1" applyAlignment="1"/>
    <xf numFmtId="0" fontId="4905" fillId="0" borderId="4905" xfId="0" applyFont="1" applyBorder="1" applyAlignment="1"/>
    <xf numFmtId="0" fontId="4906" fillId="0" borderId="4906" xfId="0" applyFont="1" applyBorder="1" applyAlignment="1"/>
    <xf numFmtId="0" fontId="4907" fillId="0" borderId="4907" xfId="0" applyFont="1" applyBorder="1" applyAlignment="1"/>
    <xf numFmtId="0" fontId="4908" fillId="0" borderId="4908" xfId="0" applyFont="1" applyBorder="1" applyAlignment="1"/>
    <xf numFmtId="0" fontId="4909" fillId="0" borderId="4909" xfId="0" applyFont="1" applyBorder="1" applyAlignment="1"/>
    <xf numFmtId="0" fontId="4910" fillId="0" borderId="4910" xfId="0" applyFont="1" applyBorder="1" applyAlignment="1"/>
    <xf numFmtId="0" fontId="4911" fillId="0" borderId="4911" xfId="0" applyFont="1" applyBorder="1" applyAlignment="1"/>
    <xf numFmtId="0" fontId="4912" fillId="0" borderId="4912" xfId="0" applyFont="1" applyBorder="1" applyAlignment="1"/>
    <xf numFmtId="0" fontId="4913" fillId="0" borderId="4913" xfId="0" applyFont="1" applyBorder="1" applyAlignment="1"/>
    <xf numFmtId="0" fontId="4914" fillId="0" borderId="4914" xfId="0" applyFont="1" applyBorder="1" applyAlignment="1"/>
    <xf numFmtId="0" fontId="4915" fillId="0" borderId="4915" xfId="0" applyFont="1" applyBorder="1" applyAlignment="1"/>
    <xf numFmtId="0" fontId="4916" fillId="0" borderId="4916" xfId="0" applyFont="1" applyBorder="1" applyAlignment="1"/>
    <xf numFmtId="0" fontId="4917" fillId="0" borderId="4917" xfId="0" applyFont="1" applyBorder="1" applyAlignment="1"/>
    <xf numFmtId="0" fontId="4918" fillId="0" borderId="4918" xfId="0" applyFont="1" applyBorder="1" applyAlignment="1"/>
    <xf numFmtId="0" fontId="4919" fillId="0" borderId="4919" xfId="0" applyFont="1" applyBorder="1" applyAlignment="1"/>
    <xf numFmtId="0" fontId="4920" fillId="0" borderId="4920" xfId="0" applyFont="1" applyBorder="1" applyAlignment="1"/>
    <xf numFmtId="0" fontId="4921" fillId="0" borderId="4921" xfId="0" applyFont="1" applyBorder="1" applyAlignment="1"/>
    <xf numFmtId="0" fontId="4922" fillId="0" borderId="4922" xfId="0" applyFont="1" applyBorder="1" applyAlignment="1"/>
    <xf numFmtId="0" fontId="4923" fillId="0" borderId="4923" xfId="0" applyFont="1" applyBorder="1" applyAlignment="1"/>
    <xf numFmtId="0" fontId="4924" fillId="0" borderId="4924" xfId="0" applyFont="1" applyBorder="1" applyAlignment="1"/>
    <xf numFmtId="0" fontId="4925" fillId="0" borderId="4925" xfId="0" applyFont="1" applyBorder="1" applyAlignment="1"/>
    <xf numFmtId="0" fontId="4926" fillId="0" borderId="4926" xfId="0" applyFont="1" applyBorder="1" applyAlignment="1"/>
    <xf numFmtId="0" fontId="4927" fillId="0" borderId="4927" xfId="0" applyFont="1" applyBorder="1" applyAlignment="1"/>
    <xf numFmtId="0" fontId="4928" fillId="0" borderId="4928" xfId="0" applyFont="1" applyBorder="1" applyAlignment="1"/>
    <xf numFmtId="0" fontId="4929" fillId="0" borderId="4929" xfId="0" applyFont="1" applyBorder="1" applyAlignment="1"/>
    <xf numFmtId="0" fontId="4930" fillId="0" borderId="4930" xfId="0" applyFont="1" applyBorder="1" applyAlignment="1"/>
    <xf numFmtId="0" fontId="4931" fillId="0" borderId="4931" xfId="0" applyFont="1" applyBorder="1" applyAlignment="1"/>
    <xf numFmtId="0" fontId="4932" fillId="0" borderId="4932" xfId="0" applyFont="1" applyBorder="1" applyAlignment="1"/>
    <xf numFmtId="0" fontId="4933" fillId="0" borderId="4933" xfId="0" applyFont="1" applyBorder="1" applyAlignment="1"/>
    <xf numFmtId="0" fontId="4934" fillId="0" borderId="4934" xfId="0" applyFont="1" applyBorder="1" applyAlignment="1"/>
    <xf numFmtId="0" fontId="4935" fillId="0" borderId="4935" xfId="0" applyFont="1" applyBorder="1" applyAlignment="1"/>
    <xf numFmtId="0" fontId="4936" fillId="0" borderId="4936" xfId="0" applyFont="1" applyBorder="1" applyAlignment="1"/>
    <xf numFmtId="0" fontId="4937" fillId="0" borderId="4937" xfId="0" applyFont="1" applyBorder="1" applyAlignment="1"/>
    <xf numFmtId="0" fontId="4938" fillId="0" borderId="4938" xfId="0" applyFont="1" applyBorder="1" applyAlignment="1"/>
    <xf numFmtId="0" fontId="4939" fillId="0" borderId="4939" xfId="0" applyFont="1" applyBorder="1" applyAlignment="1"/>
    <xf numFmtId="0" fontId="4940" fillId="0" borderId="4940" xfId="0" applyFont="1" applyBorder="1" applyAlignment="1"/>
    <xf numFmtId="0" fontId="4941" fillId="0" borderId="4941" xfId="0" applyFont="1" applyBorder="1" applyAlignment="1"/>
    <xf numFmtId="0" fontId="4942" fillId="0" borderId="4942" xfId="0" applyFont="1" applyBorder="1" applyAlignment="1"/>
    <xf numFmtId="0" fontId="4943" fillId="0" borderId="4943" xfId="0" applyFont="1" applyBorder="1" applyAlignment="1"/>
    <xf numFmtId="0" fontId="4944" fillId="0" borderId="4944" xfId="0" applyFont="1" applyBorder="1" applyAlignment="1"/>
    <xf numFmtId="0" fontId="4945" fillId="0" borderId="4945" xfId="0" applyFont="1" applyBorder="1" applyAlignment="1"/>
    <xf numFmtId="0" fontId="4946" fillId="0" borderId="4946" xfId="0" applyFont="1" applyBorder="1" applyAlignment="1"/>
    <xf numFmtId="0" fontId="4947" fillId="0" borderId="4947" xfId="0" applyFont="1" applyBorder="1" applyAlignment="1"/>
    <xf numFmtId="0" fontId="4948" fillId="0" borderId="4948" xfId="0" applyFont="1" applyBorder="1" applyAlignment="1"/>
    <xf numFmtId="0" fontId="4949" fillId="0" borderId="4949" xfId="0" applyFont="1" applyBorder="1" applyAlignment="1"/>
    <xf numFmtId="0" fontId="4950" fillId="0" borderId="4950" xfId="0" applyFont="1" applyBorder="1" applyAlignment="1"/>
    <xf numFmtId="0" fontId="4951" fillId="0" borderId="4951" xfId="0" applyFont="1" applyBorder="1" applyAlignment="1"/>
    <xf numFmtId="0" fontId="4952" fillId="0" borderId="4952" xfId="0" applyFont="1" applyBorder="1" applyAlignment="1"/>
    <xf numFmtId="0" fontId="4953" fillId="0" borderId="4953" xfId="0" applyFont="1" applyBorder="1" applyAlignment="1"/>
    <xf numFmtId="0" fontId="4954" fillId="0" borderId="4954" xfId="0" applyFont="1" applyBorder="1" applyAlignment="1"/>
    <xf numFmtId="0" fontId="4955" fillId="0" borderId="4955" xfId="0" applyFont="1" applyBorder="1" applyAlignment="1"/>
    <xf numFmtId="0" fontId="4956" fillId="0" borderId="4956" xfId="0" applyFont="1" applyBorder="1" applyAlignment="1"/>
    <xf numFmtId="0" fontId="4957" fillId="0" borderId="4957" xfId="0" applyFont="1" applyBorder="1" applyAlignment="1"/>
    <xf numFmtId="0" fontId="4958" fillId="0" borderId="4958" xfId="0" applyFont="1" applyBorder="1" applyAlignment="1"/>
    <xf numFmtId="0" fontId="4959" fillId="0" borderId="4959" xfId="0" applyFont="1" applyBorder="1" applyAlignment="1"/>
    <xf numFmtId="0" fontId="4960" fillId="0" borderId="4960" xfId="0" applyFont="1" applyBorder="1" applyAlignment="1"/>
    <xf numFmtId="0" fontId="4961" fillId="0" borderId="4961" xfId="0" applyFont="1" applyBorder="1" applyAlignment="1"/>
    <xf numFmtId="0" fontId="4962" fillId="0" borderId="4962" xfId="0" applyFont="1" applyBorder="1" applyAlignment="1"/>
    <xf numFmtId="0" fontId="4963" fillId="0" borderId="4963" xfId="0" applyFont="1" applyBorder="1" applyAlignment="1"/>
    <xf numFmtId="0" fontId="4964" fillId="0" borderId="4964" xfId="0" applyFont="1" applyBorder="1" applyAlignment="1"/>
    <xf numFmtId="0" fontId="4965" fillId="0" borderId="4965" xfId="0" applyFont="1" applyBorder="1" applyAlignment="1"/>
    <xf numFmtId="0" fontId="4966" fillId="0" borderId="4966" xfId="0" applyFont="1" applyBorder="1" applyAlignment="1"/>
    <xf numFmtId="0" fontId="4967" fillId="0" borderId="4967" xfId="0" applyFont="1" applyBorder="1" applyAlignment="1"/>
    <xf numFmtId="0" fontId="4968" fillId="0" borderId="4968" xfId="0" applyFont="1" applyBorder="1" applyAlignment="1"/>
    <xf numFmtId="0" fontId="4969" fillId="0" borderId="4969" xfId="0" applyFont="1" applyBorder="1" applyAlignment="1"/>
    <xf numFmtId="0" fontId="4970" fillId="0" borderId="4970" xfId="0" applyFont="1" applyBorder="1" applyAlignment="1"/>
    <xf numFmtId="0" fontId="4971" fillId="0" borderId="4971" xfId="0" applyFont="1" applyBorder="1" applyAlignment="1"/>
    <xf numFmtId="0" fontId="4972" fillId="0" borderId="4972" xfId="0" applyFont="1" applyBorder="1" applyAlignment="1"/>
    <xf numFmtId="0" fontId="4973" fillId="0" borderId="4973" xfId="0" applyFont="1" applyBorder="1" applyAlignment="1"/>
    <xf numFmtId="0" fontId="4974" fillId="0" borderId="4974" xfId="0" applyFont="1" applyBorder="1" applyAlignment="1"/>
    <xf numFmtId="0" fontId="4975" fillId="0" borderId="4975" xfId="0" applyFont="1" applyBorder="1" applyAlignment="1"/>
    <xf numFmtId="0" fontId="4976" fillId="0" borderId="4976" xfId="0" applyFont="1" applyBorder="1" applyAlignment="1"/>
    <xf numFmtId="0" fontId="4977" fillId="0" borderId="4977" xfId="0" applyFont="1" applyBorder="1" applyAlignment="1"/>
    <xf numFmtId="0" fontId="4978" fillId="0" borderId="4978" xfId="0" applyFont="1" applyBorder="1" applyAlignment="1"/>
    <xf numFmtId="0" fontId="4979" fillId="0" borderId="4979" xfId="0" applyFont="1" applyBorder="1" applyAlignment="1"/>
    <xf numFmtId="0" fontId="4980" fillId="0" borderId="4980" xfId="0" applyFont="1" applyBorder="1" applyAlignment="1"/>
    <xf numFmtId="0" fontId="4981" fillId="0" borderId="4981" xfId="0" applyFont="1" applyBorder="1" applyAlignment="1"/>
    <xf numFmtId="0" fontId="4982" fillId="0" borderId="4982" xfId="0" applyFont="1" applyBorder="1" applyAlignment="1"/>
    <xf numFmtId="0" fontId="4983" fillId="0" borderId="4983" xfId="0" applyFont="1" applyBorder="1" applyAlignment="1"/>
    <xf numFmtId="0" fontId="4984" fillId="0" borderId="4984" xfId="0" applyFont="1" applyBorder="1" applyAlignment="1"/>
    <xf numFmtId="0" fontId="4985" fillId="0" borderId="4985" xfId="0" applyFont="1" applyBorder="1" applyAlignment="1"/>
    <xf numFmtId="0" fontId="4986" fillId="0" borderId="4986" xfId="0" applyFont="1" applyBorder="1" applyAlignment="1"/>
    <xf numFmtId="0" fontId="4987" fillId="0" borderId="4987" xfId="0" applyFont="1" applyBorder="1" applyAlignment="1"/>
    <xf numFmtId="0" fontId="4988" fillId="0" borderId="4988" xfId="0" applyFont="1" applyBorder="1" applyAlignment="1"/>
    <xf numFmtId="0" fontId="4989" fillId="0" borderId="4989" xfId="0" applyFont="1" applyBorder="1" applyAlignment="1"/>
    <xf numFmtId="0" fontId="4990" fillId="0" borderId="4990" xfId="0" applyFont="1" applyBorder="1" applyAlignment="1"/>
    <xf numFmtId="0" fontId="4991" fillId="0" borderId="4991" xfId="0" applyFont="1" applyBorder="1" applyAlignment="1"/>
    <xf numFmtId="0" fontId="4992" fillId="0" borderId="4992" xfId="0" applyFont="1" applyBorder="1" applyAlignment="1"/>
    <xf numFmtId="0" fontId="4993" fillId="0" borderId="4993" xfId="0" applyFont="1" applyBorder="1" applyAlignment="1"/>
    <xf numFmtId="0" fontId="4994" fillId="0" borderId="4994" xfId="0" applyFont="1" applyBorder="1" applyAlignment="1"/>
    <xf numFmtId="0" fontId="4995" fillId="0" borderId="4995" xfId="0" applyFont="1" applyBorder="1" applyAlignment="1"/>
    <xf numFmtId="0" fontId="4996" fillId="0" borderId="4996" xfId="0" applyFont="1" applyBorder="1" applyAlignment="1"/>
    <xf numFmtId="0" fontId="4997" fillId="0" borderId="4997" xfId="0" applyFont="1" applyBorder="1" applyAlignment="1"/>
    <xf numFmtId="0" fontId="4998" fillId="0" borderId="4998" xfId="0" applyFont="1" applyBorder="1" applyAlignment="1"/>
    <xf numFmtId="0" fontId="4999" fillId="0" borderId="4999" xfId="0" applyFont="1" applyBorder="1" applyAlignment="1"/>
    <xf numFmtId="0" fontId="5000" fillId="0" borderId="5000" xfId="0" applyFont="1" applyBorder="1" applyAlignment="1"/>
    <xf numFmtId="0" fontId="5001" fillId="0" borderId="5001" xfId="0" applyFont="1" applyBorder="1" applyAlignment="1"/>
    <xf numFmtId="0" fontId="5002" fillId="0" borderId="5002" xfId="0" applyFont="1" applyBorder="1" applyAlignment="1"/>
    <xf numFmtId="0" fontId="5003" fillId="0" borderId="5003" xfId="0" applyFont="1" applyBorder="1" applyAlignment="1"/>
    <xf numFmtId="0" fontId="5004" fillId="0" borderId="5004" xfId="0" applyFont="1" applyBorder="1" applyAlignment="1"/>
    <xf numFmtId="0" fontId="5005" fillId="0" borderId="5005" xfId="0" applyFont="1" applyBorder="1" applyAlignment="1"/>
    <xf numFmtId="0" fontId="5006" fillId="0" borderId="5006" xfId="0" applyFont="1" applyBorder="1" applyAlignment="1"/>
    <xf numFmtId="0" fontId="5007" fillId="0" borderId="5007" xfId="0" applyFont="1" applyBorder="1" applyAlignment="1"/>
    <xf numFmtId="0" fontId="5008" fillId="0" borderId="5008" xfId="0" applyFont="1" applyBorder="1" applyAlignment="1"/>
    <xf numFmtId="0" fontId="5009" fillId="0" borderId="5009" xfId="0" applyFont="1" applyBorder="1" applyAlignment="1"/>
    <xf numFmtId="0" fontId="5010" fillId="0" borderId="5010" xfId="0" applyFont="1" applyBorder="1" applyAlignment="1"/>
    <xf numFmtId="0" fontId="5011" fillId="0" borderId="5011" xfId="0" applyFont="1" applyBorder="1" applyAlignment="1"/>
    <xf numFmtId="0" fontId="5012" fillId="0" borderId="5012" xfId="0" applyFont="1" applyBorder="1" applyAlignment="1"/>
    <xf numFmtId="0" fontId="5013" fillId="0" borderId="5013" xfId="0" applyFont="1" applyBorder="1" applyAlignment="1"/>
    <xf numFmtId="0" fontId="5014" fillId="0" borderId="5014" xfId="0" applyFont="1" applyBorder="1" applyAlignment="1"/>
    <xf numFmtId="0" fontId="5015" fillId="0" borderId="5015" xfId="0" applyFont="1" applyBorder="1" applyAlignment="1"/>
    <xf numFmtId="0" fontId="5016" fillId="0" borderId="5016" xfId="0" applyFont="1" applyBorder="1" applyAlignment="1"/>
    <xf numFmtId="0" fontId="5017" fillId="0" borderId="5017" xfId="0" applyFont="1" applyBorder="1" applyAlignment="1"/>
    <xf numFmtId="0" fontId="5018" fillId="0" borderId="5018" xfId="0" applyFont="1" applyBorder="1" applyAlignment="1"/>
    <xf numFmtId="0" fontId="5019" fillId="0" borderId="5019" xfId="0" applyFont="1" applyBorder="1" applyAlignment="1"/>
    <xf numFmtId="0" fontId="5020" fillId="0" borderId="5020" xfId="0" applyFont="1" applyBorder="1" applyAlignment="1"/>
    <xf numFmtId="0" fontId="5021" fillId="0" borderId="5021" xfId="0" applyFont="1" applyBorder="1" applyAlignment="1"/>
    <xf numFmtId="0" fontId="5022" fillId="0" borderId="5022" xfId="0" applyFont="1" applyBorder="1" applyAlignment="1"/>
    <xf numFmtId="0" fontId="5023" fillId="0" borderId="5023" xfId="0" applyFont="1" applyBorder="1" applyAlignment="1"/>
    <xf numFmtId="0" fontId="5024" fillId="0" borderId="5024" xfId="0" applyFont="1" applyBorder="1" applyAlignment="1"/>
    <xf numFmtId="0" fontId="5025" fillId="0" borderId="5025" xfId="0" applyFont="1" applyBorder="1" applyAlignment="1"/>
    <xf numFmtId="0" fontId="5026" fillId="0" borderId="5026" xfId="0" applyFont="1" applyBorder="1" applyAlignment="1"/>
    <xf numFmtId="0" fontId="5027" fillId="0" borderId="5027" xfId="0" applyFont="1" applyBorder="1" applyAlignment="1"/>
    <xf numFmtId="0" fontId="5028" fillId="0" borderId="5028" xfId="0" applyFont="1" applyBorder="1" applyAlignment="1"/>
    <xf numFmtId="0" fontId="5029" fillId="0" borderId="5029" xfId="0" applyFont="1" applyBorder="1" applyAlignment="1"/>
    <xf numFmtId="0" fontId="5030" fillId="0" borderId="5030" xfId="0" applyFont="1" applyBorder="1" applyAlignment="1"/>
    <xf numFmtId="0" fontId="5031" fillId="0" borderId="5031" xfId="0" applyFont="1" applyBorder="1" applyAlignment="1"/>
    <xf numFmtId="0" fontId="5032" fillId="0" borderId="5032" xfId="0" applyFont="1" applyBorder="1" applyAlignment="1"/>
    <xf numFmtId="0" fontId="5033" fillId="0" borderId="5033" xfId="0" applyFont="1" applyBorder="1" applyAlignment="1"/>
    <xf numFmtId="0" fontId="5034" fillId="0" borderId="5034" xfId="0" applyFont="1" applyBorder="1" applyAlignment="1"/>
    <xf numFmtId="0" fontId="5035" fillId="0" borderId="5035" xfId="0" applyFont="1" applyBorder="1" applyAlignment="1"/>
    <xf numFmtId="0" fontId="5036" fillId="0" borderId="5036" xfId="0" applyFont="1" applyBorder="1" applyAlignment="1"/>
    <xf numFmtId="0" fontId="5037" fillId="0" borderId="5037" xfId="0" applyFont="1" applyBorder="1" applyAlignment="1"/>
    <xf numFmtId="0" fontId="5038" fillId="0" borderId="5038" xfId="0" applyFont="1" applyBorder="1" applyAlignment="1"/>
    <xf numFmtId="0" fontId="5039" fillId="0" borderId="5039" xfId="0" applyFont="1" applyBorder="1" applyAlignment="1"/>
    <xf numFmtId="0" fontId="5040" fillId="0" borderId="5040" xfId="0" applyFont="1" applyBorder="1" applyAlignment="1"/>
    <xf numFmtId="0" fontId="5041" fillId="0" borderId="5041" xfId="0" applyFont="1" applyBorder="1" applyAlignment="1"/>
    <xf numFmtId="0" fontId="5042" fillId="0" borderId="5042" xfId="0" applyFont="1" applyBorder="1" applyAlignment="1"/>
    <xf numFmtId="0" fontId="5043" fillId="0" borderId="5043" xfId="0" applyFont="1" applyBorder="1" applyAlignment="1"/>
    <xf numFmtId="0" fontId="5044" fillId="0" borderId="5044" xfId="0" applyFont="1" applyBorder="1" applyAlignment="1"/>
    <xf numFmtId="0" fontId="5045" fillId="0" borderId="5045" xfId="0" applyFont="1" applyBorder="1" applyAlignment="1"/>
    <xf numFmtId="0" fontId="5046" fillId="0" borderId="5046" xfId="0" applyFont="1" applyBorder="1" applyAlignment="1"/>
    <xf numFmtId="0" fontId="5047" fillId="0" borderId="5047" xfId="0" applyFont="1" applyBorder="1" applyAlignment="1"/>
    <xf numFmtId="0" fontId="5048" fillId="0" borderId="5048" xfId="0" applyFont="1" applyBorder="1" applyAlignment="1"/>
    <xf numFmtId="0" fontId="5049" fillId="0" borderId="5049" xfId="0" applyFont="1" applyBorder="1" applyAlignment="1"/>
    <xf numFmtId="0" fontId="5050" fillId="0" borderId="5050" xfId="0" applyFont="1" applyBorder="1" applyAlignment="1"/>
    <xf numFmtId="0" fontId="5051" fillId="0" borderId="5051" xfId="0" applyFont="1" applyBorder="1" applyAlignment="1"/>
    <xf numFmtId="0" fontId="5052" fillId="0" borderId="5052" xfId="0" applyFont="1" applyBorder="1" applyAlignment="1"/>
    <xf numFmtId="0" fontId="5053" fillId="0" borderId="5053" xfId="0" applyFont="1" applyBorder="1" applyAlignment="1"/>
    <xf numFmtId="0" fontId="5054" fillId="0" borderId="5054" xfId="0" applyFont="1" applyBorder="1" applyAlignment="1"/>
    <xf numFmtId="0" fontId="5055" fillId="0" borderId="5055" xfId="0" applyFont="1" applyBorder="1" applyAlignment="1"/>
    <xf numFmtId="0" fontId="5056" fillId="0" borderId="5056" xfId="0" applyFont="1" applyBorder="1" applyAlignment="1"/>
    <xf numFmtId="0" fontId="5057" fillId="0" borderId="5057" xfId="0" applyFont="1" applyBorder="1" applyAlignment="1"/>
    <xf numFmtId="0" fontId="5058" fillId="0" borderId="5058" xfId="0" applyFont="1" applyBorder="1" applyAlignment="1"/>
    <xf numFmtId="0" fontId="5059" fillId="0" borderId="5059" xfId="0" applyFont="1" applyBorder="1" applyAlignment="1"/>
    <xf numFmtId="0" fontId="5060" fillId="0" borderId="5060" xfId="0" applyFont="1" applyBorder="1" applyAlignment="1"/>
    <xf numFmtId="0" fontId="5061" fillId="0" borderId="5061" xfId="0" applyFont="1" applyBorder="1" applyAlignment="1"/>
    <xf numFmtId="0" fontId="5062" fillId="0" borderId="5062" xfId="0" applyFont="1" applyBorder="1" applyAlignment="1"/>
    <xf numFmtId="0" fontId="5063" fillId="0" borderId="5063" xfId="0" applyFont="1" applyBorder="1" applyAlignment="1"/>
    <xf numFmtId="0" fontId="5064" fillId="0" borderId="5064" xfId="0" applyFont="1" applyBorder="1" applyAlignment="1"/>
    <xf numFmtId="0" fontId="5065" fillId="0" borderId="5065" xfId="0" applyFont="1" applyBorder="1" applyAlignment="1"/>
    <xf numFmtId="0" fontId="5066" fillId="0" borderId="5066" xfId="0" applyFont="1" applyBorder="1" applyAlignment="1"/>
    <xf numFmtId="0" fontId="5067" fillId="0" borderId="5067" xfId="0" applyFont="1" applyBorder="1" applyAlignment="1"/>
    <xf numFmtId="0" fontId="5068" fillId="0" borderId="5068" xfId="0" applyFont="1" applyBorder="1" applyAlignment="1"/>
    <xf numFmtId="0" fontId="5069" fillId="0" borderId="5069" xfId="0" applyFont="1" applyBorder="1" applyAlignment="1"/>
    <xf numFmtId="0" fontId="5070" fillId="0" borderId="5070" xfId="0" applyFont="1" applyBorder="1" applyAlignment="1"/>
    <xf numFmtId="0" fontId="5071" fillId="0" borderId="5071" xfId="0" applyFont="1" applyBorder="1" applyAlignment="1"/>
    <xf numFmtId="0" fontId="5072" fillId="0" borderId="5072" xfId="0" applyFont="1" applyBorder="1" applyAlignment="1"/>
    <xf numFmtId="0" fontId="5073" fillId="0" borderId="5073" xfId="0" applyFont="1" applyBorder="1" applyAlignment="1"/>
    <xf numFmtId="0" fontId="5074" fillId="0" borderId="5074" xfId="0" applyFont="1" applyBorder="1" applyAlignment="1"/>
    <xf numFmtId="0" fontId="5075" fillId="0" borderId="5075" xfId="0" applyFont="1" applyBorder="1" applyAlignment="1"/>
    <xf numFmtId="0" fontId="5076" fillId="0" borderId="5076" xfId="0" applyFont="1" applyBorder="1" applyAlignment="1"/>
    <xf numFmtId="0" fontId="5077" fillId="0" borderId="5077" xfId="0" applyFont="1" applyBorder="1" applyAlignment="1"/>
    <xf numFmtId="0" fontId="5078" fillId="0" borderId="5078" xfId="0" applyFont="1" applyBorder="1" applyAlignment="1"/>
    <xf numFmtId="0" fontId="5079" fillId="0" borderId="5079" xfId="0" applyFont="1" applyBorder="1" applyAlignment="1"/>
    <xf numFmtId="0" fontId="5080" fillId="0" borderId="5080" xfId="0" applyFont="1" applyBorder="1" applyAlignment="1"/>
    <xf numFmtId="0" fontId="5081" fillId="0" borderId="5081" xfId="0" applyFont="1" applyBorder="1" applyAlignment="1"/>
    <xf numFmtId="0" fontId="5082" fillId="0" borderId="5082" xfId="0" applyFont="1" applyBorder="1" applyAlignment="1"/>
    <xf numFmtId="0" fontId="5083" fillId="0" borderId="5083" xfId="0" applyFont="1" applyBorder="1" applyAlignment="1"/>
    <xf numFmtId="0" fontId="5084" fillId="0" borderId="5084" xfId="0" applyFont="1" applyBorder="1" applyAlignment="1"/>
    <xf numFmtId="0" fontId="5085" fillId="0" borderId="5085" xfId="0" applyFont="1" applyBorder="1" applyAlignment="1"/>
    <xf numFmtId="0" fontId="5086" fillId="0" borderId="5086" xfId="0" applyFont="1" applyBorder="1" applyAlignment="1"/>
    <xf numFmtId="0" fontId="5087" fillId="0" borderId="5087" xfId="0" applyFont="1" applyBorder="1" applyAlignment="1"/>
    <xf numFmtId="0" fontId="5088" fillId="0" borderId="5088" xfId="0" applyFont="1" applyBorder="1" applyAlignment="1"/>
    <xf numFmtId="0" fontId="5089" fillId="0" borderId="5089" xfId="0" applyFont="1" applyBorder="1" applyAlignment="1"/>
    <xf numFmtId="0" fontId="5090" fillId="0" borderId="5090" xfId="0" applyFont="1" applyBorder="1" applyAlignment="1"/>
    <xf numFmtId="0" fontId="5091" fillId="0" borderId="5091" xfId="0" applyFont="1" applyBorder="1" applyAlignment="1"/>
    <xf numFmtId="0" fontId="5092" fillId="0" borderId="5092" xfId="0" applyFont="1" applyBorder="1" applyAlignment="1"/>
    <xf numFmtId="0" fontId="5093" fillId="0" borderId="5093" xfId="0" applyFont="1" applyBorder="1" applyAlignment="1"/>
    <xf numFmtId="0" fontId="5094" fillId="0" borderId="5094" xfId="0" applyFont="1" applyBorder="1" applyAlignment="1"/>
    <xf numFmtId="0" fontId="5095" fillId="0" borderId="5095" xfId="0" applyFont="1" applyBorder="1" applyAlignment="1"/>
    <xf numFmtId="0" fontId="5096" fillId="0" borderId="5096" xfId="0" applyFont="1" applyBorder="1" applyAlignment="1"/>
    <xf numFmtId="0" fontId="5097" fillId="0" borderId="5097" xfId="0" applyFont="1" applyBorder="1" applyAlignment="1"/>
    <xf numFmtId="0" fontId="5098" fillId="0" borderId="5098" xfId="0" applyFont="1" applyBorder="1" applyAlignment="1"/>
    <xf numFmtId="0" fontId="5099" fillId="0" borderId="5099" xfId="0" applyFont="1" applyBorder="1" applyAlignment="1"/>
    <xf numFmtId="0" fontId="5100" fillId="0" borderId="5100" xfId="0" applyFont="1" applyBorder="1" applyAlignment="1"/>
    <xf numFmtId="0" fontId="5101" fillId="0" borderId="5101" xfId="0" applyFont="1" applyBorder="1" applyAlignment="1"/>
    <xf numFmtId="0" fontId="5102" fillId="0" borderId="5102" xfId="0" applyFont="1" applyBorder="1" applyAlignment="1"/>
    <xf numFmtId="0" fontId="5103" fillId="0" borderId="5103" xfId="0" applyFont="1" applyBorder="1" applyAlignment="1"/>
    <xf numFmtId="0" fontId="5104" fillId="0" borderId="5104" xfId="0" applyFont="1" applyBorder="1" applyAlignment="1"/>
    <xf numFmtId="0" fontId="5105" fillId="0" borderId="5105" xfId="0" applyFont="1" applyBorder="1" applyAlignment="1"/>
    <xf numFmtId="0" fontId="5106" fillId="0" borderId="5106" xfId="0" applyFont="1" applyBorder="1" applyAlignment="1"/>
    <xf numFmtId="0" fontId="5107" fillId="0" borderId="5107" xfId="0" applyFont="1" applyBorder="1" applyAlignment="1"/>
    <xf numFmtId="0" fontId="5108" fillId="0" borderId="5108" xfId="0" applyFont="1" applyBorder="1" applyAlignment="1"/>
    <xf numFmtId="0" fontId="5109" fillId="0" borderId="5109" xfId="0" applyFont="1" applyBorder="1" applyAlignment="1"/>
    <xf numFmtId="0" fontId="5110" fillId="0" borderId="5110" xfId="0" applyFont="1" applyBorder="1" applyAlignment="1"/>
    <xf numFmtId="0" fontId="5111" fillId="0" borderId="5111" xfId="0" applyFont="1" applyBorder="1" applyAlignment="1"/>
    <xf numFmtId="0" fontId="5112" fillId="0" borderId="5112" xfId="0" applyFont="1" applyBorder="1" applyAlignment="1"/>
    <xf numFmtId="0" fontId="5113" fillId="0" borderId="5113" xfId="0" applyFont="1" applyBorder="1" applyAlignment="1"/>
    <xf numFmtId="0" fontId="5114" fillId="0" borderId="5114" xfId="0" applyFont="1" applyBorder="1" applyAlignment="1"/>
    <xf numFmtId="0" fontId="5115" fillId="0" borderId="5115" xfId="0" applyFont="1" applyBorder="1" applyAlignment="1"/>
    <xf numFmtId="0" fontId="5116" fillId="0" borderId="5116" xfId="0" applyFont="1" applyBorder="1" applyAlignment="1"/>
    <xf numFmtId="0" fontId="5117" fillId="0" borderId="5117" xfId="0" applyFont="1" applyBorder="1" applyAlignment="1"/>
    <xf numFmtId="0" fontId="5118" fillId="0" borderId="5118" xfId="0" applyFont="1" applyBorder="1" applyAlignment="1"/>
    <xf numFmtId="0" fontId="5119" fillId="0" borderId="5119" xfId="0" applyFont="1" applyBorder="1" applyAlignment="1"/>
    <xf numFmtId="0" fontId="5120" fillId="0" borderId="5120" xfId="0" applyFont="1" applyBorder="1" applyAlignment="1"/>
    <xf numFmtId="0" fontId="5121" fillId="0" borderId="5121" xfId="0" applyFont="1" applyBorder="1" applyAlignment="1"/>
    <xf numFmtId="0" fontId="5122" fillId="0" borderId="5122" xfId="0" applyFont="1" applyBorder="1" applyAlignment="1"/>
    <xf numFmtId="0" fontId="5123" fillId="0" borderId="5123" xfId="0" applyFont="1" applyBorder="1" applyAlignment="1"/>
    <xf numFmtId="0" fontId="5124" fillId="0" borderId="5124" xfId="0" applyFont="1" applyBorder="1" applyAlignment="1"/>
    <xf numFmtId="0" fontId="5125" fillId="0" borderId="5125" xfId="0" applyFont="1" applyBorder="1" applyAlignment="1"/>
    <xf numFmtId="0" fontId="5126" fillId="0" borderId="5126" xfId="0" applyFont="1" applyBorder="1" applyAlignment="1"/>
    <xf numFmtId="0" fontId="5127" fillId="0" borderId="5127" xfId="0" applyFont="1" applyBorder="1" applyAlignment="1"/>
    <xf numFmtId="0" fontId="5128" fillId="0" borderId="5128" xfId="0" applyFont="1" applyBorder="1" applyAlignment="1"/>
    <xf numFmtId="0" fontId="5129" fillId="0" borderId="5129" xfId="0" applyFont="1" applyBorder="1" applyAlignment="1"/>
    <xf numFmtId="0" fontId="5130" fillId="0" borderId="5130" xfId="0" applyFont="1" applyBorder="1" applyAlignment="1"/>
    <xf numFmtId="0" fontId="5131" fillId="0" borderId="5131" xfId="0" applyFont="1" applyBorder="1" applyAlignment="1"/>
    <xf numFmtId="0" fontId="5132" fillId="0" borderId="5132" xfId="0" applyFont="1" applyBorder="1" applyAlignment="1"/>
    <xf numFmtId="0" fontId="5133" fillId="0" borderId="5133" xfId="0" applyFont="1" applyBorder="1" applyAlignment="1"/>
    <xf numFmtId="0" fontId="5134" fillId="0" borderId="5134" xfId="0" applyFont="1" applyBorder="1" applyAlignment="1"/>
    <xf numFmtId="0" fontId="5135" fillId="0" borderId="5135" xfId="0" applyFont="1" applyBorder="1" applyAlignment="1"/>
    <xf numFmtId="0" fontId="5136" fillId="0" borderId="5136" xfId="0" applyFont="1" applyBorder="1" applyAlignment="1"/>
    <xf numFmtId="0" fontId="5137" fillId="0" borderId="5137" xfId="0" applyFont="1" applyBorder="1" applyAlignment="1"/>
    <xf numFmtId="0" fontId="5138" fillId="0" borderId="5138" xfId="0" applyFont="1" applyBorder="1" applyAlignment="1"/>
    <xf numFmtId="0" fontId="5139" fillId="0" borderId="5139" xfId="0" applyFont="1" applyBorder="1" applyAlignment="1"/>
    <xf numFmtId="0" fontId="5140" fillId="0" borderId="5140" xfId="0" applyFont="1" applyBorder="1" applyAlignment="1"/>
    <xf numFmtId="0" fontId="5141" fillId="0" borderId="5141" xfId="0" applyFont="1" applyBorder="1" applyAlignment="1"/>
    <xf numFmtId="0" fontId="5142" fillId="0" borderId="5142" xfId="0" applyFont="1" applyBorder="1" applyAlignment="1"/>
    <xf numFmtId="0" fontId="5143" fillId="0" borderId="5143" xfId="0" applyFont="1" applyBorder="1" applyAlignment="1"/>
    <xf numFmtId="0" fontId="5144" fillId="0" borderId="5144" xfId="0" applyFont="1" applyBorder="1" applyAlignment="1"/>
    <xf numFmtId="0" fontId="5145" fillId="0" borderId="5145" xfId="0" applyFont="1" applyBorder="1" applyAlignment="1"/>
    <xf numFmtId="0" fontId="5146" fillId="0" borderId="5146" xfId="0" applyFont="1" applyBorder="1" applyAlignment="1"/>
    <xf numFmtId="0" fontId="5147" fillId="0" borderId="5147" xfId="0" applyFont="1" applyBorder="1" applyAlignment="1"/>
    <xf numFmtId="0" fontId="5148" fillId="0" borderId="5148" xfId="0" applyFont="1" applyBorder="1" applyAlignment="1"/>
    <xf numFmtId="0" fontId="5149" fillId="0" borderId="5149" xfId="0" applyFont="1" applyBorder="1" applyAlignment="1"/>
    <xf numFmtId="0" fontId="5150" fillId="0" borderId="5150" xfId="0" applyFont="1" applyBorder="1" applyAlignment="1"/>
    <xf numFmtId="0" fontId="5151" fillId="0" borderId="5151" xfId="0" applyFont="1" applyBorder="1" applyAlignment="1"/>
    <xf numFmtId="0" fontId="5152" fillId="0" borderId="5152" xfId="0" applyFont="1" applyBorder="1" applyAlignment="1"/>
    <xf numFmtId="0" fontId="5153" fillId="0" borderId="5153" xfId="0" applyFont="1" applyBorder="1" applyAlignment="1"/>
    <xf numFmtId="0" fontId="5154" fillId="0" borderId="5154" xfId="0" applyFont="1" applyBorder="1" applyAlignment="1"/>
    <xf numFmtId="0" fontId="5155" fillId="0" borderId="5155" xfId="0" applyFont="1" applyBorder="1" applyAlignment="1"/>
    <xf numFmtId="0" fontId="5156" fillId="0" borderId="5156" xfId="0" applyFont="1" applyBorder="1" applyAlignment="1"/>
    <xf numFmtId="0" fontId="5157" fillId="0" borderId="5157" xfId="0" applyFont="1" applyBorder="1" applyAlignment="1"/>
    <xf numFmtId="0" fontId="5158" fillId="0" borderId="5158" xfId="0" applyFont="1" applyBorder="1" applyAlignment="1"/>
    <xf numFmtId="0" fontId="5159" fillId="0" borderId="5159" xfId="0" applyFont="1" applyBorder="1" applyAlignment="1"/>
    <xf numFmtId="0" fontId="5160" fillId="0" borderId="5160" xfId="0" applyFont="1" applyBorder="1" applyAlignment="1"/>
    <xf numFmtId="0" fontId="5161" fillId="0" borderId="5161" xfId="0" applyFont="1" applyBorder="1" applyAlignment="1"/>
    <xf numFmtId="0" fontId="5162" fillId="0" borderId="5162" xfId="0" applyFont="1" applyBorder="1" applyAlignment="1"/>
    <xf numFmtId="0" fontId="5163" fillId="0" borderId="5163" xfId="0" applyFont="1" applyBorder="1" applyAlignment="1"/>
    <xf numFmtId="0" fontId="5164" fillId="0" borderId="5164" xfId="0" applyFont="1" applyBorder="1" applyAlignment="1"/>
    <xf numFmtId="0" fontId="5165" fillId="0" borderId="5165" xfId="0" applyFont="1" applyBorder="1" applyAlignment="1"/>
    <xf numFmtId="0" fontId="5166" fillId="0" borderId="5166" xfId="0" applyFont="1" applyBorder="1" applyAlignment="1"/>
    <xf numFmtId="0" fontId="5167" fillId="0" borderId="5167" xfId="0" applyFont="1" applyBorder="1" applyAlignment="1"/>
    <xf numFmtId="0" fontId="5168" fillId="0" borderId="5168" xfId="0" applyFont="1" applyBorder="1" applyAlignment="1"/>
    <xf numFmtId="0" fontId="5169" fillId="0" borderId="5169" xfId="0" applyFont="1" applyBorder="1" applyAlignment="1"/>
    <xf numFmtId="0" fontId="5170" fillId="0" borderId="5170" xfId="0" applyFont="1" applyBorder="1" applyAlignment="1"/>
    <xf numFmtId="0" fontId="5171" fillId="0" borderId="5171" xfId="0" applyFont="1" applyBorder="1" applyAlignment="1"/>
    <xf numFmtId="0" fontId="5172" fillId="0" borderId="5172" xfId="0" applyFont="1" applyBorder="1" applyAlignment="1"/>
    <xf numFmtId="0" fontId="5173" fillId="0" borderId="5173" xfId="0" applyFont="1" applyBorder="1" applyAlignment="1"/>
    <xf numFmtId="0" fontId="5174" fillId="0" borderId="5174" xfId="0" applyFont="1" applyBorder="1" applyAlignment="1"/>
    <xf numFmtId="0" fontId="5175" fillId="0" borderId="5175" xfId="0" applyFont="1" applyBorder="1" applyAlignment="1"/>
    <xf numFmtId="0" fontId="5176" fillId="0" borderId="5176" xfId="0" applyFont="1" applyBorder="1" applyAlignment="1"/>
    <xf numFmtId="0" fontId="5177" fillId="0" borderId="5177" xfId="0" applyFont="1" applyBorder="1" applyAlignment="1"/>
    <xf numFmtId="0" fontId="5178" fillId="0" borderId="5178" xfId="0" applyFont="1" applyBorder="1" applyAlignment="1"/>
    <xf numFmtId="0" fontId="5179" fillId="0" borderId="5179" xfId="0" applyFont="1" applyBorder="1" applyAlignment="1"/>
    <xf numFmtId="0" fontId="5180" fillId="0" borderId="5180" xfId="0" applyFont="1" applyBorder="1" applyAlignment="1"/>
    <xf numFmtId="0" fontId="5181" fillId="0" borderId="5181" xfId="0" applyFont="1" applyBorder="1" applyAlignment="1"/>
    <xf numFmtId="0" fontId="5182" fillId="0" borderId="5182" xfId="0" applyFont="1" applyBorder="1" applyAlignment="1"/>
    <xf numFmtId="0" fontId="5183" fillId="0" borderId="5183" xfId="0" applyFont="1" applyBorder="1" applyAlignment="1"/>
    <xf numFmtId="0" fontId="5184" fillId="0" borderId="5184" xfId="0" applyFont="1" applyBorder="1" applyAlignment="1"/>
    <xf numFmtId="0" fontId="5185" fillId="0" borderId="5185" xfId="0" applyFont="1" applyBorder="1" applyAlignment="1"/>
    <xf numFmtId="0" fontId="5186" fillId="0" borderId="5186" xfId="0" applyFont="1" applyBorder="1" applyAlignment="1"/>
    <xf numFmtId="0" fontId="5187" fillId="0" borderId="5187" xfId="0" applyFont="1" applyBorder="1" applyAlignment="1"/>
    <xf numFmtId="0" fontId="5188" fillId="0" borderId="5188" xfId="0" applyFont="1" applyBorder="1" applyAlignment="1"/>
    <xf numFmtId="0" fontId="5189" fillId="0" borderId="5189" xfId="0" applyFont="1" applyBorder="1" applyAlignment="1"/>
    <xf numFmtId="0" fontId="5190" fillId="0" borderId="5190" xfId="0" applyFont="1" applyBorder="1" applyAlignment="1"/>
    <xf numFmtId="0" fontId="5191" fillId="0" borderId="5191" xfId="0" applyFont="1" applyBorder="1" applyAlignment="1"/>
    <xf numFmtId="0" fontId="5192" fillId="0" borderId="5192" xfId="0" applyFont="1" applyBorder="1" applyAlignment="1"/>
    <xf numFmtId="0" fontId="5193" fillId="0" borderId="5193" xfId="0" applyFont="1" applyBorder="1" applyAlignment="1"/>
    <xf numFmtId="0" fontId="5194" fillId="0" borderId="5194" xfId="0" applyFont="1" applyBorder="1" applyAlignment="1"/>
    <xf numFmtId="0" fontId="5195" fillId="0" borderId="5195" xfId="0" applyFont="1" applyBorder="1" applyAlignment="1"/>
    <xf numFmtId="0" fontId="5196" fillId="0" borderId="5196" xfId="0" applyFont="1" applyBorder="1" applyAlignment="1"/>
    <xf numFmtId="0" fontId="5197" fillId="0" borderId="5197" xfId="0" applyFont="1" applyBorder="1" applyAlignment="1"/>
    <xf numFmtId="0" fontId="5198" fillId="0" borderId="5198" xfId="0" applyFont="1" applyBorder="1" applyAlignment="1"/>
    <xf numFmtId="0" fontId="5199" fillId="0" borderId="5199" xfId="0" applyFont="1" applyBorder="1" applyAlignment="1"/>
    <xf numFmtId="0" fontId="5200" fillId="0" borderId="5200" xfId="0" applyFont="1" applyBorder="1" applyAlignment="1"/>
    <xf numFmtId="0" fontId="5201" fillId="0" borderId="5201" xfId="0" applyFont="1" applyBorder="1" applyAlignment="1"/>
    <xf numFmtId="0" fontId="5202" fillId="0" borderId="5202" xfId="0" applyFont="1" applyBorder="1" applyAlignment="1"/>
    <xf numFmtId="0" fontId="5203" fillId="0" borderId="5203" xfId="0" applyFont="1" applyBorder="1" applyAlignment="1"/>
    <xf numFmtId="0" fontId="5204" fillId="0" borderId="5204" xfId="0" applyFont="1" applyBorder="1" applyAlignment="1"/>
    <xf numFmtId="0" fontId="5205" fillId="0" borderId="5205" xfId="0" applyFont="1" applyBorder="1" applyAlignment="1"/>
    <xf numFmtId="0" fontId="5206" fillId="0" borderId="5206" xfId="0" applyFont="1" applyBorder="1" applyAlignment="1"/>
    <xf numFmtId="0" fontId="5207" fillId="0" borderId="5207" xfId="0" applyFont="1" applyBorder="1" applyAlignment="1"/>
    <xf numFmtId="0" fontId="5208" fillId="0" borderId="5208" xfId="0" applyFont="1" applyBorder="1" applyAlignment="1"/>
    <xf numFmtId="0" fontId="5209" fillId="0" borderId="5209" xfId="0" applyFont="1" applyBorder="1" applyAlignment="1"/>
    <xf numFmtId="0" fontId="5210" fillId="0" borderId="5210" xfId="0" applyFont="1" applyBorder="1" applyAlignment="1"/>
    <xf numFmtId="0" fontId="5211" fillId="0" borderId="5211" xfId="0" applyFont="1" applyBorder="1" applyAlignment="1"/>
    <xf numFmtId="0" fontId="5212" fillId="0" borderId="5212" xfId="0" applyFont="1" applyBorder="1" applyAlignment="1"/>
    <xf numFmtId="0" fontId="5213" fillId="0" borderId="5213" xfId="0" applyFont="1" applyBorder="1" applyAlignment="1"/>
    <xf numFmtId="0" fontId="5214" fillId="0" borderId="5214" xfId="0" applyFont="1" applyBorder="1" applyAlignment="1"/>
    <xf numFmtId="0" fontId="5215" fillId="0" borderId="5215" xfId="0" applyFont="1" applyBorder="1" applyAlignment="1"/>
    <xf numFmtId="0" fontId="5216" fillId="0" borderId="5216" xfId="0" applyFont="1" applyBorder="1" applyAlignment="1"/>
    <xf numFmtId="0" fontId="5217" fillId="0" borderId="5217" xfId="0" applyFont="1" applyBorder="1" applyAlignment="1"/>
    <xf numFmtId="0" fontId="5218" fillId="0" borderId="5218" xfId="0" applyFont="1" applyBorder="1" applyAlignment="1"/>
    <xf numFmtId="0" fontId="5219" fillId="0" borderId="5219" xfId="0" applyFont="1" applyBorder="1" applyAlignment="1"/>
    <xf numFmtId="0" fontId="5220" fillId="0" borderId="5220" xfId="0" applyFont="1" applyBorder="1" applyAlignment="1"/>
    <xf numFmtId="0" fontId="5221" fillId="0" borderId="5221" xfId="0" applyFont="1" applyBorder="1" applyAlignment="1"/>
    <xf numFmtId="0" fontId="5222" fillId="0" borderId="5222" xfId="0" applyFont="1" applyBorder="1" applyAlignment="1"/>
    <xf numFmtId="0" fontId="5223" fillId="0" borderId="5223" xfId="0" applyFont="1" applyBorder="1" applyAlignment="1"/>
    <xf numFmtId="0" fontId="5224" fillId="0" borderId="5224" xfId="0" applyFont="1" applyBorder="1" applyAlignment="1"/>
    <xf numFmtId="0" fontId="5225" fillId="0" borderId="5225" xfId="0" applyFont="1" applyBorder="1" applyAlignment="1"/>
    <xf numFmtId="0" fontId="5226" fillId="0" borderId="5226" xfId="0" applyFont="1" applyBorder="1" applyAlignment="1"/>
    <xf numFmtId="0" fontId="5227" fillId="0" borderId="5227" xfId="0" applyFont="1" applyBorder="1" applyAlignment="1"/>
    <xf numFmtId="0" fontId="5228" fillId="0" borderId="5228" xfId="0" applyFont="1" applyBorder="1" applyAlignment="1"/>
    <xf numFmtId="0" fontId="5229" fillId="0" borderId="5229" xfId="0" applyFont="1" applyBorder="1" applyAlignment="1"/>
    <xf numFmtId="0" fontId="5230" fillId="0" borderId="5230" xfId="0" applyFont="1" applyBorder="1" applyAlignment="1"/>
    <xf numFmtId="0" fontId="5231" fillId="0" borderId="5231" xfId="0" applyFont="1" applyBorder="1" applyAlignment="1"/>
    <xf numFmtId="0" fontId="5232" fillId="0" borderId="5232" xfId="0" applyFont="1" applyBorder="1" applyAlignment="1"/>
    <xf numFmtId="0" fontId="5233" fillId="0" borderId="5233" xfId="0" applyFont="1" applyBorder="1" applyAlignment="1"/>
    <xf numFmtId="0" fontId="5234" fillId="0" borderId="5234" xfId="0" applyFont="1" applyBorder="1" applyAlignment="1"/>
    <xf numFmtId="0" fontId="5235" fillId="0" borderId="5235" xfId="0" applyFont="1" applyBorder="1" applyAlignment="1"/>
    <xf numFmtId="0" fontId="5236" fillId="0" borderId="5236" xfId="0" applyFont="1" applyBorder="1" applyAlignment="1"/>
    <xf numFmtId="0" fontId="5237" fillId="0" borderId="5237" xfId="0" applyFont="1" applyBorder="1" applyAlignment="1"/>
    <xf numFmtId="0" fontId="5238" fillId="0" borderId="5238" xfId="0" applyFont="1" applyBorder="1" applyAlignment="1"/>
    <xf numFmtId="0" fontId="5239" fillId="0" borderId="5239" xfId="0" applyFont="1" applyBorder="1" applyAlignment="1"/>
    <xf numFmtId="0" fontId="5240" fillId="0" borderId="5240" xfId="0" applyFont="1" applyBorder="1" applyAlignment="1"/>
    <xf numFmtId="0" fontId="5241" fillId="0" borderId="5241" xfId="0" applyFont="1" applyBorder="1" applyAlignment="1"/>
    <xf numFmtId="0" fontId="5242" fillId="0" borderId="5242" xfId="0" applyFont="1" applyBorder="1" applyAlignment="1"/>
    <xf numFmtId="0" fontId="5243" fillId="0" borderId="5243" xfId="0" applyFont="1" applyBorder="1" applyAlignment="1"/>
    <xf numFmtId="0" fontId="5244" fillId="0" borderId="5244" xfId="0" applyFont="1" applyBorder="1" applyAlignment="1"/>
    <xf numFmtId="0" fontId="5245" fillId="0" borderId="5245" xfId="0" applyFont="1" applyBorder="1" applyAlignment="1"/>
    <xf numFmtId="0" fontId="5246" fillId="0" borderId="5246" xfId="0" applyFont="1" applyBorder="1" applyAlignment="1"/>
    <xf numFmtId="0" fontId="5247" fillId="0" borderId="5247" xfId="0" applyFont="1" applyBorder="1" applyAlignment="1"/>
    <xf numFmtId="0" fontId="5248" fillId="0" borderId="5248" xfId="0" applyFont="1" applyBorder="1" applyAlignment="1"/>
    <xf numFmtId="0" fontId="5249" fillId="0" borderId="5249" xfId="0" applyFont="1" applyBorder="1" applyAlignment="1"/>
    <xf numFmtId="0" fontId="5250" fillId="0" borderId="5250" xfId="0" applyFont="1" applyBorder="1" applyAlignment="1"/>
    <xf numFmtId="0" fontId="5251" fillId="0" borderId="5251" xfId="0" applyFont="1" applyBorder="1" applyAlignment="1"/>
    <xf numFmtId="0" fontId="5252" fillId="0" borderId="5252" xfId="0" applyFont="1" applyBorder="1" applyAlignment="1"/>
    <xf numFmtId="0" fontId="5253" fillId="0" borderId="5253" xfId="0" applyFont="1" applyBorder="1" applyAlignment="1"/>
    <xf numFmtId="0" fontId="5254" fillId="0" borderId="5254" xfId="0" applyFont="1" applyBorder="1" applyAlignment="1"/>
    <xf numFmtId="0" fontId="5255" fillId="0" borderId="5255" xfId="0" applyFont="1" applyBorder="1" applyAlignment="1"/>
    <xf numFmtId="0" fontId="5256" fillId="0" borderId="5256" xfId="0" applyFont="1" applyBorder="1" applyAlignment="1"/>
    <xf numFmtId="0" fontId="5257" fillId="0" borderId="5257" xfId="0" applyFont="1" applyBorder="1" applyAlignment="1"/>
    <xf numFmtId="0" fontId="5258" fillId="0" borderId="5258" xfId="0" applyFont="1" applyBorder="1" applyAlignment="1"/>
    <xf numFmtId="0" fontId="5259" fillId="0" borderId="5259" xfId="0" applyFont="1" applyBorder="1" applyAlignment="1"/>
    <xf numFmtId="0" fontId="5260" fillId="0" borderId="5260" xfId="0" applyFont="1" applyBorder="1" applyAlignment="1"/>
    <xf numFmtId="0" fontId="5261" fillId="0" borderId="5261" xfId="0" applyFont="1" applyBorder="1" applyAlignment="1"/>
    <xf numFmtId="0" fontId="5262" fillId="0" borderId="5262" xfId="0" applyFont="1" applyBorder="1" applyAlignment="1"/>
    <xf numFmtId="0" fontId="5263" fillId="0" borderId="5263" xfId="0" applyFont="1" applyBorder="1" applyAlignment="1"/>
    <xf numFmtId="0" fontId="5264" fillId="0" borderId="5264" xfId="0" applyFont="1" applyBorder="1" applyAlignment="1"/>
    <xf numFmtId="0" fontId="5265" fillId="0" borderId="5265" xfId="0" applyFont="1" applyBorder="1" applyAlignment="1"/>
    <xf numFmtId="0" fontId="5266" fillId="0" borderId="5266" xfId="0" applyFont="1" applyBorder="1" applyAlignment="1"/>
    <xf numFmtId="0" fontId="5267" fillId="0" borderId="5267" xfId="0" applyFont="1" applyBorder="1" applyAlignment="1"/>
    <xf numFmtId="0" fontId="5268" fillId="0" borderId="5268" xfId="0" applyFont="1" applyBorder="1" applyAlignment="1"/>
    <xf numFmtId="0" fontId="5269" fillId="0" borderId="5269" xfId="0" applyFont="1" applyBorder="1" applyAlignment="1"/>
    <xf numFmtId="0" fontId="5270" fillId="0" borderId="5270" xfId="0" applyFont="1" applyBorder="1" applyAlignment="1"/>
    <xf numFmtId="0" fontId="5271" fillId="0" borderId="5271" xfId="0" applyFont="1" applyBorder="1" applyAlignment="1"/>
    <xf numFmtId="0" fontId="5272" fillId="0" borderId="5272" xfId="0" applyFont="1" applyBorder="1" applyAlignment="1"/>
    <xf numFmtId="0" fontId="5273" fillId="0" borderId="5273" xfId="0" applyFont="1" applyBorder="1" applyAlignment="1"/>
    <xf numFmtId="0" fontId="5274" fillId="0" borderId="5274" xfId="0" applyFont="1" applyBorder="1" applyAlignment="1"/>
    <xf numFmtId="0" fontId="5275" fillId="0" borderId="5275" xfId="0" applyFont="1" applyBorder="1" applyAlignment="1"/>
    <xf numFmtId="0" fontId="5276" fillId="0" borderId="5276" xfId="0" applyFont="1" applyBorder="1" applyAlignment="1"/>
    <xf numFmtId="0" fontId="5277" fillId="0" borderId="5277" xfId="0" applyFont="1" applyBorder="1" applyAlignment="1"/>
    <xf numFmtId="0" fontId="5278" fillId="0" borderId="5278" xfId="0" applyFont="1" applyBorder="1" applyAlignment="1"/>
    <xf numFmtId="0" fontId="5279" fillId="0" borderId="5279" xfId="0" applyFont="1" applyBorder="1" applyAlignment="1"/>
    <xf numFmtId="0" fontId="5280" fillId="0" borderId="5280" xfId="0" applyFont="1" applyBorder="1" applyAlignment="1"/>
    <xf numFmtId="0" fontId="5281" fillId="0" borderId="5281" xfId="0" applyFont="1" applyBorder="1" applyAlignment="1"/>
    <xf numFmtId="0" fontId="5282" fillId="0" borderId="5282" xfId="0" applyFont="1" applyBorder="1" applyAlignment="1"/>
    <xf numFmtId="0" fontId="5283" fillId="0" borderId="5283" xfId="0" applyFont="1" applyBorder="1" applyAlignment="1"/>
    <xf numFmtId="0" fontId="5284" fillId="0" borderId="5284" xfId="0" applyFont="1" applyBorder="1" applyAlignment="1"/>
    <xf numFmtId="0" fontId="5285" fillId="0" borderId="5285" xfId="0" applyFont="1" applyBorder="1" applyAlignment="1"/>
    <xf numFmtId="0" fontId="5286" fillId="0" borderId="5286" xfId="0" applyFont="1" applyBorder="1" applyAlignment="1"/>
    <xf numFmtId="0" fontId="5287" fillId="0" borderId="5287" xfId="0" applyFont="1" applyBorder="1" applyAlignment="1"/>
    <xf numFmtId="0" fontId="5288" fillId="0" borderId="5288" xfId="0" applyFont="1" applyBorder="1" applyAlignment="1"/>
    <xf numFmtId="0" fontId="5289" fillId="0" borderId="5289" xfId="0" applyFont="1" applyBorder="1" applyAlignment="1"/>
    <xf numFmtId="0" fontId="5290" fillId="0" borderId="5290" xfId="0" applyFont="1" applyBorder="1" applyAlignment="1"/>
    <xf numFmtId="0" fontId="5291" fillId="0" borderId="5291" xfId="0" applyFont="1" applyBorder="1" applyAlignment="1"/>
    <xf numFmtId="0" fontId="5292" fillId="0" borderId="5292" xfId="0" applyFont="1" applyBorder="1" applyAlignment="1"/>
    <xf numFmtId="0" fontId="5293" fillId="0" borderId="5293" xfId="0" applyFont="1" applyBorder="1" applyAlignment="1"/>
    <xf numFmtId="0" fontId="5294" fillId="0" borderId="5294" xfId="0" applyFont="1" applyBorder="1" applyAlignment="1"/>
    <xf numFmtId="0" fontId="5295" fillId="0" borderId="5295" xfId="0" applyFont="1" applyBorder="1" applyAlignment="1"/>
    <xf numFmtId="0" fontId="5296" fillId="0" borderId="5296" xfId="0" applyFont="1" applyBorder="1" applyAlignment="1"/>
    <xf numFmtId="0" fontId="5297" fillId="0" borderId="5297" xfId="0" applyFont="1" applyBorder="1" applyAlignment="1"/>
    <xf numFmtId="0" fontId="5298" fillId="0" borderId="5298" xfId="0" applyFont="1" applyBorder="1" applyAlignment="1"/>
    <xf numFmtId="0" fontId="5299" fillId="0" borderId="5299" xfId="0" applyFont="1" applyBorder="1" applyAlignment="1"/>
    <xf numFmtId="0" fontId="5300" fillId="0" borderId="5300" xfId="0" applyFont="1" applyBorder="1" applyAlignment="1"/>
    <xf numFmtId="0" fontId="5301" fillId="0" borderId="5301" xfId="0" applyFont="1" applyBorder="1" applyAlignment="1"/>
    <xf numFmtId="0" fontId="5302" fillId="0" borderId="5302" xfId="0" applyFont="1" applyBorder="1" applyAlignment="1"/>
    <xf numFmtId="0" fontId="5303" fillId="0" borderId="5303" xfId="0" applyFont="1" applyBorder="1" applyAlignment="1"/>
    <xf numFmtId="0" fontId="5304" fillId="0" borderId="5304" xfId="0" applyFont="1" applyBorder="1" applyAlignment="1"/>
    <xf numFmtId="0" fontId="5305" fillId="0" borderId="5305" xfId="0" applyFont="1" applyBorder="1" applyAlignment="1"/>
    <xf numFmtId="0" fontId="5306" fillId="0" borderId="5306" xfId="0" applyFont="1" applyBorder="1" applyAlignment="1"/>
    <xf numFmtId="0" fontId="5307" fillId="0" borderId="5307" xfId="0" applyFont="1" applyBorder="1" applyAlignment="1"/>
    <xf numFmtId="0" fontId="5308" fillId="0" borderId="5308" xfId="0" applyFont="1" applyBorder="1" applyAlignment="1"/>
    <xf numFmtId="0" fontId="5309" fillId="0" borderId="5309" xfId="0" applyFont="1" applyBorder="1" applyAlignment="1"/>
    <xf numFmtId="0" fontId="5310" fillId="0" borderId="5310" xfId="0" applyFont="1" applyBorder="1" applyAlignment="1"/>
    <xf numFmtId="0" fontId="5311" fillId="0" borderId="5311" xfId="0" applyFont="1" applyBorder="1" applyAlignment="1"/>
    <xf numFmtId="0" fontId="5312" fillId="0" borderId="5312" xfId="0" applyFont="1" applyBorder="1" applyAlignment="1"/>
    <xf numFmtId="0" fontId="5313" fillId="0" borderId="5313" xfId="0" applyFont="1" applyBorder="1" applyAlignment="1"/>
    <xf numFmtId="0" fontId="5314" fillId="0" borderId="5314" xfId="0" applyFont="1" applyBorder="1" applyAlignment="1"/>
    <xf numFmtId="0" fontId="5315" fillId="0" borderId="5315" xfId="0" applyFont="1" applyBorder="1" applyAlignment="1"/>
    <xf numFmtId="0" fontId="5316" fillId="0" borderId="5316" xfId="0" applyFont="1" applyBorder="1" applyAlignment="1"/>
    <xf numFmtId="0" fontId="5317" fillId="0" borderId="5317" xfId="0" applyFont="1" applyBorder="1" applyAlignment="1"/>
    <xf numFmtId="0" fontId="5318" fillId="0" borderId="5318" xfId="0" applyFont="1" applyBorder="1" applyAlignment="1"/>
    <xf numFmtId="0" fontId="5319" fillId="0" borderId="5319" xfId="0" applyFont="1" applyBorder="1" applyAlignment="1"/>
    <xf numFmtId="0" fontId="5320" fillId="0" borderId="5320" xfId="0" applyFont="1" applyBorder="1" applyAlignment="1"/>
    <xf numFmtId="0" fontId="5321" fillId="0" borderId="5321" xfId="0" applyFont="1" applyBorder="1" applyAlignment="1"/>
    <xf numFmtId="0" fontId="5322" fillId="0" borderId="5322" xfId="0" applyFont="1" applyBorder="1" applyAlignment="1"/>
    <xf numFmtId="0" fontId="5323" fillId="0" borderId="5323" xfId="0" applyFont="1" applyBorder="1" applyAlignment="1"/>
    <xf numFmtId="0" fontId="5324" fillId="0" borderId="5324" xfId="0" applyFont="1" applyBorder="1" applyAlignment="1"/>
    <xf numFmtId="0" fontId="5325" fillId="0" borderId="5325" xfId="0" applyFont="1" applyBorder="1" applyAlignment="1"/>
    <xf numFmtId="0" fontId="5326" fillId="0" borderId="5326" xfId="0" applyFont="1" applyBorder="1" applyAlignment="1"/>
    <xf numFmtId="0" fontId="5327" fillId="0" borderId="5327" xfId="0" applyFont="1" applyBorder="1" applyAlignment="1"/>
    <xf numFmtId="0" fontId="5328" fillId="0" borderId="5328" xfId="0" applyFont="1" applyBorder="1" applyAlignment="1"/>
    <xf numFmtId="0" fontId="5329" fillId="0" borderId="5329" xfId="0" applyFont="1" applyBorder="1" applyAlignment="1"/>
    <xf numFmtId="0" fontId="5330" fillId="0" borderId="5330" xfId="0" applyFont="1" applyBorder="1" applyAlignment="1"/>
    <xf numFmtId="0" fontId="5331" fillId="0" borderId="5331" xfId="0" applyFont="1" applyBorder="1" applyAlignment="1"/>
    <xf numFmtId="0" fontId="5332" fillId="0" borderId="5332" xfId="0" applyFont="1" applyBorder="1" applyAlignment="1"/>
    <xf numFmtId="0" fontId="5333" fillId="0" borderId="5333" xfId="0" applyFont="1" applyBorder="1" applyAlignment="1"/>
    <xf numFmtId="0" fontId="5334" fillId="0" borderId="5334" xfId="0" applyFont="1" applyBorder="1" applyAlignment="1"/>
    <xf numFmtId="0" fontId="5335" fillId="0" borderId="5335" xfId="0" applyFont="1" applyBorder="1" applyAlignment="1"/>
    <xf numFmtId="0" fontId="5336" fillId="0" borderId="5336" xfId="0" applyFont="1" applyBorder="1" applyAlignment="1"/>
    <xf numFmtId="0" fontId="5337" fillId="0" borderId="5337" xfId="0" applyFont="1" applyBorder="1" applyAlignment="1"/>
    <xf numFmtId="0" fontId="5338" fillId="0" borderId="5338" xfId="0" applyFont="1" applyBorder="1" applyAlignment="1"/>
    <xf numFmtId="0" fontId="5339" fillId="0" borderId="5339" xfId="0" applyFont="1" applyBorder="1" applyAlignment="1"/>
    <xf numFmtId="0" fontId="5340" fillId="0" borderId="5340" xfId="0" applyFont="1" applyBorder="1" applyAlignment="1"/>
    <xf numFmtId="0" fontId="5341" fillId="0" borderId="5341" xfId="0" applyFont="1" applyBorder="1" applyAlignment="1"/>
    <xf numFmtId="0" fontId="5342" fillId="0" borderId="5342" xfId="0" applyFont="1" applyBorder="1" applyAlignment="1"/>
    <xf numFmtId="0" fontId="5343" fillId="0" borderId="5343" xfId="0" applyFont="1" applyBorder="1" applyAlignment="1"/>
    <xf numFmtId="0" fontId="5344" fillId="0" borderId="5344" xfId="0" applyFont="1" applyBorder="1" applyAlignment="1"/>
    <xf numFmtId="0" fontId="5345" fillId="0" borderId="5345" xfId="0" applyFont="1" applyBorder="1" applyAlignment="1"/>
    <xf numFmtId="0" fontId="5346" fillId="0" borderId="5346" xfId="0" applyFont="1" applyBorder="1" applyAlignment="1"/>
    <xf numFmtId="0" fontId="5347" fillId="0" borderId="5347" xfId="0" applyFont="1" applyBorder="1" applyAlignment="1"/>
    <xf numFmtId="0" fontId="5348" fillId="0" borderId="5348" xfId="0" applyFont="1" applyBorder="1" applyAlignment="1"/>
    <xf numFmtId="0" fontId="5349" fillId="0" borderId="5349" xfId="0" applyFont="1" applyBorder="1" applyAlignment="1"/>
    <xf numFmtId="0" fontId="5350" fillId="0" borderId="5350" xfId="0" applyFont="1" applyBorder="1" applyAlignment="1"/>
    <xf numFmtId="0" fontId="5351" fillId="0" borderId="5351" xfId="0" applyFont="1" applyBorder="1" applyAlignment="1"/>
    <xf numFmtId="0" fontId="5352" fillId="0" borderId="5352" xfId="0" applyFont="1" applyBorder="1" applyAlignment="1"/>
    <xf numFmtId="0" fontId="5353" fillId="0" borderId="5353" xfId="0" applyFont="1" applyBorder="1" applyAlignment="1"/>
    <xf numFmtId="0" fontId="5354" fillId="0" borderId="5354" xfId="0" applyFont="1" applyBorder="1" applyAlignment="1"/>
    <xf numFmtId="0" fontId="5355" fillId="0" borderId="5355" xfId="0" applyFont="1" applyBorder="1" applyAlignment="1"/>
    <xf numFmtId="0" fontId="5356" fillId="0" borderId="5356" xfId="0" applyFont="1" applyBorder="1" applyAlignment="1"/>
    <xf numFmtId="0" fontId="5357" fillId="0" borderId="5357" xfId="0" applyFont="1" applyBorder="1" applyAlignment="1"/>
    <xf numFmtId="0" fontId="5358" fillId="0" borderId="5358" xfId="0" applyFont="1" applyBorder="1" applyAlignment="1"/>
    <xf numFmtId="0" fontId="5359" fillId="0" borderId="5359" xfId="0" applyFont="1" applyBorder="1" applyAlignment="1"/>
    <xf numFmtId="0" fontId="5360" fillId="0" borderId="5360" xfId="0" applyFont="1" applyBorder="1" applyAlignment="1"/>
    <xf numFmtId="0" fontId="5361" fillId="0" borderId="5361" xfId="0" applyFont="1" applyBorder="1" applyAlignment="1"/>
    <xf numFmtId="0" fontId="5362" fillId="0" borderId="5362" xfId="0" applyFont="1" applyBorder="1" applyAlignment="1"/>
    <xf numFmtId="0" fontId="5363" fillId="0" borderId="5363" xfId="0" applyFont="1" applyBorder="1" applyAlignment="1"/>
    <xf numFmtId="0" fontId="5364" fillId="0" borderId="5364" xfId="0" applyFont="1" applyBorder="1" applyAlignment="1"/>
    <xf numFmtId="0" fontId="5365" fillId="0" borderId="5365" xfId="0" applyFont="1" applyBorder="1" applyAlignment="1"/>
    <xf numFmtId="0" fontId="5366" fillId="0" borderId="5366" xfId="0" applyFont="1" applyBorder="1" applyAlignment="1"/>
    <xf numFmtId="0" fontId="5367" fillId="0" borderId="5367" xfId="0" applyFont="1" applyBorder="1" applyAlignment="1"/>
    <xf numFmtId="0" fontId="5368" fillId="0" borderId="5368" xfId="0" applyFont="1" applyBorder="1" applyAlignment="1"/>
    <xf numFmtId="0" fontId="5369" fillId="0" borderId="5369" xfId="0" applyFont="1" applyBorder="1" applyAlignment="1"/>
    <xf numFmtId="0" fontId="5370" fillId="0" borderId="5370" xfId="0" applyFont="1" applyBorder="1" applyAlignment="1"/>
    <xf numFmtId="0" fontId="5371" fillId="0" borderId="5371" xfId="0" applyFont="1" applyBorder="1" applyAlignment="1"/>
    <xf numFmtId="0" fontId="5372" fillId="0" borderId="5372" xfId="0" applyFont="1" applyBorder="1" applyAlignment="1"/>
    <xf numFmtId="0" fontId="5373" fillId="0" borderId="5373" xfId="0" applyFont="1" applyBorder="1" applyAlignment="1"/>
    <xf numFmtId="0" fontId="5374" fillId="0" borderId="5374" xfId="0" applyFont="1" applyBorder="1" applyAlignment="1"/>
    <xf numFmtId="0" fontId="5375" fillId="0" borderId="5375" xfId="0" applyFont="1" applyBorder="1" applyAlignment="1"/>
    <xf numFmtId="0" fontId="5376" fillId="0" borderId="5376" xfId="0" applyFont="1" applyBorder="1" applyAlignment="1"/>
    <xf numFmtId="0" fontId="5377" fillId="0" borderId="5377" xfId="0" applyFont="1" applyBorder="1" applyAlignment="1"/>
    <xf numFmtId="0" fontId="5378" fillId="0" borderId="5378" xfId="0" applyFont="1" applyBorder="1" applyAlignment="1"/>
    <xf numFmtId="0" fontId="5379" fillId="0" borderId="5379" xfId="0" applyFont="1" applyBorder="1" applyAlignment="1"/>
    <xf numFmtId="0" fontId="5380" fillId="0" borderId="5380" xfId="0" applyFont="1" applyBorder="1" applyAlignment="1"/>
    <xf numFmtId="0" fontId="5381" fillId="0" borderId="5381" xfId="0" applyFont="1" applyBorder="1" applyAlignment="1"/>
    <xf numFmtId="0" fontId="5382" fillId="0" borderId="5382" xfId="0" applyFont="1" applyBorder="1" applyAlignment="1"/>
    <xf numFmtId="0" fontId="5383" fillId="0" borderId="5383" xfId="0" applyFont="1" applyBorder="1" applyAlignment="1"/>
    <xf numFmtId="0" fontId="5384" fillId="0" borderId="5384" xfId="0" applyFont="1" applyBorder="1" applyAlignment="1"/>
    <xf numFmtId="0" fontId="5385" fillId="0" borderId="5385" xfId="0" applyFont="1" applyBorder="1" applyAlignment="1"/>
    <xf numFmtId="0" fontId="5386" fillId="0" borderId="5386" xfId="0" applyFont="1" applyBorder="1" applyAlignment="1"/>
    <xf numFmtId="0" fontId="5387" fillId="0" borderId="5387" xfId="0" applyFont="1" applyBorder="1" applyAlignment="1"/>
    <xf numFmtId="0" fontId="5388" fillId="0" borderId="5388" xfId="0" applyFont="1" applyBorder="1" applyAlignment="1"/>
    <xf numFmtId="0" fontId="5389" fillId="0" borderId="5389" xfId="0" applyFont="1" applyBorder="1" applyAlignment="1"/>
    <xf numFmtId="0" fontId="5390" fillId="0" borderId="5390" xfId="0" applyFont="1" applyBorder="1" applyAlignment="1"/>
    <xf numFmtId="0" fontId="5391" fillId="0" borderId="5391" xfId="0" applyFont="1" applyBorder="1" applyAlignment="1"/>
    <xf numFmtId="0" fontId="5392" fillId="0" borderId="5392" xfId="0" applyFont="1" applyBorder="1" applyAlignment="1"/>
    <xf numFmtId="0" fontId="5393" fillId="0" borderId="5393" xfId="0" applyFont="1" applyBorder="1" applyAlignment="1"/>
    <xf numFmtId="0" fontId="5394" fillId="0" borderId="5394" xfId="0" applyFont="1" applyBorder="1" applyAlignment="1"/>
    <xf numFmtId="0" fontId="5395" fillId="0" borderId="5395" xfId="0" applyFont="1" applyBorder="1" applyAlignment="1"/>
    <xf numFmtId="0" fontId="5396" fillId="0" borderId="5396" xfId="0" applyFont="1" applyBorder="1" applyAlignment="1"/>
    <xf numFmtId="0" fontId="5397" fillId="0" borderId="5397" xfId="0" applyFont="1" applyBorder="1" applyAlignment="1"/>
    <xf numFmtId="0" fontId="5398" fillId="0" borderId="5398" xfId="0" applyFont="1" applyBorder="1" applyAlignment="1"/>
    <xf numFmtId="0" fontId="5399" fillId="0" borderId="5399" xfId="0" applyFont="1" applyBorder="1" applyAlignment="1"/>
    <xf numFmtId="0" fontId="5400" fillId="0" borderId="5400" xfId="0" applyFont="1" applyBorder="1" applyAlignment="1"/>
    <xf numFmtId="0" fontId="5401" fillId="0" borderId="5401" xfId="0" applyFont="1" applyBorder="1" applyAlignment="1"/>
    <xf numFmtId="0" fontId="5402" fillId="0" borderId="5402" xfId="0" applyFont="1" applyBorder="1" applyAlignment="1"/>
    <xf numFmtId="0" fontId="5403" fillId="0" borderId="5403" xfId="0" applyFont="1" applyBorder="1" applyAlignment="1"/>
    <xf numFmtId="0" fontId="5404" fillId="0" borderId="5404" xfId="0" applyFont="1" applyBorder="1" applyAlignment="1"/>
    <xf numFmtId="0" fontId="5405" fillId="0" borderId="5405" xfId="0" applyFont="1" applyBorder="1" applyAlignment="1"/>
    <xf numFmtId="0" fontId="5406" fillId="0" borderId="5406" xfId="0" applyFont="1" applyBorder="1" applyAlignment="1"/>
    <xf numFmtId="0" fontId="5407" fillId="0" borderId="5407" xfId="0" applyFont="1" applyBorder="1" applyAlignment="1"/>
    <xf numFmtId="0" fontId="5408" fillId="0" borderId="5408" xfId="0" applyFont="1" applyBorder="1" applyAlignment="1"/>
    <xf numFmtId="0" fontId="5409" fillId="0" borderId="5409" xfId="0" applyFont="1" applyBorder="1" applyAlignment="1"/>
    <xf numFmtId="0" fontId="5410" fillId="0" borderId="5410" xfId="0" applyFont="1" applyBorder="1" applyAlignment="1"/>
    <xf numFmtId="0" fontId="5411" fillId="0" borderId="5411" xfId="0" applyFont="1" applyBorder="1" applyAlignment="1"/>
    <xf numFmtId="0" fontId="5412" fillId="0" borderId="5412" xfId="0" applyFont="1" applyBorder="1" applyAlignment="1"/>
    <xf numFmtId="0" fontId="5413" fillId="0" borderId="5413" xfId="0" applyFont="1" applyBorder="1" applyAlignment="1"/>
    <xf numFmtId="0" fontId="5414" fillId="0" borderId="5414" xfId="0" applyFont="1" applyBorder="1" applyAlignment="1"/>
    <xf numFmtId="0" fontId="5415" fillId="0" borderId="5415" xfId="0" applyFont="1" applyBorder="1" applyAlignment="1"/>
    <xf numFmtId="0" fontId="5416" fillId="0" borderId="5416" xfId="0" applyFont="1" applyBorder="1" applyAlignment="1"/>
    <xf numFmtId="0" fontId="5417" fillId="0" borderId="5417" xfId="0" applyFont="1" applyBorder="1" applyAlignment="1"/>
    <xf numFmtId="0" fontId="5418" fillId="0" borderId="5418" xfId="0" applyFont="1" applyBorder="1" applyAlignment="1"/>
    <xf numFmtId="0" fontId="5419" fillId="0" borderId="5419" xfId="0" applyFont="1" applyBorder="1" applyAlignment="1"/>
    <xf numFmtId="0" fontId="5420" fillId="0" borderId="5420" xfId="0" applyFont="1" applyBorder="1" applyAlignment="1"/>
    <xf numFmtId="0" fontId="5421" fillId="0" borderId="5421" xfId="0" applyFont="1" applyBorder="1" applyAlignment="1"/>
    <xf numFmtId="0" fontId="5422" fillId="0" borderId="5422" xfId="0" applyFont="1" applyBorder="1" applyAlignment="1"/>
    <xf numFmtId="0" fontId="5423" fillId="0" borderId="5423" xfId="0" applyFont="1" applyBorder="1" applyAlignment="1"/>
    <xf numFmtId="0" fontId="5424" fillId="0" borderId="5424" xfId="0" applyFont="1" applyBorder="1" applyAlignment="1"/>
    <xf numFmtId="0" fontId="5425" fillId="0" borderId="5425" xfId="0" applyFont="1" applyBorder="1" applyAlignment="1"/>
    <xf numFmtId="0" fontId="5426" fillId="0" borderId="5426" xfId="0" applyFont="1" applyBorder="1" applyAlignment="1"/>
    <xf numFmtId="0" fontId="5427" fillId="0" borderId="5427" xfId="0" applyFont="1" applyBorder="1" applyAlignment="1"/>
    <xf numFmtId="0" fontId="5428" fillId="0" borderId="5428" xfId="0" applyFont="1" applyBorder="1" applyAlignment="1"/>
    <xf numFmtId="0" fontId="5429" fillId="0" borderId="5429" xfId="0" applyFont="1" applyBorder="1" applyAlignment="1"/>
    <xf numFmtId="0" fontId="5430" fillId="0" borderId="5430" xfId="0" applyFont="1" applyBorder="1" applyAlignment="1"/>
    <xf numFmtId="0" fontId="5431" fillId="0" borderId="5431" xfId="0" applyFont="1" applyBorder="1" applyAlignment="1"/>
    <xf numFmtId="0" fontId="5432" fillId="0" borderId="5432" xfId="0" applyFont="1" applyBorder="1" applyAlignment="1"/>
    <xf numFmtId="0" fontId="5433" fillId="0" borderId="5433" xfId="0" applyFont="1" applyBorder="1" applyAlignment="1"/>
    <xf numFmtId="0" fontId="5434" fillId="0" borderId="5434" xfId="0" applyFont="1" applyBorder="1" applyAlignment="1"/>
    <xf numFmtId="0" fontId="5435" fillId="0" borderId="5435" xfId="0" applyFont="1" applyBorder="1" applyAlignment="1"/>
    <xf numFmtId="0" fontId="5436" fillId="0" borderId="5436" xfId="0" applyFont="1" applyBorder="1" applyAlignment="1"/>
    <xf numFmtId="0" fontId="5437" fillId="0" borderId="5437" xfId="0" applyFont="1" applyBorder="1" applyAlignment="1"/>
    <xf numFmtId="0" fontId="5438" fillId="0" borderId="5438" xfId="0" applyFont="1" applyBorder="1" applyAlignment="1"/>
    <xf numFmtId="0" fontId="5439" fillId="0" borderId="5439" xfId="0" applyFont="1" applyBorder="1" applyAlignment="1"/>
    <xf numFmtId="0" fontId="5440" fillId="0" borderId="5440" xfId="0" applyFont="1" applyBorder="1" applyAlignment="1"/>
    <xf numFmtId="0" fontId="5441" fillId="0" borderId="5441" xfId="0" applyFont="1" applyBorder="1" applyAlignment="1"/>
    <xf numFmtId="0" fontId="5442" fillId="0" borderId="5442" xfId="0" applyFont="1" applyBorder="1" applyAlignment="1"/>
    <xf numFmtId="0" fontId="5443" fillId="0" borderId="5443" xfId="0" applyFont="1" applyBorder="1" applyAlignment="1"/>
    <xf numFmtId="0" fontId="5444" fillId="0" borderId="5444" xfId="0" applyFont="1" applyBorder="1" applyAlignment="1"/>
    <xf numFmtId="0" fontId="5445" fillId="0" borderId="5445" xfId="0" applyFont="1" applyBorder="1" applyAlignment="1"/>
    <xf numFmtId="0" fontId="5446" fillId="0" borderId="5446" xfId="0" applyFont="1" applyBorder="1" applyAlignment="1"/>
    <xf numFmtId="0" fontId="5447" fillId="0" borderId="5447" xfId="0" applyFont="1" applyBorder="1" applyAlignment="1"/>
    <xf numFmtId="0" fontId="5448" fillId="0" borderId="5448" xfId="0" applyFont="1" applyBorder="1" applyAlignment="1"/>
    <xf numFmtId="0" fontId="5449" fillId="0" borderId="5449" xfId="0" applyFont="1" applyBorder="1" applyAlignment="1"/>
    <xf numFmtId="0" fontId="5450" fillId="0" borderId="5450" xfId="0" applyFont="1" applyBorder="1" applyAlignment="1"/>
    <xf numFmtId="0" fontId="5451" fillId="0" borderId="5451" xfId="0" applyFont="1" applyBorder="1" applyAlignment="1"/>
    <xf numFmtId="0" fontId="5452" fillId="0" borderId="5452" xfId="0" applyFont="1" applyBorder="1" applyAlignment="1"/>
    <xf numFmtId="0" fontId="5453" fillId="0" borderId="5453" xfId="0" applyFont="1" applyBorder="1" applyAlignment="1"/>
    <xf numFmtId="0" fontId="5454" fillId="0" borderId="5454" xfId="0" applyFont="1" applyBorder="1" applyAlignment="1"/>
    <xf numFmtId="0" fontId="5455" fillId="0" borderId="5455" xfId="0" applyFont="1" applyBorder="1" applyAlignment="1"/>
    <xf numFmtId="0" fontId="5456" fillId="0" borderId="5456" xfId="0" applyFont="1" applyBorder="1" applyAlignment="1"/>
    <xf numFmtId="0" fontId="5457" fillId="0" borderId="5457" xfId="0" applyFont="1" applyBorder="1" applyAlignment="1"/>
    <xf numFmtId="0" fontId="5458" fillId="0" borderId="5458" xfId="0" applyFont="1" applyBorder="1" applyAlignment="1"/>
    <xf numFmtId="0" fontId="5459" fillId="0" borderId="5459" xfId="0" applyFont="1" applyBorder="1" applyAlignment="1"/>
    <xf numFmtId="0" fontId="5460" fillId="0" borderId="5460" xfId="0" applyFont="1" applyBorder="1" applyAlignment="1"/>
    <xf numFmtId="0" fontId="5461" fillId="0" borderId="5461" xfId="0" applyFont="1" applyBorder="1" applyAlignment="1"/>
    <xf numFmtId="0" fontId="5462" fillId="0" borderId="5462" xfId="0" applyFont="1" applyBorder="1" applyAlignment="1"/>
    <xf numFmtId="0" fontId="5463" fillId="0" borderId="5463" xfId="0" applyFont="1" applyBorder="1" applyAlignment="1"/>
    <xf numFmtId="0" fontId="5464" fillId="0" borderId="5464" xfId="0" applyFont="1" applyBorder="1" applyAlignment="1"/>
    <xf numFmtId="0" fontId="5465" fillId="0" borderId="5465" xfId="0" applyFont="1" applyBorder="1" applyAlignment="1"/>
    <xf numFmtId="0" fontId="5466" fillId="0" borderId="5466" xfId="0" applyFont="1" applyBorder="1" applyAlignment="1"/>
    <xf numFmtId="0" fontId="5467" fillId="0" borderId="5467" xfId="0" applyFont="1" applyBorder="1" applyAlignment="1"/>
    <xf numFmtId="0" fontId="5468" fillId="0" borderId="5468" xfId="0" applyFont="1" applyBorder="1" applyAlignment="1"/>
    <xf numFmtId="0" fontId="5469" fillId="0" borderId="5469" xfId="0" applyFont="1" applyBorder="1" applyAlignment="1"/>
    <xf numFmtId="0" fontId="5470" fillId="0" borderId="5470" xfId="0" applyFont="1" applyBorder="1" applyAlignment="1"/>
    <xf numFmtId="0" fontId="5471" fillId="0" borderId="5471" xfId="0" applyFont="1" applyBorder="1" applyAlignment="1"/>
    <xf numFmtId="0" fontId="5472" fillId="0" borderId="5472" xfId="0" applyFont="1" applyBorder="1" applyAlignment="1"/>
    <xf numFmtId="0" fontId="5473" fillId="0" borderId="5473" xfId="0" applyFont="1" applyBorder="1" applyAlignment="1"/>
    <xf numFmtId="0" fontId="5474" fillId="0" borderId="5474" xfId="0" applyFont="1" applyBorder="1" applyAlignment="1"/>
    <xf numFmtId="0" fontId="5475" fillId="0" borderId="5475" xfId="0" applyFont="1" applyBorder="1" applyAlignment="1"/>
    <xf numFmtId="0" fontId="5476" fillId="0" borderId="5476" xfId="0" applyFont="1" applyBorder="1" applyAlignment="1"/>
    <xf numFmtId="0" fontId="5477" fillId="0" borderId="5477" xfId="0" applyFont="1" applyBorder="1" applyAlignment="1"/>
    <xf numFmtId="0" fontId="5478" fillId="0" borderId="5478" xfId="0" applyFont="1" applyBorder="1" applyAlignment="1"/>
    <xf numFmtId="0" fontId="5479" fillId="0" borderId="5479" xfId="0" applyFont="1" applyBorder="1" applyAlignment="1"/>
    <xf numFmtId="0" fontId="5480" fillId="0" borderId="5480" xfId="0" applyFont="1" applyBorder="1" applyAlignment="1"/>
    <xf numFmtId="0" fontId="5481" fillId="0" borderId="5481" xfId="0" applyFont="1" applyBorder="1" applyAlignment="1"/>
    <xf numFmtId="0" fontId="5482" fillId="0" borderId="5482" xfId="0" applyFont="1" applyBorder="1" applyAlignment="1"/>
    <xf numFmtId="0" fontId="5483" fillId="0" borderId="5483" xfId="0" applyFont="1" applyBorder="1" applyAlignment="1"/>
    <xf numFmtId="0" fontId="5484" fillId="0" borderId="5484" xfId="0" applyFont="1" applyBorder="1" applyAlignment="1"/>
    <xf numFmtId="0" fontId="5485" fillId="0" borderId="5485" xfId="0" applyFont="1" applyBorder="1" applyAlignment="1"/>
    <xf numFmtId="0" fontId="5486" fillId="0" borderId="5486" xfId="0" applyFont="1" applyBorder="1" applyAlignment="1"/>
    <xf numFmtId="0" fontId="5487" fillId="0" borderId="5487" xfId="0" applyFont="1" applyBorder="1" applyAlignment="1"/>
    <xf numFmtId="0" fontId="5488" fillId="0" borderId="5488" xfId="0" applyFont="1" applyBorder="1" applyAlignment="1"/>
    <xf numFmtId="0" fontId="5489" fillId="0" borderId="5489" xfId="0" applyFont="1" applyBorder="1" applyAlignment="1"/>
    <xf numFmtId="0" fontId="5490" fillId="0" borderId="5490" xfId="0" applyFont="1" applyBorder="1" applyAlignment="1"/>
    <xf numFmtId="0" fontId="5491" fillId="0" borderId="5491" xfId="0" applyFont="1" applyBorder="1" applyAlignment="1"/>
    <xf numFmtId="0" fontId="5492" fillId="0" borderId="5492" xfId="0" applyFont="1" applyBorder="1" applyAlignment="1"/>
    <xf numFmtId="0" fontId="5493" fillId="0" borderId="5493" xfId="0" applyFont="1" applyBorder="1" applyAlignment="1"/>
    <xf numFmtId="0" fontId="5494" fillId="0" borderId="5494" xfId="0" applyFont="1" applyBorder="1" applyAlignment="1"/>
    <xf numFmtId="0" fontId="5495" fillId="0" borderId="5495" xfId="0" applyFont="1" applyBorder="1" applyAlignment="1"/>
    <xf numFmtId="0" fontId="5496" fillId="0" borderId="5496" xfId="0" applyFont="1" applyBorder="1" applyAlignment="1"/>
    <xf numFmtId="0" fontId="5497" fillId="0" borderId="5497" xfId="0" applyFont="1" applyBorder="1" applyAlignment="1"/>
    <xf numFmtId="0" fontId="5498" fillId="0" borderId="5498" xfId="0" applyFont="1" applyBorder="1" applyAlignment="1"/>
    <xf numFmtId="0" fontId="5499" fillId="0" borderId="5499" xfId="0" applyFont="1" applyBorder="1" applyAlignment="1"/>
    <xf numFmtId="0" fontId="5500" fillId="0" borderId="5500" xfId="0" applyFont="1" applyBorder="1" applyAlignment="1"/>
    <xf numFmtId="0" fontId="5501" fillId="0" borderId="5501" xfId="0" applyFont="1" applyBorder="1" applyAlignment="1"/>
    <xf numFmtId="0" fontId="5502" fillId="0" borderId="5502" xfId="0" applyFont="1" applyBorder="1" applyAlignment="1"/>
    <xf numFmtId="0" fontId="5503" fillId="0" borderId="5503" xfId="0" applyFont="1" applyBorder="1" applyAlignment="1"/>
    <xf numFmtId="0" fontId="5504" fillId="0" borderId="5504" xfId="0" applyFont="1" applyBorder="1" applyAlignment="1"/>
    <xf numFmtId="0" fontId="5505" fillId="0" borderId="5505" xfId="0" applyFont="1" applyBorder="1" applyAlignment="1"/>
    <xf numFmtId="0" fontId="5506" fillId="0" borderId="5506" xfId="0" applyFont="1" applyBorder="1" applyAlignment="1"/>
    <xf numFmtId="0" fontId="5507" fillId="0" borderId="5507" xfId="0" applyFont="1" applyBorder="1" applyAlignment="1"/>
    <xf numFmtId="0" fontId="5508" fillId="0" borderId="5508" xfId="0" applyFont="1" applyBorder="1" applyAlignment="1"/>
    <xf numFmtId="0" fontId="5509" fillId="0" borderId="5509" xfId="0" applyFont="1" applyBorder="1" applyAlignment="1"/>
    <xf numFmtId="0" fontId="5510" fillId="0" borderId="5510" xfId="0" applyFont="1" applyBorder="1" applyAlignment="1"/>
    <xf numFmtId="0" fontId="5511" fillId="0" borderId="5511" xfId="0" applyFont="1" applyBorder="1" applyAlignment="1"/>
    <xf numFmtId="0" fontId="5512" fillId="0" borderId="5512" xfId="0" applyFont="1" applyBorder="1" applyAlignment="1"/>
    <xf numFmtId="0" fontId="5513" fillId="0" borderId="5513" xfId="0" applyFont="1" applyBorder="1" applyAlignment="1"/>
    <xf numFmtId="0" fontId="5514" fillId="0" borderId="5514" xfId="0" applyFont="1" applyBorder="1" applyAlignment="1"/>
    <xf numFmtId="0" fontId="5515" fillId="0" borderId="5515" xfId="0" applyFont="1" applyBorder="1" applyAlignment="1"/>
    <xf numFmtId="0" fontId="5516" fillId="0" borderId="5516" xfId="0" applyFont="1" applyBorder="1" applyAlignment="1"/>
    <xf numFmtId="0" fontId="5517" fillId="0" borderId="5517" xfId="0" applyFont="1" applyBorder="1" applyAlignment="1"/>
    <xf numFmtId="0" fontId="5518" fillId="0" borderId="5518" xfId="0" applyFont="1" applyBorder="1" applyAlignment="1"/>
    <xf numFmtId="0" fontId="5519" fillId="0" borderId="5519" xfId="0" applyFont="1" applyBorder="1" applyAlignment="1"/>
    <xf numFmtId="0" fontId="5520" fillId="0" borderId="5520" xfId="0" applyFont="1" applyBorder="1" applyAlignment="1"/>
    <xf numFmtId="0" fontId="5521" fillId="0" borderId="5521" xfId="0" applyFont="1" applyBorder="1" applyAlignment="1"/>
    <xf numFmtId="0" fontId="5522" fillId="0" borderId="5522" xfId="0" applyFont="1" applyBorder="1" applyAlignment="1"/>
    <xf numFmtId="0" fontId="5523" fillId="0" borderId="5523" xfId="0" applyFont="1" applyBorder="1" applyAlignment="1"/>
    <xf numFmtId="0" fontId="5524" fillId="0" borderId="5524" xfId="0" applyFont="1" applyBorder="1" applyAlignment="1"/>
    <xf numFmtId="0" fontId="5525" fillId="0" borderId="5525" xfId="0" applyFont="1" applyBorder="1" applyAlignment="1"/>
    <xf numFmtId="0" fontId="5526" fillId="0" borderId="5526" xfId="0" applyFont="1" applyBorder="1" applyAlignment="1"/>
    <xf numFmtId="0" fontId="5527" fillId="0" borderId="5527" xfId="0" applyFont="1" applyBorder="1" applyAlignment="1"/>
    <xf numFmtId="0" fontId="5528" fillId="0" borderId="5528" xfId="0" applyFont="1" applyBorder="1" applyAlignment="1"/>
    <xf numFmtId="0" fontId="5529" fillId="0" borderId="5529" xfId="0" applyFont="1" applyBorder="1" applyAlignment="1"/>
    <xf numFmtId="0" fontId="5530" fillId="0" borderId="5530" xfId="0" applyFont="1" applyBorder="1" applyAlignment="1"/>
    <xf numFmtId="0" fontId="5531" fillId="0" borderId="5531" xfId="0" applyFont="1" applyBorder="1" applyAlignment="1"/>
    <xf numFmtId="0" fontId="5532" fillId="0" borderId="5532" xfId="0" applyFont="1" applyBorder="1" applyAlignment="1"/>
    <xf numFmtId="0" fontId="5533" fillId="0" borderId="5533" xfId="0" applyFont="1" applyBorder="1" applyAlignment="1"/>
    <xf numFmtId="0" fontId="5534" fillId="0" borderId="5534" xfId="0" applyFont="1" applyBorder="1" applyAlignment="1"/>
    <xf numFmtId="0" fontId="5535" fillId="0" borderId="5535" xfId="0" applyFont="1" applyBorder="1" applyAlignment="1"/>
    <xf numFmtId="0" fontId="5536" fillId="0" borderId="5536" xfId="0" applyFont="1" applyBorder="1" applyAlignment="1"/>
    <xf numFmtId="0" fontId="5537" fillId="0" borderId="5537" xfId="0" applyFont="1" applyBorder="1" applyAlignment="1"/>
    <xf numFmtId="0" fontId="5538" fillId="0" borderId="5538" xfId="0" applyFont="1" applyBorder="1" applyAlignment="1"/>
    <xf numFmtId="0" fontId="5539" fillId="0" borderId="5539" xfId="0" applyFont="1" applyBorder="1" applyAlignment="1"/>
    <xf numFmtId="0" fontId="5540" fillId="0" borderId="5540" xfId="0" applyFont="1" applyBorder="1" applyAlignment="1"/>
    <xf numFmtId="0" fontId="5541" fillId="0" borderId="5541" xfId="0" applyFont="1" applyBorder="1" applyAlignment="1"/>
    <xf numFmtId="0" fontId="5542" fillId="0" borderId="5542" xfId="0" applyFont="1" applyBorder="1" applyAlignment="1"/>
    <xf numFmtId="0" fontId="5543" fillId="0" borderId="5543" xfId="0" applyFont="1" applyBorder="1" applyAlignment="1"/>
    <xf numFmtId="0" fontId="5544" fillId="0" borderId="5544" xfId="0" applyFont="1" applyBorder="1" applyAlignment="1"/>
    <xf numFmtId="0" fontId="5545" fillId="0" borderId="5545" xfId="0" applyFont="1" applyBorder="1" applyAlignment="1"/>
    <xf numFmtId="0" fontId="5546" fillId="0" borderId="5546" xfId="0" applyFont="1" applyBorder="1" applyAlignment="1"/>
    <xf numFmtId="0" fontId="5547" fillId="0" borderId="5547" xfId="0" applyFont="1" applyBorder="1" applyAlignment="1"/>
    <xf numFmtId="0" fontId="5548" fillId="0" borderId="5548" xfId="0" applyFont="1" applyBorder="1" applyAlignment="1"/>
    <xf numFmtId="0" fontId="5549" fillId="0" borderId="5549" xfId="0" applyFont="1" applyBorder="1" applyAlignment="1"/>
    <xf numFmtId="0" fontId="5550" fillId="0" borderId="5550" xfId="0" applyFont="1" applyBorder="1" applyAlignment="1"/>
    <xf numFmtId="0" fontId="5551" fillId="0" borderId="5551" xfId="0" applyFont="1" applyBorder="1" applyAlignment="1"/>
    <xf numFmtId="0" fontId="5552" fillId="0" borderId="5552" xfId="0" applyFont="1" applyBorder="1" applyAlignment="1"/>
    <xf numFmtId="0" fontId="5553" fillId="0" borderId="5553" xfId="0" applyFont="1" applyBorder="1" applyAlignment="1"/>
    <xf numFmtId="0" fontId="5554" fillId="0" borderId="5554" xfId="0" applyFont="1" applyBorder="1" applyAlignment="1"/>
    <xf numFmtId="0" fontId="5555" fillId="0" borderId="5555" xfId="0" applyFont="1" applyBorder="1" applyAlignment="1"/>
    <xf numFmtId="0" fontId="5556" fillId="0" borderId="5556" xfId="0" applyFont="1" applyBorder="1" applyAlignment="1"/>
    <xf numFmtId="0" fontId="5557" fillId="0" borderId="5557" xfId="0" applyFont="1" applyBorder="1" applyAlignment="1"/>
    <xf numFmtId="0" fontId="5558" fillId="0" borderId="5558" xfId="0" applyFont="1" applyBorder="1" applyAlignment="1"/>
    <xf numFmtId="0" fontId="5559" fillId="0" borderId="5559" xfId="0" applyFont="1" applyBorder="1" applyAlignment="1"/>
    <xf numFmtId="0" fontId="5560" fillId="0" borderId="5560" xfId="0" applyFont="1" applyBorder="1" applyAlignment="1"/>
    <xf numFmtId="0" fontId="5561" fillId="0" borderId="5561" xfId="0" applyFont="1" applyBorder="1" applyAlignment="1"/>
    <xf numFmtId="0" fontId="5562" fillId="0" borderId="5562" xfId="0" applyFont="1" applyBorder="1" applyAlignment="1"/>
    <xf numFmtId="0" fontId="5563" fillId="0" borderId="5563" xfId="0" applyFont="1" applyBorder="1" applyAlignment="1"/>
    <xf numFmtId="0" fontId="5564" fillId="0" borderId="5564" xfId="0" applyFont="1" applyBorder="1" applyAlignment="1"/>
    <xf numFmtId="0" fontId="5565" fillId="0" borderId="5565" xfId="0" applyFont="1" applyBorder="1" applyAlignment="1"/>
    <xf numFmtId="0" fontId="5566" fillId="0" borderId="5566" xfId="0" applyFont="1" applyBorder="1" applyAlignment="1"/>
    <xf numFmtId="0" fontId="5567" fillId="0" borderId="5567" xfId="0" applyFont="1" applyBorder="1" applyAlignment="1"/>
    <xf numFmtId="0" fontId="5568" fillId="0" borderId="5568" xfId="0" applyFont="1" applyBorder="1" applyAlignment="1"/>
    <xf numFmtId="0" fontId="5569" fillId="0" borderId="5569" xfId="0" applyFont="1" applyBorder="1" applyAlignment="1"/>
    <xf numFmtId="0" fontId="5570" fillId="0" borderId="5570" xfId="0" applyFont="1" applyBorder="1" applyAlignment="1"/>
    <xf numFmtId="0" fontId="5571" fillId="0" borderId="5571" xfId="0" applyFont="1" applyBorder="1" applyAlignment="1"/>
    <xf numFmtId="0" fontId="5572" fillId="0" borderId="5572" xfId="0" applyFont="1" applyBorder="1" applyAlignment="1"/>
    <xf numFmtId="0" fontId="5573" fillId="0" borderId="5573" xfId="0" applyFont="1" applyBorder="1" applyAlignment="1"/>
    <xf numFmtId="0" fontId="5574" fillId="0" borderId="5574" xfId="0" applyFont="1" applyBorder="1" applyAlignment="1"/>
    <xf numFmtId="0" fontId="5575" fillId="0" borderId="5575" xfId="0" applyFont="1" applyBorder="1" applyAlignment="1"/>
    <xf numFmtId="0" fontId="5576" fillId="0" borderId="5576" xfId="0" applyFont="1" applyBorder="1" applyAlignment="1"/>
    <xf numFmtId="0" fontId="5577" fillId="0" borderId="5577" xfId="0" applyFont="1" applyBorder="1" applyAlignment="1"/>
    <xf numFmtId="0" fontId="5578" fillId="0" borderId="5578" xfId="0" applyFont="1" applyBorder="1" applyAlignment="1"/>
    <xf numFmtId="0" fontId="5579" fillId="0" borderId="5579" xfId="0" applyFont="1" applyBorder="1" applyAlignment="1"/>
    <xf numFmtId="0" fontId="5580" fillId="0" borderId="5580" xfId="0" applyFont="1" applyBorder="1" applyAlignment="1"/>
    <xf numFmtId="0" fontId="5581" fillId="0" borderId="5581" xfId="0" applyFont="1" applyBorder="1" applyAlignment="1"/>
    <xf numFmtId="0" fontId="5582" fillId="0" borderId="5582" xfId="0" applyFont="1" applyBorder="1" applyAlignment="1"/>
    <xf numFmtId="0" fontId="5583" fillId="0" borderId="5583" xfId="0" applyFont="1" applyBorder="1" applyAlignment="1"/>
    <xf numFmtId="0" fontId="5584" fillId="0" borderId="5584" xfId="0" applyFont="1" applyBorder="1" applyAlignment="1"/>
    <xf numFmtId="0" fontId="5585" fillId="0" borderId="5585" xfId="0" applyFont="1" applyBorder="1" applyAlignment="1"/>
    <xf numFmtId="0" fontId="5586" fillId="0" borderId="5586" xfId="0" applyFont="1" applyBorder="1" applyAlignment="1"/>
    <xf numFmtId="0" fontId="5587" fillId="0" borderId="5587" xfId="0" applyFont="1" applyBorder="1" applyAlignment="1"/>
    <xf numFmtId="0" fontId="5588" fillId="0" borderId="5588" xfId="0" applyFont="1" applyBorder="1" applyAlignment="1"/>
    <xf numFmtId="0" fontId="5589" fillId="0" borderId="5589" xfId="0" applyFont="1" applyBorder="1" applyAlignment="1"/>
    <xf numFmtId="0" fontId="5590" fillId="0" borderId="5590" xfId="0" applyFont="1" applyBorder="1" applyAlignment="1"/>
    <xf numFmtId="0" fontId="5591" fillId="0" borderId="5591" xfId="0" applyFont="1" applyBorder="1" applyAlignment="1"/>
    <xf numFmtId="0" fontId="5592" fillId="0" borderId="5592" xfId="0" applyFont="1" applyBorder="1" applyAlignment="1"/>
    <xf numFmtId="0" fontId="5593" fillId="0" borderId="5593" xfId="0" applyFont="1" applyBorder="1" applyAlignment="1"/>
    <xf numFmtId="0" fontId="5594" fillId="0" borderId="5594" xfId="0" applyFont="1" applyBorder="1" applyAlignment="1"/>
    <xf numFmtId="0" fontId="5595" fillId="0" borderId="5595" xfId="0" applyFont="1" applyBorder="1" applyAlignment="1"/>
    <xf numFmtId="0" fontId="5596" fillId="0" borderId="5596" xfId="0" applyFont="1" applyBorder="1" applyAlignment="1"/>
    <xf numFmtId="0" fontId="5597" fillId="0" borderId="5597" xfId="0" applyFont="1" applyBorder="1" applyAlignment="1"/>
    <xf numFmtId="0" fontId="5598" fillId="0" borderId="5598" xfId="0" applyFont="1" applyBorder="1" applyAlignment="1"/>
    <xf numFmtId="0" fontId="5599" fillId="0" borderId="5599" xfId="0" applyFont="1" applyBorder="1" applyAlignment="1"/>
    <xf numFmtId="0" fontId="5600" fillId="0" borderId="5600" xfId="0" applyFont="1" applyBorder="1" applyAlignment="1"/>
    <xf numFmtId="0" fontId="5601" fillId="0" borderId="5601" xfId="0" applyFont="1" applyBorder="1" applyAlignment="1"/>
    <xf numFmtId="0" fontId="5602" fillId="0" borderId="5602" xfId="0" applyFont="1" applyBorder="1" applyAlignment="1"/>
    <xf numFmtId="0" fontId="5603" fillId="0" borderId="5603" xfId="0" applyFont="1" applyBorder="1" applyAlignment="1"/>
    <xf numFmtId="0" fontId="5604" fillId="0" borderId="5604" xfId="0" applyFont="1" applyBorder="1" applyAlignment="1"/>
    <xf numFmtId="0" fontId="5605" fillId="0" borderId="5605" xfId="0" applyFont="1" applyBorder="1" applyAlignment="1"/>
    <xf numFmtId="0" fontId="5606" fillId="0" borderId="5606" xfId="0" applyFont="1" applyBorder="1" applyAlignment="1"/>
    <xf numFmtId="0" fontId="5607" fillId="0" borderId="5607" xfId="0" applyFont="1" applyBorder="1" applyAlignment="1"/>
    <xf numFmtId="0" fontId="5608" fillId="0" borderId="5608" xfId="0" applyFont="1" applyBorder="1" applyAlignment="1"/>
    <xf numFmtId="0" fontId="5609" fillId="0" borderId="5609" xfId="0" applyFont="1" applyBorder="1" applyAlignment="1"/>
    <xf numFmtId="0" fontId="5610" fillId="0" borderId="5610" xfId="0" applyFont="1" applyBorder="1" applyAlignment="1"/>
    <xf numFmtId="0" fontId="5611" fillId="0" borderId="5611" xfId="0" applyFont="1" applyBorder="1" applyAlignment="1"/>
    <xf numFmtId="0" fontId="5612" fillId="0" borderId="5612" xfId="0" applyFont="1" applyBorder="1" applyAlignment="1"/>
    <xf numFmtId="0" fontId="5613" fillId="0" borderId="5613" xfId="0" applyFont="1" applyBorder="1" applyAlignment="1"/>
    <xf numFmtId="0" fontId="5614" fillId="0" borderId="5614" xfId="0" applyFont="1" applyBorder="1" applyAlignment="1"/>
    <xf numFmtId="0" fontId="5615" fillId="0" borderId="5615" xfId="0" applyFont="1" applyBorder="1" applyAlignment="1"/>
    <xf numFmtId="0" fontId="5616" fillId="0" borderId="5616" xfId="0" applyFont="1" applyBorder="1" applyAlignment="1"/>
    <xf numFmtId="0" fontId="5617" fillId="0" borderId="5617" xfId="0" applyFont="1" applyBorder="1" applyAlignment="1"/>
    <xf numFmtId="0" fontId="5618" fillId="0" borderId="5618" xfId="0" applyFont="1" applyBorder="1" applyAlignment="1"/>
    <xf numFmtId="0" fontId="5619" fillId="0" borderId="5619" xfId="0" applyFont="1" applyBorder="1" applyAlignment="1"/>
    <xf numFmtId="0" fontId="5620" fillId="0" borderId="5620" xfId="0" applyFont="1" applyBorder="1" applyAlignment="1"/>
    <xf numFmtId="0" fontId="5621" fillId="0" borderId="5621" xfId="0" applyFont="1" applyBorder="1" applyAlignment="1"/>
    <xf numFmtId="0" fontId="5622" fillId="0" borderId="5622" xfId="0" applyFont="1" applyBorder="1" applyAlignment="1"/>
    <xf numFmtId="0" fontId="5623" fillId="0" borderId="5623" xfId="0" applyFont="1" applyBorder="1" applyAlignment="1"/>
    <xf numFmtId="0" fontId="5624" fillId="0" borderId="5624" xfId="0" applyFont="1" applyBorder="1" applyAlignment="1"/>
    <xf numFmtId="0" fontId="5625" fillId="0" borderId="5625" xfId="0" applyFont="1" applyBorder="1" applyAlignment="1"/>
    <xf numFmtId="0" fontId="5626" fillId="0" borderId="5626" xfId="0" applyFont="1" applyBorder="1" applyAlignment="1"/>
    <xf numFmtId="0" fontId="5627" fillId="0" borderId="5627" xfId="0" applyFont="1" applyBorder="1" applyAlignment="1"/>
    <xf numFmtId="0" fontId="5628" fillId="0" borderId="5628" xfId="0" applyFont="1" applyBorder="1" applyAlignment="1"/>
    <xf numFmtId="0" fontId="5629" fillId="0" borderId="5629" xfId="0" applyFont="1" applyBorder="1" applyAlignment="1"/>
    <xf numFmtId="0" fontId="5630" fillId="0" borderId="5630" xfId="0" applyFont="1" applyBorder="1" applyAlignment="1"/>
    <xf numFmtId="0" fontId="5631" fillId="0" borderId="5631" xfId="0" applyFont="1" applyBorder="1" applyAlignment="1"/>
    <xf numFmtId="0" fontId="5632" fillId="0" borderId="5632" xfId="0" applyFont="1" applyBorder="1" applyAlignment="1"/>
    <xf numFmtId="0" fontId="5633" fillId="0" borderId="5633" xfId="0" applyFont="1" applyBorder="1" applyAlignment="1"/>
    <xf numFmtId="0" fontId="5634" fillId="0" borderId="5634" xfId="0" applyFont="1" applyBorder="1" applyAlignment="1"/>
    <xf numFmtId="0" fontId="5635" fillId="0" borderId="5635" xfId="0" applyFont="1" applyBorder="1" applyAlignment="1"/>
    <xf numFmtId="0" fontId="5636" fillId="0" borderId="5636" xfId="0" applyFont="1" applyBorder="1" applyAlignment="1"/>
    <xf numFmtId="0" fontId="5637" fillId="0" borderId="5637" xfId="0" applyFont="1" applyBorder="1" applyAlignment="1"/>
    <xf numFmtId="0" fontId="5638" fillId="0" borderId="5638" xfId="0" applyFont="1" applyBorder="1" applyAlignment="1"/>
    <xf numFmtId="0" fontId="5639" fillId="0" borderId="5639" xfId="0" applyFont="1" applyBorder="1" applyAlignment="1"/>
    <xf numFmtId="0" fontId="5640" fillId="0" borderId="5640" xfId="0" applyFont="1" applyBorder="1" applyAlignment="1"/>
    <xf numFmtId="0" fontId="5641" fillId="0" borderId="5641" xfId="0" applyFont="1" applyBorder="1" applyAlignment="1"/>
    <xf numFmtId="0" fontId="5642" fillId="0" borderId="5642" xfId="0" applyFont="1" applyBorder="1" applyAlignment="1"/>
    <xf numFmtId="0" fontId="5643" fillId="0" borderId="5643" xfId="0" applyFont="1" applyBorder="1" applyAlignment="1"/>
    <xf numFmtId="0" fontId="5644" fillId="0" borderId="5644" xfId="0" applyFont="1" applyBorder="1" applyAlignment="1"/>
    <xf numFmtId="0" fontId="5645" fillId="0" borderId="5645" xfId="0" applyFont="1" applyBorder="1" applyAlignment="1"/>
    <xf numFmtId="0" fontId="5646" fillId="0" borderId="5646" xfId="0" applyFont="1" applyBorder="1" applyAlignment="1"/>
    <xf numFmtId="0" fontId="5647" fillId="0" borderId="5647" xfId="0" applyFont="1" applyBorder="1" applyAlignment="1"/>
    <xf numFmtId="0" fontId="5648" fillId="0" borderId="5648" xfId="0" applyFont="1" applyBorder="1" applyAlignment="1"/>
    <xf numFmtId="0" fontId="5649" fillId="0" borderId="5649" xfId="0" applyFont="1" applyBorder="1" applyAlignment="1"/>
    <xf numFmtId="0" fontId="5650" fillId="0" borderId="5650" xfId="0" applyFont="1" applyBorder="1" applyAlignment="1"/>
    <xf numFmtId="0" fontId="5651" fillId="0" borderId="5651" xfId="0" applyFont="1" applyBorder="1" applyAlignment="1"/>
    <xf numFmtId="0" fontId="5652" fillId="0" borderId="5652" xfId="0" applyFont="1" applyBorder="1" applyAlignment="1"/>
    <xf numFmtId="0" fontId="5653" fillId="0" borderId="5653" xfId="0" applyFont="1" applyBorder="1" applyAlignment="1"/>
    <xf numFmtId="0" fontId="5654" fillId="0" borderId="5654" xfId="0" applyFont="1" applyBorder="1" applyAlignment="1"/>
    <xf numFmtId="0" fontId="5655" fillId="0" borderId="5655" xfId="0" applyFont="1" applyBorder="1" applyAlignment="1"/>
    <xf numFmtId="0" fontId="5656" fillId="0" borderId="5656" xfId="0" applyFont="1" applyBorder="1" applyAlignment="1"/>
    <xf numFmtId="0" fontId="5657" fillId="0" borderId="5657" xfId="0" applyFont="1" applyBorder="1" applyAlignment="1"/>
    <xf numFmtId="0" fontId="5658" fillId="0" borderId="5658" xfId="0" applyFont="1" applyBorder="1" applyAlignment="1"/>
    <xf numFmtId="0" fontId="5659" fillId="0" borderId="5659" xfId="0" applyFont="1" applyBorder="1" applyAlignment="1"/>
    <xf numFmtId="0" fontId="5660" fillId="0" borderId="5660" xfId="0" applyFont="1" applyBorder="1" applyAlignment="1"/>
    <xf numFmtId="0" fontId="5661" fillId="0" borderId="5661" xfId="0" applyFont="1" applyBorder="1" applyAlignment="1"/>
    <xf numFmtId="0" fontId="5662" fillId="0" borderId="5662" xfId="0" applyFont="1" applyBorder="1" applyAlignment="1"/>
    <xf numFmtId="0" fontId="5663" fillId="0" borderId="5663" xfId="0" applyFont="1" applyBorder="1" applyAlignment="1"/>
    <xf numFmtId="0" fontId="5664" fillId="0" borderId="5664" xfId="0" applyFont="1" applyBorder="1" applyAlignment="1"/>
    <xf numFmtId="0" fontId="5665" fillId="0" borderId="5665" xfId="0" applyFont="1" applyBorder="1" applyAlignment="1"/>
    <xf numFmtId="0" fontId="5666" fillId="0" borderId="5666" xfId="0" applyFont="1" applyBorder="1" applyAlignment="1"/>
    <xf numFmtId="0" fontId="5667" fillId="0" borderId="5667" xfId="0" applyFont="1" applyBorder="1" applyAlignment="1"/>
    <xf numFmtId="0" fontId="5668" fillId="0" borderId="5668" xfId="0" applyFont="1" applyBorder="1" applyAlignment="1"/>
    <xf numFmtId="0" fontId="5669" fillId="0" borderId="5669" xfId="0" applyFont="1" applyBorder="1" applyAlignment="1"/>
    <xf numFmtId="0" fontId="5670" fillId="0" borderId="5670" xfId="0" applyFont="1" applyBorder="1" applyAlignment="1"/>
    <xf numFmtId="0" fontId="5671" fillId="0" borderId="5671" xfId="0" applyFont="1" applyBorder="1" applyAlignment="1"/>
    <xf numFmtId="0" fontId="5672" fillId="0" borderId="5672" xfId="0" applyFont="1" applyBorder="1" applyAlignment="1"/>
    <xf numFmtId="0" fontId="5673" fillId="0" borderId="5673" xfId="0" applyFont="1" applyBorder="1" applyAlignment="1"/>
    <xf numFmtId="0" fontId="5674" fillId="0" borderId="5674" xfId="0" applyFont="1" applyBorder="1" applyAlignment="1"/>
    <xf numFmtId="0" fontId="5675" fillId="0" borderId="5675" xfId="0" applyFont="1" applyBorder="1" applyAlignment="1"/>
    <xf numFmtId="0" fontId="5676" fillId="0" borderId="5676" xfId="0" applyFont="1" applyBorder="1" applyAlignment="1"/>
    <xf numFmtId="0" fontId="5677" fillId="0" borderId="5677" xfId="0" applyFont="1" applyBorder="1" applyAlignment="1"/>
    <xf numFmtId="0" fontId="5678" fillId="0" borderId="5678" xfId="0" applyFont="1" applyBorder="1" applyAlignment="1"/>
    <xf numFmtId="0" fontId="5679" fillId="0" borderId="5679" xfId="0" applyFont="1" applyBorder="1" applyAlignment="1"/>
    <xf numFmtId="0" fontId="5680" fillId="0" borderId="5680" xfId="0" applyFont="1" applyBorder="1" applyAlignment="1"/>
    <xf numFmtId="0" fontId="5681" fillId="0" borderId="5681" xfId="0" applyFont="1" applyBorder="1" applyAlignment="1"/>
    <xf numFmtId="0" fontId="5682" fillId="0" borderId="5682" xfId="0" applyFont="1" applyBorder="1" applyAlignment="1"/>
    <xf numFmtId="0" fontId="5683" fillId="0" borderId="5683" xfId="0" applyFont="1" applyBorder="1" applyAlignment="1"/>
    <xf numFmtId="0" fontId="5684" fillId="0" borderId="5684" xfId="0" applyFont="1" applyBorder="1" applyAlignment="1"/>
    <xf numFmtId="0" fontId="5685" fillId="0" borderId="5685" xfId="0" applyFont="1" applyBorder="1" applyAlignment="1"/>
    <xf numFmtId="0" fontId="5686" fillId="0" borderId="5686" xfId="0" applyFont="1" applyBorder="1" applyAlignment="1"/>
    <xf numFmtId="0" fontId="5687" fillId="0" borderId="5687" xfId="0" applyFont="1" applyBorder="1" applyAlignment="1"/>
    <xf numFmtId="0" fontId="5688" fillId="0" borderId="5688" xfId="0" applyFont="1" applyBorder="1" applyAlignment="1"/>
    <xf numFmtId="0" fontId="5689" fillId="0" borderId="5689" xfId="0" applyFont="1" applyBorder="1" applyAlignment="1"/>
    <xf numFmtId="0" fontId="5690" fillId="0" borderId="5690" xfId="0" applyFont="1" applyBorder="1" applyAlignment="1"/>
    <xf numFmtId="0" fontId="5691" fillId="0" borderId="5691" xfId="0" applyFont="1" applyBorder="1" applyAlignment="1"/>
    <xf numFmtId="0" fontId="5692" fillId="0" borderId="5692" xfId="0" applyFont="1" applyBorder="1" applyAlignment="1"/>
    <xf numFmtId="0" fontId="5693" fillId="0" borderId="5693" xfId="0" applyFont="1" applyBorder="1" applyAlignment="1"/>
    <xf numFmtId="0" fontId="5694" fillId="0" borderId="5694" xfId="0" applyFont="1" applyBorder="1" applyAlignment="1"/>
    <xf numFmtId="0" fontId="5695" fillId="0" borderId="5695" xfId="0" applyFont="1" applyBorder="1" applyAlignment="1"/>
    <xf numFmtId="0" fontId="5696" fillId="0" borderId="5696" xfId="0" applyFont="1" applyBorder="1" applyAlignment="1"/>
    <xf numFmtId="0" fontId="5697" fillId="0" borderId="5697" xfId="0" applyFont="1" applyBorder="1" applyAlignment="1"/>
    <xf numFmtId="0" fontId="5698" fillId="0" borderId="5698" xfId="0" applyFont="1" applyBorder="1" applyAlignment="1"/>
    <xf numFmtId="0" fontId="5699" fillId="0" borderId="5699" xfId="0" applyFont="1" applyBorder="1" applyAlignment="1"/>
    <xf numFmtId="0" fontId="5700" fillId="0" borderId="5700" xfId="0" applyFont="1" applyBorder="1" applyAlignment="1"/>
    <xf numFmtId="0" fontId="5701" fillId="0" borderId="5701" xfId="0" applyFont="1" applyBorder="1" applyAlignment="1"/>
    <xf numFmtId="0" fontId="5702" fillId="0" borderId="5702" xfId="0" applyFont="1" applyBorder="1" applyAlignment="1"/>
    <xf numFmtId="0" fontId="5703" fillId="0" borderId="5703" xfId="0" applyFont="1" applyBorder="1" applyAlignment="1"/>
    <xf numFmtId="0" fontId="5704" fillId="0" borderId="5704" xfId="0" applyFont="1" applyBorder="1" applyAlignment="1"/>
    <xf numFmtId="0" fontId="5705" fillId="0" borderId="5705" xfId="0" applyFont="1" applyBorder="1" applyAlignment="1"/>
    <xf numFmtId="0" fontId="5706" fillId="0" borderId="5706" xfId="0" applyFont="1" applyBorder="1" applyAlignment="1"/>
    <xf numFmtId="0" fontId="5707" fillId="0" borderId="5707" xfId="0" applyFont="1" applyBorder="1" applyAlignment="1"/>
    <xf numFmtId="0" fontId="5708" fillId="0" borderId="5708" xfId="0" applyFont="1" applyBorder="1" applyAlignment="1"/>
    <xf numFmtId="0" fontId="5709" fillId="0" borderId="5709" xfId="0" applyFont="1" applyBorder="1" applyAlignment="1"/>
    <xf numFmtId="0" fontId="5710" fillId="0" borderId="5710" xfId="0" applyFont="1" applyBorder="1" applyAlignment="1"/>
    <xf numFmtId="0" fontId="5711" fillId="0" borderId="5711" xfId="0" applyFont="1" applyBorder="1" applyAlignment="1"/>
    <xf numFmtId="0" fontId="5712" fillId="0" borderId="5712" xfId="0" applyFont="1" applyBorder="1" applyAlignment="1"/>
    <xf numFmtId="0" fontId="5713" fillId="0" borderId="5713" xfId="0" applyFont="1" applyBorder="1" applyAlignment="1"/>
    <xf numFmtId="0" fontId="5714" fillId="0" borderId="5714" xfId="0" applyFont="1" applyBorder="1" applyAlignment="1"/>
    <xf numFmtId="0" fontId="5715" fillId="0" borderId="5715" xfId="0" applyFont="1" applyBorder="1" applyAlignment="1"/>
    <xf numFmtId="0" fontId="5716" fillId="0" borderId="5716" xfId="0" applyFont="1" applyBorder="1" applyAlignment="1"/>
    <xf numFmtId="0" fontId="5717" fillId="0" borderId="5717" xfId="0" applyFont="1" applyBorder="1" applyAlignment="1"/>
    <xf numFmtId="0" fontId="5718" fillId="0" borderId="5718" xfId="0" applyFont="1" applyBorder="1" applyAlignment="1"/>
    <xf numFmtId="0" fontId="5719" fillId="0" borderId="5719" xfId="0" applyFont="1" applyBorder="1" applyAlignment="1"/>
    <xf numFmtId="0" fontId="5720" fillId="0" borderId="5720" xfId="0" applyFont="1" applyBorder="1" applyAlignment="1"/>
    <xf numFmtId="0" fontId="5721" fillId="0" borderId="5721" xfId="0" applyFont="1" applyBorder="1" applyAlignment="1"/>
    <xf numFmtId="0" fontId="5722" fillId="0" borderId="5722" xfId="0" applyFont="1" applyBorder="1" applyAlignment="1"/>
    <xf numFmtId="0" fontId="5723" fillId="0" borderId="5723" xfId="0" applyFont="1" applyBorder="1" applyAlignment="1"/>
    <xf numFmtId="0" fontId="5724" fillId="0" borderId="5724" xfId="0" applyFont="1" applyBorder="1" applyAlignment="1"/>
    <xf numFmtId="0" fontId="5725" fillId="0" borderId="5725" xfId="0" applyFont="1" applyBorder="1" applyAlignment="1"/>
    <xf numFmtId="0" fontId="5726" fillId="0" borderId="5726" xfId="0" applyFont="1" applyBorder="1" applyAlignment="1"/>
    <xf numFmtId="0" fontId="5727" fillId="0" borderId="5727" xfId="0" applyFont="1" applyBorder="1" applyAlignment="1"/>
    <xf numFmtId="0" fontId="5728" fillId="0" borderId="5728" xfId="0" applyFont="1" applyBorder="1" applyAlignment="1"/>
    <xf numFmtId="0" fontId="5729" fillId="0" borderId="5729" xfId="0" applyFont="1" applyBorder="1" applyAlignment="1"/>
    <xf numFmtId="0" fontId="5730" fillId="0" borderId="5730" xfId="0" applyFont="1" applyBorder="1" applyAlignment="1"/>
    <xf numFmtId="0" fontId="5731" fillId="0" borderId="5731" xfId="0" applyFont="1" applyBorder="1" applyAlignment="1"/>
    <xf numFmtId="0" fontId="5732" fillId="0" borderId="5732" xfId="0" applyFont="1" applyBorder="1" applyAlignment="1"/>
    <xf numFmtId="0" fontId="5733" fillId="0" borderId="5733" xfId="0" applyFont="1" applyBorder="1" applyAlignment="1"/>
    <xf numFmtId="0" fontId="5734" fillId="0" borderId="5734" xfId="0" applyFont="1" applyBorder="1" applyAlignment="1"/>
    <xf numFmtId="0" fontId="5735" fillId="0" borderId="5735" xfId="0" applyFont="1" applyBorder="1" applyAlignment="1"/>
    <xf numFmtId="0" fontId="5736" fillId="0" borderId="5736" xfId="0" applyFont="1" applyBorder="1" applyAlignment="1"/>
    <xf numFmtId="0" fontId="5737" fillId="0" borderId="5737" xfId="0" applyFont="1" applyBorder="1" applyAlignment="1"/>
    <xf numFmtId="0" fontId="5738" fillId="0" borderId="5738" xfId="0" applyFont="1" applyBorder="1" applyAlignment="1"/>
    <xf numFmtId="0" fontId="5739" fillId="0" borderId="5739" xfId="0" applyFont="1" applyBorder="1" applyAlignment="1"/>
    <xf numFmtId="0" fontId="5740" fillId="0" borderId="5740" xfId="0" applyFont="1" applyBorder="1" applyAlignment="1"/>
    <xf numFmtId="0" fontId="5741" fillId="0" borderId="5741" xfId="0" applyFont="1" applyBorder="1" applyAlignment="1"/>
    <xf numFmtId="0" fontId="5742" fillId="0" borderId="5742" xfId="0" applyFont="1" applyBorder="1" applyAlignment="1"/>
    <xf numFmtId="0" fontId="5743" fillId="0" borderId="5743" xfId="0" applyFont="1" applyBorder="1" applyAlignment="1"/>
    <xf numFmtId="0" fontId="5744" fillId="0" borderId="5744" xfId="0" applyFont="1" applyBorder="1" applyAlignment="1"/>
    <xf numFmtId="0" fontId="5745" fillId="0" borderId="5745" xfId="0" applyFont="1" applyBorder="1" applyAlignment="1"/>
    <xf numFmtId="0" fontId="5746" fillId="0" borderId="5746" xfId="0" applyFont="1" applyBorder="1" applyAlignment="1"/>
    <xf numFmtId="0" fontId="5747" fillId="0" borderId="5747" xfId="0" applyFont="1" applyBorder="1" applyAlignment="1"/>
    <xf numFmtId="0" fontId="5748" fillId="0" borderId="5748" xfId="0" applyFont="1" applyBorder="1" applyAlignment="1"/>
    <xf numFmtId="0" fontId="5749" fillId="0" borderId="5749" xfId="0" applyFont="1" applyBorder="1" applyAlignment="1"/>
    <xf numFmtId="0" fontId="5750" fillId="0" borderId="5750" xfId="0" applyFont="1" applyBorder="1" applyAlignment="1"/>
    <xf numFmtId="0" fontId="5751" fillId="0" borderId="5751" xfId="0" applyFont="1" applyBorder="1" applyAlignment="1"/>
    <xf numFmtId="0" fontId="5752" fillId="0" borderId="5752" xfId="0" applyFont="1" applyBorder="1" applyAlignment="1"/>
    <xf numFmtId="0" fontId="5753" fillId="0" borderId="5753" xfId="0" applyFont="1" applyBorder="1" applyAlignment="1"/>
    <xf numFmtId="0" fontId="5754" fillId="0" borderId="5754" xfId="0" applyFont="1" applyBorder="1" applyAlignment="1"/>
    <xf numFmtId="0" fontId="5755" fillId="0" borderId="5755" xfId="0" applyFont="1" applyBorder="1" applyAlignment="1"/>
    <xf numFmtId="0" fontId="5756" fillId="0" borderId="5756" xfId="0" applyFont="1" applyBorder="1" applyAlignment="1"/>
    <xf numFmtId="0" fontId="5757" fillId="0" borderId="5757" xfId="0" applyFont="1" applyBorder="1" applyAlignment="1"/>
    <xf numFmtId="0" fontId="5758" fillId="0" borderId="5758" xfId="0" applyFont="1" applyBorder="1" applyAlignment="1"/>
    <xf numFmtId="0" fontId="5759" fillId="0" borderId="5759" xfId="0" applyFont="1" applyBorder="1" applyAlignment="1"/>
    <xf numFmtId="0" fontId="5760" fillId="0" borderId="5760" xfId="0" applyFont="1" applyBorder="1" applyAlignment="1"/>
    <xf numFmtId="0" fontId="5761" fillId="0" borderId="5761" xfId="0" applyFont="1" applyBorder="1" applyAlignment="1"/>
    <xf numFmtId="0" fontId="5762" fillId="0" borderId="5762" xfId="0" applyFont="1" applyBorder="1" applyAlignment="1"/>
    <xf numFmtId="0" fontId="5763" fillId="0" borderId="5763" xfId="0" applyFont="1" applyBorder="1" applyAlignment="1"/>
    <xf numFmtId="0" fontId="5764" fillId="0" borderId="5764" xfId="0" applyFont="1" applyBorder="1" applyAlignment="1"/>
    <xf numFmtId="0" fontId="5765" fillId="0" borderId="5765" xfId="0" applyFont="1" applyBorder="1" applyAlignment="1"/>
    <xf numFmtId="0" fontId="5766" fillId="0" borderId="5766" xfId="0" applyFont="1" applyBorder="1" applyAlignment="1"/>
    <xf numFmtId="0" fontId="5767" fillId="0" borderId="5767" xfId="0" applyFont="1" applyBorder="1" applyAlignment="1"/>
    <xf numFmtId="0" fontId="5768" fillId="0" borderId="5768" xfId="0" applyFont="1" applyBorder="1" applyAlignment="1"/>
    <xf numFmtId="0" fontId="5769" fillId="0" borderId="5769" xfId="0" applyFont="1" applyBorder="1" applyAlignment="1"/>
    <xf numFmtId="0" fontId="5770" fillId="0" borderId="5770" xfId="0" applyFont="1" applyBorder="1" applyAlignment="1"/>
    <xf numFmtId="0" fontId="5771" fillId="0" borderId="5771" xfId="0" applyFont="1" applyBorder="1" applyAlignment="1"/>
    <xf numFmtId="0" fontId="5772" fillId="0" borderId="5772" xfId="0" applyFont="1" applyBorder="1" applyAlignment="1"/>
    <xf numFmtId="0" fontId="5773" fillId="0" borderId="5773" xfId="0" applyFont="1" applyBorder="1" applyAlignment="1"/>
    <xf numFmtId="0" fontId="5774" fillId="0" borderId="5774" xfId="0" applyFont="1" applyBorder="1" applyAlignment="1"/>
    <xf numFmtId="0" fontId="5775" fillId="0" borderId="5775" xfId="0" applyFont="1" applyBorder="1" applyAlignment="1"/>
    <xf numFmtId="0" fontId="5776" fillId="0" borderId="5776" xfId="0" applyFont="1" applyBorder="1" applyAlignment="1"/>
    <xf numFmtId="0" fontId="5777" fillId="0" borderId="5777" xfId="0" applyFont="1" applyBorder="1" applyAlignment="1"/>
    <xf numFmtId="0" fontId="5778" fillId="0" borderId="5778" xfId="0" applyFont="1" applyBorder="1" applyAlignment="1"/>
    <xf numFmtId="0" fontId="5779" fillId="0" borderId="5779" xfId="0" applyFont="1" applyBorder="1" applyAlignment="1"/>
    <xf numFmtId="0" fontId="5780" fillId="0" borderId="5780" xfId="0" applyFont="1" applyBorder="1" applyAlignment="1"/>
    <xf numFmtId="0" fontId="5781" fillId="0" borderId="5781" xfId="0" applyFont="1" applyBorder="1" applyAlignment="1"/>
    <xf numFmtId="0" fontId="5782" fillId="0" borderId="5782" xfId="0" applyFont="1" applyBorder="1" applyAlignment="1"/>
    <xf numFmtId="0" fontId="5783" fillId="0" borderId="5783" xfId="0" applyFont="1" applyBorder="1" applyAlignment="1"/>
    <xf numFmtId="0" fontId="5784" fillId="0" borderId="5784" xfId="0" applyFont="1" applyBorder="1" applyAlignment="1"/>
    <xf numFmtId="0" fontId="5785" fillId="0" borderId="5785" xfId="0" applyFont="1" applyBorder="1" applyAlignment="1"/>
    <xf numFmtId="0" fontId="5786" fillId="0" borderId="5786" xfId="0" applyFont="1" applyBorder="1" applyAlignment="1"/>
    <xf numFmtId="0" fontId="5787" fillId="0" borderId="5787" xfId="0" applyFont="1" applyBorder="1" applyAlignment="1"/>
    <xf numFmtId="0" fontId="5788" fillId="0" borderId="5788" xfId="0" applyFont="1" applyBorder="1" applyAlignment="1"/>
    <xf numFmtId="0" fontId="5789" fillId="0" borderId="5789" xfId="0" applyFont="1" applyBorder="1" applyAlignment="1"/>
    <xf numFmtId="0" fontId="5790" fillId="0" borderId="5790" xfId="0" applyFont="1" applyBorder="1" applyAlignment="1"/>
    <xf numFmtId="0" fontId="5791" fillId="0" borderId="5791" xfId="0" applyFont="1" applyBorder="1" applyAlignment="1"/>
    <xf numFmtId="0" fontId="5792" fillId="0" borderId="5792" xfId="0" applyFont="1" applyBorder="1" applyAlignment="1"/>
    <xf numFmtId="0" fontId="5793" fillId="0" borderId="5793" xfId="0" applyFont="1" applyBorder="1" applyAlignment="1"/>
    <xf numFmtId="0" fontId="5794" fillId="0" borderId="5794" xfId="0" applyFont="1" applyBorder="1" applyAlignment="1"/>
    <xf numFmtId="0" fontId="5795" fillId="0" borderId="5795" xfId="0" applyFont="1" applyBorder="1" applyAlignment="1"/>
    <xf numFmtId="0" fontId="5796" fillId="0" borderId="5796" xfId="0" applyFont="1" applyBorder="1" applyAlignment="1"/>
    <xf numFmtId="0" fontId="5797" fillId="0" borderId="5797" xfId="0" applyFont="1" applyBorder="1" applyAlignment="1"/>
    <xf numFmtId="0" fontId="5798" fillId="0" borderId="5798" xfId="0" applyFont="1" applyBorder="1" applyAlignment="1"/>
    <xf numFmtId="0" fontId="5799" fillId="0" borderId="5799" xfId="0" applyFont="1" applyBorder="1" applyAlignment="1"/>
    <xf numFmtId="0" fontId="5800" fillId="0" borderId="5800" xfId="0" applyFont="1" applyBorder="1" applyAlignment="1"/>
    <xf numFmtId="0" fontId="5801" fillId="0" borderId="5801" xfId="0" applyFont="1" applyBorder="1" applyAlignment="1"/>
    <xf numFmtId="0" fontId="5802" fillId="0" borderId="5802" xfId="0" applyFont="1" applyBorder="1" applyAlignment="1"/>
    <xf numFmtId="0" fontId="5803" fillId="0" borderId="5803" xfId="0" applyFont="1" applyBorder="1" applyAlignment="1"/>
    <xf numFmtId="0" fontId="5804" fillId="0" borderId="5804" xfId="0" applyFont="1" applyBorder="1" applyAlignment="1"/>
    <xf numFmtId="0" fontId="5805" fillId="0" borderId="5805" xfId="0" applyFont="1" applyBorder="1" applyAlignment="1"/>
    <xf numFmtId="0" fontId="5806" fillId="0" borderId="5806" xfId="0" applyFont="1" applyBorder="1" applyAlignment="1"/>
    <xf numFmtId="0" fontId="5807" fillId="0" borderId="5807" xfId="0" applyFont="1" applyBorder="1" applyAlignment="1"/>
    <xf numFmtId="0" fontId="5808" fillId="0" borderId="5808" xfId="0" applyFont="1" applyBorder="1" applyAlignment="1"/>
    <xf numFmtId="0" fontId="5809" fillId="0" borderId="5809" xfId="0" applyFont="1" applyBorder="1" applyAlignment="1"/>
    <xf numFmtId="0" fontId="5810" fillId="0" borderId="5810" xfId="0" applyFont="1" applyBorder="1" applyAlignment="1"/>
    <xf numFmtId="0" fontId="5811" fillId="0" borderId="5811" xfId="0" applyFont="1" applyBorder="1" applyAlignment="1"/>
    <xf numFmtId="0" fontId="5812" fillId="0" borderId="5812" xfId="0" applyFont="1" applyBorder="1" applyAlignment="1"/>
    <xf numFmtId="0" fontId="5813" fillId="0" borderId="5813" xfId="0" applyFont="1" applyBorder="1" applyAlignment="1"/>
    <xf numFmtId="0" fontId="5814" fillId="0" borderId="5814" xfId="0" applyFont="1" applyBorder="1" applyAlignment="1"/>
    <xf numFmtId="0" fontId="5815" fillId="0" borderId="5815" xfId="0" applyFont="1" applyBorder="1" applyAlignment="1"/>
    <xf numFmtId="0" fontId="5816" fillId="0" borderId="5816" xfId="0" applyFont="1" applyBorder="1" applyAlignment="1"/>
    <xf numFmtId="0" fontId="5817" fillId="0" borderId="5817" xfId="0" applyFont="1" applyBorder="1" applyAlignment="1"/>
    <xf numFmtId="0" fontId="5818" fillId="0" borderId="5818" xfId="0" applyFont="1" applyBorder="1" applyAlignment="1"/>
    <xf numFmtId="0" fontId="5819" fillId="0" borderId="5819" xfId="0" applyFont="1" applyBorder="1" applyAlignment="1"/>
    <xf numFmtId="0" fontId="5820" fillId="0" borderId="5820" xfId="0" applyFont="1" applyBorder="1" applyAlignment="1"/>
    <xf numFmtId="0" fontId="5821" fillId="0" borderId="5821" xfId="0" applyFont="1" applyBorder="1" applyAlignment="1"/>
    <xf numFmtId="0" fontId="5822" fillId="0" borderId="5822" xfId="0" applyFont="1" applyBorder="1" applyAlignment="1"/>
    <xf numFmtId="0" fontId="5823" fillId="0" borderId="5823" xfId="0" applyFont="1" applyBorder="1" applyAlignment="1"/>
    <xf numFmtId="0" fontId="5824" fillId="0" borderId="5824" xfId="0" applyFont="1" applyBorder="1" applyAlignment="1"/>
    <xf numFmtId="0" fontId="5825" fillId="0" borderId="5825" xfId="0" applyFont="1" applyBorder="1" applyAlignment="1"/>
    <xf numFmtId="0" fontId="5826" fillId="0" borderId="5826" xfId="0" applyFont="1" applyBorder="1" applyAlignment="1"/>
    <xf numFmtId="0" fontId="5827" fillId="0" borderId="5827" xfId="0" applyFont="1" applyBorder="1" applyAlignment="1"/>
    <xf numFmtId="0" fontId="5828" fillId="0" borderId="5828" xfId="0" applyFont="1" applyBorder="1" applyAlignment="1"/>
    <xf numFmtId="0" fontId="5829" fillId="0" borderId="5829" xfId="0" applyFont="1" applyBorder="1" applyAlignment="1"/>
    <xf numFmtId="0" fontId="5830" fillId="0" borderId="5830" xfId="0" applyFont="1" applyBorder="1" applyAlignment="1"/>
    <xf numFmtId="0" fontId="5831" fillId="0" borderId="5831" xfId="0" applyFont="1" applyBorder="1" applyAlignment="1"/>
    <xf numFmtId="0" fontId="5832" fillId="0" borderId="5832" xfId="0" applyFont="1" applyBorder="1" applyAlignment="1"/>
    <xf numFmtId="0" fontId="5833" fillId="0" borderId="5833" xfId="0" applyFont="1" applyBorder="1" applyAlignment="1"/>
    <xf numFmtId="0" fontId="5834" fillId="0" borderId="5834" xfId="0" applyFont="1" applyBorder="1" applyAlignment="1"/>
    <xf numFmtId="0" fontId="5835" fillId="0" borderId="5835" xfId="0" applyFont="1" applyBorder="1" applyAlignment="1"/>
    <xf numFmtId="0" fontId="5836" fillId="0" borderId="5836" xfId="0" applyFont="1" applyBorder="1" applyAlignment="1"/>
    <xf numFmtId="0" fontId="5837" fillId="0" borderId="5837" xfId="0" applyFont="1" applyBorder="1" applyAlignment="1"/>
    <xf numFmtId="0" fontId="5838" fillId="0" borderId="5838" xfId="0" applyFont="1" applyBorder="1" applyAlignment="1"/>
    <xf numFmtId="0" fontId="5839" fillId="0" borderId="5839" xfId="0" applyFont="1" applyBorder="1" applyAlignment="1"/>
    <xf numFmtId="0" fontId="5840" fillId="0" borderId="5840" xfId="0" applyFont="1" applyBorder="1" applyAlignment="1"/>
    <xf numFmtId="0" fontId="5841" fillId="0" borderId="5841" xfId="0" applyFont="1" applyBorder="1" applyAlignment="1"/>
    <xf numFmtId="0" fontId="5842" fillId="0" borderId="5842" xfId="0" applyFont="1" applyBorder="1" applyAlignment="1"/>
    <xf numFmtId="0" fontId="5843" fillId="0" borderId="5843" xfId="0" applyFont="1" applyBorder="1" applyAlignment="1"/>
    <xf numFmtId="0" fontId="5844" fillId="0" borderId="5844" xfId="0" applyFont="1" applyBorder="1" applyAlignment="1"/>
    <xf numFmtId="0" fontId="5845" fillId="0" borderId="5845" xfId="0" applyFont="1" applyBorder="1" applyAlignment="1"/>
    <xf numFmtId="0" fontId="5846" fillId="0" borderId="5846" xfId="0" applyFont="1" applyBorder="1" applyAlignment="1"/>
    <xf numFmtId="0" fontId="5847" fillId="0" borderId="5847" xfId="0" applyFont="1" applyBorder="1" applyAlignment="1"/>
    <xf numFmtId="0" fontId="5848" fillId="0" borderId="5848" xfId="0" applyFont="1" applyBorder="1" applyAlignment="1"/>
    <xf numFmtId="0" fontId="5849" fillId="0" borderId="5849" xfId="0" applyFont="1" applyBorder="1" applyAlignment="1"/>
    <xf numFmtId="0" fontId="5850" fillId="0" borderId="5850" xfId="0" applyFont="1" applyBorder="1" applyAlignment="1"/>
    <xf numFmtId="0" fontId="5851" fillId="0" borderId="5851" xfId="0" applyFont="1" applyBorder="1" applyAlignment="1"/>
    <xf numFmtId="0" fontId="5852" fillId="0" borderId="5852" xfId="0" applyFont="1" applyBorder="1" applyAlignment="1"/>
    <xf numFmtId="0" fontId="5853" fillId="0" borderId="5853" xfId="0" applyFont="1" applyBorder="1" applyAlignment="1"/>
    <xf numFmtId="0" fontId="5854" fillId="0" borderId="5854" xfId="0" applyFont="1" applyBorder="1" applyAlignment="1"/>
    <xf numFmtId="0" fontId="5855" fillId="0" borderId="5855" xfId="0" applyFont="1" applyBorder="1" applyAlignment="1"/>
    <xf numFmtId="0" fontId="5856" fillId="0" borderId="5856" xfId="0" applyFont="1" applyBorder="1" applyAlignment="1"/>
    <xf numFmtId="0" fontId="5857" fillId="0" borderId="5857" xfId="0" applyFont="1" applyBorder="1" applyAlignment="1"/>
    <xf numFmtId="0" fontId="5858" fillId="0" borderId="5858" xfId="0" applyFont="1" applyBorder="1" applyAlignment="1"/>
    <xf numFmtId="0" fontId="5859" fillId="0" borderId="5859" xfId="0" applyFont="1" applyBorder="1" applyAlignment="1"/>
    <xf numFmtId="0" fontId="5860" fillId="0" borderId="5860" xfId="0" applyFont="1" applyBorder="1" applyAlignment="1"/>
    <xf numFmtId="0" fontId="5861" fillId="0" borderId="5861" xfId="0" applyFont="1" applyBorder="1" applyAlignment="1"/>
    <xf numFmtId="0" fontId="5862" fillId="0" borderId="5862" xfId="0" applyFont="1" applyBorder="1" applyAlignment="1"/>
    <xf numFmtId="0" fontId="5863" fillId="0" borderId="5863" xfId="0" applyFont="1" applyBorder="1" applyAlignment="1"/>
    <xf numFmtId="0" fontId="5864" fillId="0" borderId="5864" xfId="0" applyFont="1" applyBorder="1" applyAlignment="1"/>
    <xf numFmtId="0" fontId="5865" fillId="0" borderId="5865" xfId="0" applyFont="1" applyBorder="1" applyAlignment="1"/>
    <xf numFmtId="0" fontId="5866" fillId="0" borderId="5866" xfId="0" applyFont="1" applyBorder="1" applyAlignment="1"/>
    <xf numFmtId="0" fontId="5867" fillId="0" borderId="5867" xfId="0" applyFont="1" applyBorder="1" applyAlignment="1"/>
    <xf numFmtId="0" fontId="5868" fillId="0" borderId="5868" xfId="0" applyFont="1" applyBorder="1" applyAlignment="1"/>
    <xf numFmtId="0" fontId="5869" fillId="0" borderId="5869" xfId="0" applyFont="1" applyBorder="1" applyAlignment="1"/>
    <xf numFmtId="0" fontId="5870" fillId="0" borderId="5870" xfId="0" applyFont="1" applyBorder="1" applyAlignment="1"/>
    <xf numFmtId="0" fontId="5871" fillId="0" borderId="5871" xfId="0" applyFont="1" applyBorder="1" applyAlignment="1"/>
    <xf numFmtId="0" fontId="5872" fillId="0" borderId="5872" xfId="0" applyFont="1" applyBorder="1" applyAlignment="1"/>
    <xf numFmtId="0" fontId="5873" fillId="0" borderId="5873" xfId="0" applyFont="1" applyBorder="1" applyAlignment="1"/>
    <xf numFmtId="0" fontId="5874" fillId="0" borderId="5874" xfId="0" applyFont="1" applyBorder="1" applyAlignment="1"/>
    <xf numFmtId="0" fontId="5875" fillId="0" borderId="5875" xfId="0" applyFont="1" applyBorder="1" applyAlignment="1"/>
    <xf numFmtId="0" fontId="5876" fillId="0" borderId="5876" xfId="0" applyFont="1" applyBorder="1" applyAlignment="1"/>
    <xf numFmtId="0" fontId="5877" fillId="0" borderId="5877" xfId="0" applyFont="1" applyBorder="1" applyAlignment="1"/>
    <xf numFmtId="0" fontId="5878" fillId="0" borderId="5878" xfId="0" applyFont="1" applyBorder="1" applyAlignment="1"/>
    <xf numFmtId="0" fontId="5879" fillId="0" borderId="5879" xfId="0" applyFont="1" applyBorder="1" applyAlignment="1"/>
    <xf numFmtId="0" fontId="5880" fillId="0" borderId="5880" xfId="0" applyFont="1" applyBorder="1" applyAlignment="1"/>
    <xf numFmtId="0" fontId="5881" fillId="0" borderId="5881" xfId="0" applyFont="1" applyBorder="1" applyAlignment="1"/>
    <xf numFmtId="0" fontId="5882" fillId="0" borderId="5882" xfId="0" applyFont="1" applyBorder="1" applyAlignment="1"/>
    <xf numFmtId="0" fontId="5883" fillId="0" borderId="5883" xfId="0" applyFont="1" applyBorder="1" applyAlignment="1"/>
    <xf numFmtId="0" fontId="5884" fillId="0" borderId="5884" xfId="0" applyFont="1" applyBorder="1" applyAlignment="1"/>
    <xf numFmtId="0" fontId="5885" fillId="0" borderId="5885" xfId="0" applyFont="1" applyBorder="1" applyAlignment="1"/>
    <xf numFmtId="0" fontId="5886" fillId="0" borderId="5886" xfId="0" applyFont="1" applyBorder="1" applyAlignment="1"/>
    <xf numFmtId="0" fontId="5887" fillId="0" borderId="5887" xfId="0" applyFont="1" applyBorder="1" applyAlignment="1"/>
    <xf numFmtId="0" fontId="5888" fillId="0" borderId="5888" xfId="0" applyFont="1" applyBorder="1" applyAlignment="1"/>
    <xf numFmtId="0" fontId="5889" fillId="0" borderId="5889" xfId="0" applyFont="1" applyBorder="1" applyAlignment="1"/>
    <xf numFmtId="0" fontId="5890" fillId="0" borderId="5890" xfId="0" applyFont="1" applyBorder="1" applyAlignment="1"/>
    <xf numFmtId="0" fontId="5891" fillId="0" borderId="5891" xfId="0" applyFont="1" applyBorder="1" applyAlignment="1"/>
    <xf numFmtId="0" fontId="5892" fillId="0" borderId="5892" xfId="0" applyFont="1" applyBorder="1" applyAlignment="1"/>
    <xf numFmtId="0" fontId="5893" fillId="0" borderId="5893" xfId="0" applyFont="1" applyBorder="1" applyAlignment="1"/>
    <xf numFmtId="0" fontId="5894" fillId="0" borderId="5894" xfId="0" applyFont="1" applyBorder="1" applyAlignment="1"/>
    <xf numFmtId="0" fontId="5895" fillId="0" borderId="5895" xfId="0" applyFont="1" applyBorder="1" applyAlignment="1"/>
    <xf numFmtId="0" fontId="5896" fillId="0" borderId="5896" xfId="0" applyFont="1" applyBorder="1" applyAlignment="1"/>
    <xf numFmtId="0" fontId="5897" fillId="0" borderId="5897" xfId="0" applyFont="1" applyBorder="1" applyAlignment="1"/>
    <xf numFmtId="0" fontId="5898" fillId="0" borderId="5898" xfId="0" applyFont="1" applyBorder="1" applyAlignment="1"/>
    <xf numFmtId="0" fontId="5899" fillId="0" borderId="5899" xfId="0" applyFont="1" applyBorder="1" applyAlignment="1"/>
    <xf numFmtId="0" fontId="5900" fillId="0" borderId="5900" xfId="0" applyFont="1" applyBorder="1" applyAlignment="1"/>
    <xf numFmtId="0" fontId="5901" fillId="0" borderId="5901" xfId="0" applyFont="1" applyBorder="1" applyAlignment="1"/>
    <xf numFmtId="0" fontId="5902" fillId="0" borderId="5902" xfId="0" applyFont="1" applyBorder="1" applyAlignment="1"/>
    <xf numFmtId="0" fontId="5903" fillId="0" borderId="5903" xfId="0" applyFont="1" applyBorder="1" applyAlignment="1"/>
    <xf numFmtId="0" fontId="5904" fillId="0" borderId="5904" xfId="0" applyFont="1" applyBorder="1" applyAlignment="1"/>
    <xf numFmtId="0" fontId="5905" fillId="0" borderId="5905" xfId="0" applyFont="1" applyBorder="1" applyAlignment="1"/>
    <xf numFmtId="0" fontId="5906" fillId="0" borderId="5906" xfId="0" applyFont="1" applyBorder="1" applyAlignment="1"/>
    <xf numFmtId="0" fontId="5907" fillId="0" borderId="5907" xfId="0" applyFont="1" applyBorder="1" applyAlignment="1"/>
    <xf numFmtId="0" fontId="5908" fillId="0" borderId="5908" xfId="0" applyFont="1" applyBorder="1" applyAlignment="1"/>
    <xf numFmtId="0" fontId="5909" fillId="0" borderId="5909" xfId="0" applyFont="1" applyBorder="1" applyAlignment="1"/>
    <xf numFmtId="0" fontId="5910" fillId="0" borderId="5910" xfId="0" applyFont="1" applyBorder="1" applyAlignment="1"/>
    <xf numFmtId="0" fontId="5911" fillId="0" borderId="5911" xfId="0" applyFont="1" applyBorder="1" applyAlignment="1"/>
    <xf numFmtId="0" fontId="5912" fillId="0" borderId="5912" xfId="0" applyFont="1" applyBorder="1" applyAlignment="1"/>
    <xf numFmtId="0" fontId="5913" fillId="0" borderId="5913" xfId="0" applyFont="1" applyBorder="1" applyAlignment="1"/>
    <xf numFmtId="0" fontId="5914" fillId="0" borderId="5914" xfId="0" applyFont="1" applyBorder="1" applyAlignment="1"/>
    <xf numFmtId="0" fontId="5915" fillId="0" borderId="5915" xfId="0" applyFont="1" applyBorder="1" applyAlignment="1"/>
    <xf numFmtId="0" fontId="5916" fillId="0" borderId="5916" xfId="0" applyFont="1" applyBorder="1" applyAlignment="1"/>
    <xf numFmtId="0" fontId="5917" fillId="0" borderId="5917" xfId="0" applyFont="1" applyBorder="1" applyAlignment="1"/>
    <xf numFmtId="0" fontId="5918" fillId="0" borderId="5918" xfId="0" applyFont="1" applyBorder="1" applyAlignment="1"/>
    <xf numFmtId="0" fontId="5919" fillId="0" borderId="5919" xfId="0" applyFont="1" applyBorder="1" applyAlignment="1"/>
    <xf numFmtId="0" fontId="5920" fillId="0" borderId="5920" xfId="0" applyFont="1" applyBorder="1" applyAlignment="1"/>
    <xf numFmtId="0" fontId="5921" fillId="0" borderId="5921" xfId="0" applyFont="1" applyBorder="1" applyAlignment="1"/>
    <xf numFmtId="0" fontId="5922" fillId="0" borderId="5922" xfId="0" applyFont="1" applyBorder="1" applyAlignment="1"/>
    <xf numFmtId="0" fontId="5923" fillId="0" borderId="5923" xfId="0" applyFont="1" applyBorder="1" applyAlignment="1"/>
    <xf numFmtId="0" fontId="5924" fillId="0" borderId="5924" xfId="0" applyFont="1" applyBorder="1" applyAlignment="1"/>
    <xf numFmtId="0" fontId="5925" fillId="0" borderId="5925" xfId="0" applyFont="1" applyBorder="1" applyAlignment="1"/>
    <xf numFmtId="0" fontId="5926" fillId="0" borderId="5926" xfId="0" applyFont="1" applyBorder="1" applyAlignment="1"/>
    <xf numFmtId="0" fontId="5927" fillId="0" borderId="5927" xfId="0" applyFont="1" applyBorder="1" applyAlignment="1"/>
    <xf numFmtId="0" fontId="5928" fillId="0" borderId="5928" xfId="0" applyFont="1" applyBorder="1" applyAlignment="1"/>
    <xf numFmtId="0" fontId="5929" fillId="0" borderId="5929" xfId="0" applyFont="1" applyBorder="1" applyAlignment="1"/>
    <xf numFmtId="0" fontId="5930" fillId="0" borderId="5930" xfId="0" applyFont="1" applyBorder="1" applyAlignment="1"/>
    <xf numFmtId="0" fontId="5931" fillId="0" borderId="5931" xfId="0" applyFont="1" applyBorder="1" applyAlignment="1"/>
    <xf numFmtId="0" fontId="5932" fillId="0" borderId="5932" xfId="0" applyFont="1" applyBorder="1" applyAlignment="1"/>
    <xf numFmtId="0" fontId="5933" fillId="0" borderId="5933" xfId="0" applyFont="1" applyBorder="1" applyAlignment="1"/>
    <xf numFmtId="0" fontId="5934" fillId="0" borderId="5934" xfId="0" applyFont="1" applyBorder="1" applyAlignment="1"/>
    <xf numFmtId="0" fontId="5935" fillId="0" borderId="5935" xfId="0" applyFont="1" applyBorder="1" applyAlignment="1"/>
    <xf numFmtId="0" fontId="5936" fillId="0" borderId="5936" xfId="0" applyFont="1" applyBorder="1" applyAlignment="1"/>
    <xf numFmtId="0" fontId="5937" fillId="0" borderId="5937" xfId="0" applyFont="1" applyBorder="1" applyAlignment="1"/>
    <xf numFmtId="0" fontId="5938" fillId="0" borderId="5938" xfId="0" applyFont="1" applyBorder="1" applyAlignment="1"/>
    <xf numFmtId="0" fontId="5939" fillId="0" borderId="5939" xfId="0" applyFont="1" applyBorder="1" applyAlignment="1"/>
    <xf numFmtId="0" fontId="5940" fillId="0" borderId="5940" xfId="0" applyFont="1" applyBorder="1" applyAlignment="1"/>
    <xf numFmtId="0" fontId="5941" fillId="0" borderId="5941" xfId="0" applyFont="1" applyBorder="1" applyAlignment="1"/>
    <xf numFmtId="0" fontId="5942" fillId="0" borderId="5942" xfId="0" applyFont="1" applyBorder="1" applyAlignment="1"/>
    <xf numFmtId="0" fontId="5943" fillId="0" borderId="5943" xfId="0" applyFont="1" applyBorder="1" applyAlignment="1"/>
    <xf numFmtId="0" fontId="5944" fillId="0" borderId="5944" xfId="0" applyFont="1" applyBorder="1" applyAlignment="1"/>
    <xf numFmtId="0" fontId="5945" fillId="0" borderId="5945" xfId="0" applyFont="1" applyBorder="1" applyAlignment="1"/>
    <xf numFmtId="0" fontId="5946" fillId="0" borderId="5946" xfId="0" applyFont="1" applyBorder="1" applyAlignment="1"/>
    <xf numFmtId="0" fontId="5947" fillId="0" borderId="5947" xfId="0" applyFont="1" applyBorder="1" applyAlignment="1"/>
    <xf numFmtId="0" fontId="5948" fillId="0" borderId="5948" xfId="0" applyFont="1" applyBorder="1" applyAlignment="1"/>
    <xf numFmtId="0" fontId="5949" fillId="0" borderId="5949" xfId="0" applyFont="1" applyBorder="1" applyAlignment="1"/>
    <xf numFmtId="0" fontId="5950" fillId="0" borderId="5950" xfId="0" applyFont="1" applyBorder="1" applyAlignment="1"/>
    <xf numFmtId="0" fontId="5951" fillId="0" borderId="5951" xfId="0" applyFont="1" applyBorder="1" applyAlignment="1"/>
    <xf numFmtId="0" fontId="5952" fillId="0" borderId="5952" xfId="0" applyFont="1" applyBorder="1" applyAlignment="1"/>
    <xf numFmtId="0" fontId="5953" fillId="0" borderId="5953" xfId="0" applyFont="1" applyBorder="1" applyAlignment="1"/>
    <xf numFmtId="0" fontId="5954" fillId="0" borderId="5954" xfId="0" applyFont="1" applyBorder="1" applyAlignment="1"/>
    <xf numFmtId="0" fontId="5955" fillId="0" borderId="5955" xfId="0" applyFont="1" applyBorder="1" applyAlignment="1"/>
    <xf numFmtId="0" fontId="5956" fillId="0" borderId="5956" xfId="0" applyFont="1" applyBorder="1" applyAlignment="1"/>
    <xf numFmtId="0" fontId="5957" fillId="0" borderId="5957" xfId="0" applyFont="1" applyBorder="1" applyAlignment="1"/>
    <xf numFmtId="0" fontId="5958" fillId="0" borderId="5958" xfId="0" applyFont="1" applyBorder="1" applyAlignment="1"/>
    <xf numFmtId="0" fontId="5959" fillId="0" borderId="5959" xfId="0" applyFont="1" applyBorder="1" applyAlignment="1"/>
    <xf numFmtId="0" fontId="5960" fillId="0" borderId="5960" xfId="0" applyFont="1" applyBorder="1" applyAlignment="1"/>
    <xf numFmtId="0" fontId="5961" fillId="0" borderId="5961" xfId="0" applyFont="1" applyBorder="1" applyAlignment="1"/>
    <xf numFmtId="0" fontId="5962" fillId="0" borderId="5962" xfId="0" applyFont="1" applyBorder="1" applyAlignment="1"/>
    <xf numFmtId="0" fontId="5963" fillId="0" borderId="5963" xfId="0" applyFont="1" applyBorder="1" applyAlignment="1"/>
    <xf numFmtId="0" fontId="5964" fillId="0" borderId="5964" xfId="0" applyFont="1" applyBorder="1" applyAlignment="1"/>
    <xf numFmtId="0" fontId="5965" fillId="0" borderId="5965" xfId="0" applyFont="1" applyBorder="1" applyAlignment="1"/>
    <xf numFmtId="0" fontId="5966" fillId="0" borderId="5966" xfId="0" applyFont="1" applyBorder="1" applyAlignment="1"/>
    <xf numFmtId="0" fontId="5967" fillId="0" borderId="5967" xfId="0" applyFont="1" applyBorder="1" applyAlignment="1"/>
    <xf numFmtId="0" fontId="5968" fillId="0" borderId="5968" xfId="0" applyFont="1" applyBorder="1" applyAlignment="1"/>
    <xf numFmtId="0" fontId="5969" fillId="0" borderId="5969" xfId="0" applyFont="1" applyBorder="1" applyAlignment="1"/>
    <xf numFmtId="0" fontId="5970" fillId="0" borderId="5970" xfId="0" applyFont="1" applyBorder="1" applyAlignment="1"/>
    <xf numFmtId="0" fontId="5971" fillId="0" borderId="5971" xfId="0" applyFont="1" applyBorder="1" applyAlignment="1"/>
    <xf numFmtId="0" fontId="5972" fillId="0" borderId="5972" xfId="0" applyFont="1" applyBorder="1" applyAlignment="1"/>
    <xf numFmtId="0" fontId="5973" fillId="0" borderId="5973" xfId="0" applyFont="1" applyBorder="1" applyAlignment="1"/>
    <xf numFmtId="0" fontId="5974" fillId="0" borderId="5974" xfId="0" applyFont="1" applyBorder="1" applyAlignment="1"/>
    <xf numFmtId="0" fontId="5975" fillId="0" borderId="5975" xfId="0" applyFont="1" applyBorder="1" applyAlignment="1"/>
    <xf numFmtId="0" fontId="5976" fillId="0" borderId="5976" xfId="0" applyFont="1" applyBorder="1" applyAlignment="1"/>
    <xf numFmtId="0" fontId="5977" fillId="0" borderId="5977" xfId="0" applyFont="1" applyBorder="1" applyAlignment="1"/>
    <xf numFmtId="0" fontId="5978" fillId="0" borderId="5978" xfId="0" applyFont="1" applyBorder="1" applyAlignment="1"/>
    <xf numFmtId="0" fontId="5979" fillId="0" borderId="5979" xfId="0" applyFont="1" applyBorder="1" applyAlignment="1"/>
    <xf numFmtId="0" fontId="5980" fillId="0" borderId="5980" xfId="0" applyFont="1" applyBorder="1" applyAlignment="1"/>
    <xf numFmtId="0" fontId="5981" fillId="0" borderId="5981" xfId="0" applyFont="1" applyBorder="1" applyAlignment="1"/>
    <xf numFmtId="0" fontId="5982" fillId="0" borderId="5982" xfId="0" applyFont="1" applyBorder="1" applyAlignment="1"/>
    <xf numFmtId="0" fontId="5983" fillId="0" borderId="5983" xfId="0" applyFont="1" applyBorder="1" applyAlignment="1"/>
    <xf numFmtId="0" fontId="5984" fillId="0" borderId="5984" xfId="0" applyFont="1" applyBorder="1" applyAlignment="1"/>
    <xf numFmtId="0" fontId="5985" fillId="0" borderId="5985" xfId="0" applyFont="1" applyBorder="1" applyAlignment="1"/>
    <xf numFmtId="0" fontId="5986" fillId="0" borderId="5986" xfId="0" applyFont="1" applyBorder="1" applyAlignment="1"/>
    <xf numFmtId="0" fontId="5987" fillId="0" borderId="5987" xfId="0" applyFont="1" applyBorder="1" applyAlignment="1"/>
    <xf numFmtId="0" fontId="5988" fillId="0" borderId="5988" xfId="0" applyFont="1" applyBorder="1" applyAlignment="1"/>
    <xf numFmtId="0" fontId="5989" fillId="0" borderId="5989" xfId="0" applyFont="1" applyBorder="1" applyAlignment="1"/>
    <xf numFmtId="0" fontId="5990" fillId="0" borderId="5990" xfId="0" applyFont="1" applyBorder="1" applyAlignment="1"/>
    <xf numFmtId="0" fontId="5991" fillId="0" borderId="5991" xfId="0" applyFont="1" applyBorder="1" applyAlignment="1"/>
    <xf numFmtId="0" fontId="5992" fillId="0" borderId="5992" xfId="0" applyFont="1" applyBorder="1" applyAlignment="1"/>
    <xf numFmtId="0" fontId="5993" fillId="0" borderId="5993" xfId="0" applyFont="1" applyBorder="1" applyAlignment="1"/>
    <xf numFmtId="0" fontId="5994" fillId="0" borderId="5994" xfId="0" applyFont="1" applyBorder="1" applyAlignment="1"/>
    <xf numFmtId="0" fontId="5995" fillId="0" borderId="5995" xfId="0" applyFont="1" applyBorder="1" applyAlignment="1"/>
    <xf numFmtId="0" fontId="5996" fillId="0" borderId="5996" xfId="0" applyFont="1" applyBorder="1" applyAlignment="1"/>
    <xf numFmtId="0" fontId="5997" fillId="0" borderId="5997" xfId="0" applyFont="1" applyBorder="1" applyAlignment="1"/>
    <xf numFmtId="0" fontId="5998" fillId="0" borderId="5998" xfId="0" applyFont="1" applyBorder="1" applyAlignment="1"/>
    <xf numFmtId="0" fontId="5999" fillId="0" borderId="5999" xfId="0" applyFont="1" applyBorder="1" applyAlignment="1"/>
    <xf numFmtId="0" fontId="6000" fillId="0" borderId="6000" xfId="0" applyFont="1" applyBorder="1" applyAlignment="1"/>
    <xf numFmtId="0" fontId="6001" fillId="0" borderId="6001" xfId="0" applyFont="1" applyBorder="1" applyAlignment="1"/>
    <xf numFmtId="0" fontId="6002" fillId="0" borderId="6002" xfId="0" applyFont="1" applyBorder="1" applyAlignment="1"/>
    <xf numFmtId="0" fontId="6003" fillId="0" borderId="6003" xfId="0" applyFont="1" applyBorder="1" applyAlignment="1"/>
    <xf numFmtId="0" fontId="6004" fillId="0" borderId="6004" xfId="0" applyFont="1" applyBorder="1" applyAlignment="1"/>
    <xf numFmtId="0" fontId="6005" fillId="0" borderId="6005" xfId="0" applyFont="1" applyBorder="1" applyAlignment="1"/>
    <xf numFmtId="0" fontId="6006" fillId="0" borderId="6006" xfId="0" applyFont="1" applyBorder="1" applyAlignment="1"/>
    <xf numFmtId="0" fontId="6007" fillId="0" borderId="6007" xfId="0" applyFont="1" applyBorder="1" applyAlignment="1"/>
    <xf numFmtId="0" fontId="6008" fillId="0" borderId="6008" xfId="0" applyFont="1" applyBorder="1" applyAlignment="1"/>
    <xf numFmtId="0" fontId="6009" fillId="0" borderId="6009" xfId="0" applyFont="1" applyBorder="1" applyAlignment="1"/>
    <xf numFmtId="0" fontId="6010" fillId="0" borderId="6010" xfId="0" applyFont="1" applyBorder="1" applyAlignment="1"/>
    <xf numFmtId="0" fontId="6011" fillId="0" borderId="6011" xfId="0" applyFont="1" applyBorder="1" applyAlignment="1"/>
    <xf numFmtId="0" fontId="6012" fillId="0" borderId="6012" xfId="0" applyFont="1" applyBorder="1" applyAlignment="1"/>
    <xf numFmtId="0" fontId="6013" fillId="0" borderId="6013" xfId="0" applyFont="1" applyBorder="1" applyAlignment="1"/>
    <xf numFmtId="0" fontId="6014" fillId="0" borderId="6014" xfId="0" applyFont="1" applyBorder="1" applyAlignment="1"/>
    <xf numFmtId="0" fontId="6015" fillId="0" borderId="6015" xfId="0" applyFont="1" applyBorder="1" applyAlignment="1"/>
    <xf numFmtId="0" fontId="6016" fillId="0" borderId="6016" xfId="0" applyFont="1" applyBorder="1" applyAlignment="1"/>
    <xf numFmtId="0" fontId="6017" fillId="0" borderId="6017" xfId="0" applyFont="1" applyBorder="1" applyAlignment="1"/>
    <xf numFmtId="0" fontId="6018" fillId="0" borderId="6018" xfId="0" applyFont="1" applyBorder="1" applyAlignment="1"/>
    <xf numFmtId="0" fontId="6019" fillId="0" borderId="6019" xfId="0" applyFont="1" applyBorder="1" applyAlignment="1"/>
    <xf numFmtId="0" fontId="6020" fillId="0" borderId="6020" xfId="0" applyFont="1" applyBorder="1" applyAlignment="1"/>
    <xf numFmtId="0" fontId="6021" fillId="0" borderId="6021" xfId="0" applyFont="1" applyBorder="1" applyAlignment="1"/>
    <xf numFmtId="0" fontId="6022" fillId="0" borderId="6022" xfId="0" applyFont="1" applyBorder="1" applyAlignment="1"/>
    <xf numFmtId="0" fontId="6023" fillId="0" borderId="6023" xfId="0" applyFont="1" applyBorder="1" applyAlignment="1"/>
    <xf numFmtId="0" fontId="6024" fillId="0" borderId="6024" xfId="0" applyFont="1" applyBorder="1" applyAlignment="1"/>
    <xf numFmtId="0" fontId="6025" fillId="0" borderId="6025" xfId="0" applyFont="1" applyBorder="1" applyAlignment="1"/>
    <xf numFmtId="0" fontId="6026" fillId="0" borderId="6026" xfId="0" applyFont="1" applyBorder="1" applyAlignment="1"/>
    <xf numFmtId="0" fontId="6027" fillId="0" borderId="6027" xfId="0" applyFont="1" applyBorder="1" applyAlignment="1"/>
    <xf numFmtId="0" fontId="6028" fillId="0" borderId="6028" xfId="0" applyFont="1" applyBorder="1" applyAlignment="1"/>
    <xf numFmtId="0" fontId="6029" fillId="0" borderId="6029" xfId="0" applyFont="1" applyBorder="1" applyAlignment="1"/>
    <xf numFmtId="0" fontId="6030" fillId="0" borderId="6030" xfId="0" applyFont="1" applyBorder="1" applyAlignment="1"/>
    <xf numFmtId="0" fontId="6031" fillId="0" borderId="6031" xfId="0" applyFont="1" applyBorder="1" applyAlignment="1"/>
    <xf numFmtId="0" fontId="6032" fillId="0" borderId="6032" xfId="0" applyFont="1" applyBorder="1" applyAlignment="1"/>
    <xf numFmtId="0" fontId="6033" fillId="0" borderId="6033" xfId="0" applyFont="1" applyBorder="1" applyAlignment="1"/>
    <xf numFmtId="0" fontId="6034" fillId="0" borderId="6034" xfId="0" applyFont="1" applyBorder="1" applyAlignment="1"/>
    <xf numFmtId="0" fontId="6035" fillId="0" borderId="6035" xfId="0" applyFont="1" applyBorder="1" applyAlignment="1"/>
    <xf numFmtId="0" fontId="6036" fillId="0" borderId="6036" xfId="0" applyFont="1" applyBorder="1" applyAlignment="1"/>
    <xf numFmtId="0" fontId="6037" fillId="0" borderId="6037" xfId="0" applyFont="1" applyBorder="1" applyAlignment="1"/>
    <xf numFmtId="0" fontId="6038" fillId="0" borderId="6038" xfId="0" applyFont="1" applyBorder="1" applyAlignment="1"/>
    <xf numFmtId="0" fontId="6039" fillId="0" borderId="6039" xfId="0" applyFont="1" applyBorder="1" applyAlignment="1"/>
    <xf numFmtId="0" fontId="6040" fillId="0" borderId="6040" xfId="0" applyFont="1" applyBorder="1" applyAlignment="1"/>
    <xf numFmtId="0" fontId="6041" fillId="0" borderId="6041" xfId="0" applyFont="1" applyBorder="1" applyAlignment="1"/>
    <xf numFmtId="0" fontId="6042" fillId="0" borderId="6042" xfId="0" applyFont="1" applyBorder="1" applyAlignment="1"/>
    <xf numFmtId="0" fontId="6043" fillId="0" borderId="6043" xfId="0" applyFont="1" applyBorder="1" applyAlignment="1"/>
    <xf numFmtId="0" fontId="6044" fillId="0" borderId="6044" xfId="0" applyFont="1" applyBorder="1" applyAlignment="1"/>
    <xf numFmtId="0" fontId="6045" fillId="0" borderId="6045" xfId="0" applyFont="1" applyBorder="1" applyAlignment="1"/>
    <xf numFmtId="0" fontId="6046" fillId="0" borderId="6046" xfId="0" applyFont="1" applyBorder="1" applyAlignment="1"/>
    <xf numFmtId="0" fontId="6047" fillId="0" borderId="6047" xfId="0" applyFont="1" applyBorder="1" applyAlignment="1"/>
    <xf numFmtId="0" fontId="6048" fillId="0" borderId="6048" xfId="0" applyFont="1" applyBorder="1" applyAlignment="1"/>
    <xf numFmtId="0" fontId="6049" fillId="0" borderId="6049" xfId="0" applyFont="1" applyBorder="1" applyAlignment="1"/>
    <xf numFmtId="0" fontId="6050" fillId="0" borderId="6050" xfId="0" applyFont="1" applyBorder="1" applyAlignment="1"/>
    <xf numFmtId="0" fontId="6051" fillId="0" borderId="6051" xfId="0" applyFont="1" applyBorder="1" applyAlignment="1"/>
    <xf numFmtId="0" fontId="6052" fillId="0" borderId="6052" xfId="0" applyFont="1" applyBorder="1" applyAlignment="1"/>
    <xf numFmtId="0" fontId="6053" fillId="0" borderId="6053" xfId="0" applyFont="1" applyBorder="1" applyAlignment="1"/>
    <xf numFmtId="0" fontId="6054" fillId="0" borderId="6054" xfId="0" applyFont="1" applyBorder="1" applyAlignment="1"/>
    <xf numFmtId="0" fontId="6055" fillId="0" borderId="6055" xfId="0" applyFont="1" applyBorder="1" applyAlignment="1"/>
    <xf numFmtId="0" fontId="6056" fillId="0" borderId="6056" xfId="0" applyFont="1" applyBorder="1" applyAlignment="1"/>
    <xf numFmtId="0" fontId="6057" fillId="0" borderId="6057" xfId="0" applyFont="1" applyBorder="1" applyAlignment="1"/>
    <xf numFmtId="0" fontId="6058" fillId="0" borderId="6058" xfId="0" applyFont="1" applyBorder="1" applyAlignment="1"/>
    <xf numFmtId="0" fontId="6059" fillId="0" borderId="6059" xfId="0" applyFont="1" applyBorder="1" applyAlignment="1"/>
    <xf numFmtId="0" fontId="6060" fillId="0" borderId="6060" xfId="0" applyFont="1" applyBorder="1" applyAlignment="1"/>
    <xf numFmtId="0" fontId="6061" fillId="0" borderId="6061" xfId="0" applyFont="1" applyBorder="1" applyAlignment="1"/>
    <xf numFmtId="0" fontId="6062" fillId="0" borderId="6062" xfId="0" applyFont="1" applyBorder="1" applyAlignment="1"/>
    <xf numFmtId="0" fontId="6063" fillId="0" borderId="6063" xfId="0" applyFont="1" applyBorder="1" applyAlignment="1"/>
    <xf numFmtId="0" fontId="6064" fillId="0" borderId="6064" xfId="0" applyFont="1" applyBorder="1" applyAlignment="1"/>
    <xf numFmtId="0" fontId="6065" fillId="0" borderId="6065" xfId="0" applyFont="1" applyBorder="1" applyAlignment="1"/>
    <xf numFmtId="0" fontId="6066" fillId="0" borderId="6066" xfId="0" applyFont="1" applyBorder="1" applyAlignment="1"/>
    <xf numFmtId="0" fontId="6067" fillId="0" borderId="6067" xfId="0" applyFont="1" applyBorder="1" applyAlignment="1"/>
    <xf numFmtId="0" fontId="6068" fillId="0" borderId="6068" xfId="0" applyFont="1" applyBorder="1" applyAlignment="1"/>
    <xf numFmtId="0" fontId="6069" fillId="0" borderId="6069" xfId="0" applyFont="1" applyBorder="1" applyAlignment="1"/>
    <xf numFmtId="0" fontId="6070" fillId="0" borderId="6070" xfId="0" applyFont="1" applyBorder="1" applyAlignment="1"/>
    <xf numFmtId="0" fontId="6071" fillId="0" borderId="6071" xfId="0" applyFont="1" applyBorder="1" applyAlignment="1"/>
    <xf numFmtId="0" fontId="6072" fillId="0" borderId="6072" xfId="0" applyFont="1" applyBorder="1" applyAlignment="1"/>
    <xf numFmtId="0" fontId="6073" fillId="0" borderId="6073" xfId="0" applyFont="1" applyBorder="1" applyAlignment="1"/>
    <xf numFmtId="0" fontId="6074" fillId="0" borderId="6074" xfId="0" applyFont="1" applyBorder="1" applyAlignment="1"/>
    <xf numFmtId="0" fontId="6075" fillId="0" borderId="6075" xfId="0" applyFont="1" applyBorder="1" applyAlignment="1"/>
    <xf numFmtId="0" fontId="6076" fillId="0" borderId="6076" xfId="0" applyFont="1" applyBorder="1" applyAlignment="1"/>
    <xf numFmtId="0" fontId="6077" fillId="0" borderId="6077" xfId="0" applyFont="1" applyBorder="1" applyAlignment="1"/>
    <xf numFmtId="0" fontId="6078" fillId="0" borderId="6078" xfId="0" applyFont="1" applyBorder="1" applyAlignment="1"/>
    <xf numFmtId="0" fontId="6079" fillId="0" borderId="6079" xfId="0" applyFont="1" applyBorder="1" applyAlignment="1"/>
    <xf numFmtId="0" fontId="6080" fillId="0" borderId="6080" xfId="0" applyFont="1" applyBorder="1" applyAlignment="1"/>
    <xf numFmtId="0" fontId="6081" fillId="0" borderId="6081" xfId="0" applyFont="1" applyBorder="1" applyAlignment="1"/>
    <xf numFmtId="0" fontId="6082" fillId="0" borderId="6082" xfId="0" applyFont="1" applyBorder="1" applyAlignment="1"/>
    <xf numFmtId="0" fontId="6083" fillId="0" borderId="6083" xfId="0" applyFont="1" applyBorder="1" applyAlignment="1"/>
    <xf numFmtId="0" fontId="6084" fillId="0" borderId="6084" xfId="0" applyFont="1" applyBorder="1" applyAlignment="1"/>
    <xf numFmtId="0" fontId="6085" fillId="0" borderId="6085" xfId="0" applyFont="1" applyBorder="1" applyAlignment="1"/>
    <xf numFmtId="0" fontId="6086" fillId="0" borderId="6086" xfId="0" applyFont="1" applyBorder="1" applyAlignment="1"/>
    <xf numFmtId="0" fontId="6087" fillId="0" borderId="6087" xfId="0" applyFont="1" applyBorder="1" applyAlignment="1"/>
    <xf numFmtId="0" fontId="6088" fillId="0" borderId="6088" xfId="0" applyFont="1" applyBorder="1" applyAlignment="1"/>
    <xf numFmtId="0" fontId="6089" fillId="0" borderId="6089" xfId="0" applyFont="1" applyBorder="1" applyAlignment="1"/>
    <xf numFmtId="0" fontId="6090" fillId="0" borderId="6090" xfId="0" applyFont="1" applyBorder="1" applyAlignment="1"/>
    <xf numFmtId="0" fontId="6091" fillId="0" borderId="6091" xfId="0" applyFont="1" applyBorder="1" applyAlignment="1"/>
    <xf numFmtId="0" fontId="6092" fillId="0" borderId="6092" xfId="0" applyFont="1" applyBorder="1" applyAlignment="1"/>
    <xf numFmtId="0" fontId="6093" fillId="0" borderId="6093" xfId="0" applyFont="1" applyBorder="1" applyAlignment="1"/>
    <xf numFmtId="0" fontId="6094" fillId="0" borderId="6094" xfId="0" applyFont="1" applyBorder="1" applyAlignment="1"/>
    <xf numFmtId="0" fontId="6095" fillId="0" borderId="6095" xfId="0" applyFont="1" applyBorder="1" applyAlignment="1"/>
    <xf numFmtId="0" fontId="6096" fillId="0" borderId="6096" xfId="0" applyFont="1" applyBorder="1" applyAlignment="1"/>
    <xf numFmtId="0" fontId="6097" fillId="0" borderId="6097" xfId="0" applyFont="1" applyBorder="1" applyAlignment="1"/>
    <xf numFmtId="0" fontId="6098" fillId="0" borderId="6098" xfId="0" applyFont="1" applyBorder="1" applyAlignment="1"/>
    <xf numFmtId="0" fontId="6099" fillId="0" borderId="6099" xfId="0" applyFont="1" applyBorder="1" applyAlignment="1"/>
    <xf numFmtId="0" fontId="6100" fillId="0" borderId="6100" xfId="0" applyFont="1" applyBorder="1" applyAlignment="1"/>
    <xf numFmtId="0" fontId="6101" fillId="0" borderId="6101" xfId="0" applyFont="1" applyBorder="1" applyAlignment="1"/>
    <xf numFmtId="0" fontId="6102" fillId="0" borderId="6102" xfId="0" applyFont="1" applyBorder="1" applyAlignment="1"/>
    <xf numFmtId="0" fontId="6103" fillId="0" borderId="6103" xfId="0" applyFont="1" applyBorder="1" applyAlignment="1"/>
    <xf numFmtId="0" fontId="6104" fillId="0" borderId="6104" xfId="0" applyFont="1" applyBorder="1" applyAlignment="1"/>
    <xf numFmtId="0" fontId="6105" fillId="0" borderId="6105" xfId="0" applyFont="1" applyBorder="1" applyAlignment="1"/>
    <xf numFmtId="0" fontId="6106" fillId="0" borderId="6106" xfId="0" applyFont="1" applyBorder="1" applyAlignment="1"/>
    <xf numFmtId="0" fontId="6107" fillId="0" borderId="6107" xfId="0" applyFont="1" applyBorder="1" applyAlignment="1"/>
    <xf numFmtId="0" fontId="6108" fillId="0" borderId="6108" xfId="0" applyFont="1" applyBorder="1" applyAlignment="1"/>
    <xf numFmtId="0" fontId="6109" fillId="0" borderId="6109" xfId="0" applyFont="1" applyBorder="1" applyAlignment="1"/>
    <xf numFmtId="0" fontId="6110" fillId="0" borderId="6110" xfId="0" applyFont="1" applyBorder="1" applyAlignment="1"/>
    <xf numFmtId="0" fontId="6111" fillId="0" borderId="6111" xfId="0" applyFont="1" applyBorder="1" applyAlignment="1"/>
    <xf numFmtId="0" fontId="6112" fillId="0" borderId="6112" xfId="0" applyFont="1" applyBorder="1" applyAlignment="1"/>
    <xf numFmtId="0" fontId="6113" fillId="0" borderId="6113" xfId="0" applyFont="1" applyBorder="1" applyAlignment="1"/>
    <xf numFmtId="0" fontId="6114" fillId="0" borderId="6114" xfId="0" applyFont="1" applyBorder="1" applyAlignment="1"/>
    <xf numFmtId="0" fontId="6115" fillId="0" borderId="6115" xfId="0" applyFont="1" applyBorder="1" applyAlignment="1"/>
    <xf numFmtId="0" fontId="6116" fillId="0" borderId="6116" xfId="0" applyFont="1" applyBorder="1" applyAlignment="1"/>
    <xf numFmtId="0" fontId="6117" fillId="0" borderId="6117" xfId="0" applyFont="1" applyBorder="1" applyAlignment="1"/>
    <xf numFmtId="0" fontId="6118" fillId="0" borderId="6118" xfId="0" applyFont="1" applyBorder="1" applyAlignment="1"/>
    <xf numFmtId="0" fontId="6119" fillId="0" borderId="6119" xfId="0" applyFont="1" applyBorder="1" applyAlignment="1"/>
    <xf numFmtId="0" fontId="6120" fillId="0" borderId="6120" xfId="0" applyFont="1" applyBorder="1" applyAlignment="1"/>
    <xf numFmtId="0" fontId="6121" fillId="0" borderId="6121" xfId="0" applyFont="1" applyBorder="1" applyAlignment="1"/>
    <xf numFmtId="0" fontId="6122" fillId="0" borderId="6122" xfId="0" applyFont="1" applyBorder="1" applyAlignment="1"/>
    <xf numFmtId="0" fontId="6123" fillId="0" borderId="6123" xfId="0" applyFont="1" applyBorder="1" applyAlignment="1"/>
    <xf numFmtId="0" fontId="6124" fillId="0" borderId="6124" xfId="0" applyFont="1" applyBorder="1" applyAlignment="1"/>
    <xf numFmtId="0" fontId="6125" fillId="0" borderId="6125" xfId="0" applyFont="1" applyBorder="1" applyAlignment="1"/>
    <xf numFmtId="0" fontId="6126" fillId="0" borderId="6126" xfId="0" applyFont="1" applyBorder="1" applyAlignment="1"/>
    <xf numFmtId="0" fontId="6127" fillId="0" borderId="6127" xfId="0" applyFont="1" applyBorder="1" applyAlignment="1"/>
    <xf numFmtId="0" fontId="6128" fillId="0" borderId="6128" xfId="0" applyFont="1" applyBorder="1" applyAlignment="1"/>
    <xf numFmtId="0" fontId="6129" fillId="0" borderId="6129" xfId="0" applyFont="1" applyBorder="1" applyAlignment="1"/>
    <xf numFmtId="0" fontId="6130" fillId="0" borderId="6130" xfId="0" applyFont="1" applyBorder="1" applyAlignment="1"/>
    <xf numFmtId="0" fontId="6131" fillId="0" borderId="6131" xfId="0" applyFont="1" applyBorder="1" applyAlignment="1"/>
    <xf numFmtId="0" fontId="6132" fillId="0" borderId="6132" xfId="0" applyFont="1" applyBorder="1" applyAlignment="1"/>
    <xf numFmtId="0" fontId="6133" fillId="0" borderId="6133" xfId="0" applyFont="1" applyBorder="1" applyAlignment="1"/>
    <xf numFmtId="0" fontId="6134" fillId="0" borderId="6134" xfId="0" applyFont="1" applyBorder="1" applyAlignment="1"/>
    <xf numFmtId="0" fontId="6135" fillId="0" borderId="6135" xfId="0" applyFont="1" applyBorder="1" applyAlignment="1"/>
    <xf numFmtId="0" fontId="6136" fillId="0" borderId="6136" xfId="0" applyFont="1" applyBorder="1" applyAlignment="1"/>
    <xf numFmtId="0" fontId="6137" fillId="0" borderId="6137" xfId="0" applyFont="1" applyBorder="1" applyAlignment="1"/>
    <xf numFmtId="0" fontId="6138" fillId="0" borderId="6138" xfId="0" applyFont="1" applyBorder="1" applyAlignment="1"/>
    <xf numFmtId="0" fontId="6139" fillId="0" borderId="6139" xfId="0" applyFont="1" applyBorder="1" applyAlignment="1"/>
    <xf numFmtId="0" fontId="6140" fillId="0" borderId="6140" xfId="0" applyFont="1" applyBorder="1" applyAlignment="1"/>
    <xf numFmtId="0" fontId="6141" fillId="0" borderId="6141" xfId="0" applyFont="1" applyBorder="1" applyAlignment="1"/>
    <xf numFmtId="0" fontId="6142" fillId="0" borderId="6142" xfId="0" applyFont="1" applyBorder="1" applyAlignment="1"/>
    <xf numFmtId="0" fontId="6143" fillId="0" borderId="6143" xfId="0" applyFont="1" applyBorder="1" applyAlignment="1"/>
    <xf numFmtId="0" fontId="6144" fillId="0" borderId="6144" xfId="0" applyFont="1" applyBorder="1" applyAlignment="1"/>
    <xf numFmtId="0" fontId="6145" fillId="0" borderId="6145" xfId="0" applyFont="1" applyBorder="1" applyAlignment="1"/>
    <xf numFmtId="0" fontId="6146" fillId="0" borderId="6146" xfId="0" applyFont="1" applyBorder="1" applyAlignment="1"/>
    <xf numFmtId="0" fontId="6147" fillId="0" borderId="6147" xfId="0" applyFont="1" applyBorder="1" applyAlignment="1"/>
    <xf numFmtId="0" fontId="6148" fillId="0" borderId="6148" xfId="0" applyFont="1" applyBorder="1" applyAlignment="1"/>
    <xf numFmtId="0" fontId="6149" fillId="0" borderId="6149" xfId="0" applyFont="1" applyBorder="1" applyAlignment="1"/>
    <xf numFmtId="0" fontId="6150" fillId="0" borderId="6150" xfId="0" applyFont="1" applyBorder="1" applyAlignment="1"/>
    <xf numFmtId="0" fontId="6151" fillId="0" borderId="6151" xfId="0" applyFont="1" applyBorder="1" applyAlignment="1"/>
    <xf numFmtId="0" fontId="6152" fillId="0" borderId="6152" xfId="0" applyFont="1" applyBorder="1" applyAlignment="1"/>
    <xf numFmtId="0" fontId="6153" fillId="0" borderId="6153" xfId="0" applyFont="1" applyBorder="1" applyAlignment="1"/>
    <xf numFmtId="0" fontId="6154" fillId="0" borderId="6154" xfId="0" applyFont="1" applyBorder="1" applyAlignment="1"/>
    <xf numFmtId="0" fontId="6155" fillId="0" borderId="6155" xfId="0" applyFont="1" applyBorder="1" applyAlignment="1"/>
    <xf numFmtId="0" fontId="6156" fillId="0" borderId="6156" xfId="0" applyFont="1" applyBorder="1" applyAlignment="1"/>
    <xf numFmtId="0" fontId="6157" fillId="0" borderId="6157" xfId="0" applyFont="1" applyBorder="1" applyAlignment="1"/>
    <xf numFmtId="0" fontId="6158" fillId="0" borderId="6158" xfId="0" applyFont="1" applyBorder="1" applyAlignment="1"/>
    <xf numFmtId="0" fontId="6159" fillId="0" borderId="6159" xfId="0" applyFont="1" applyBorder="1" applyAlignment="1"/>
    <xf numFmtId="0" fontId="6160" fillId="0" borderId="6160" xfId="0" applyFont="1" applyBorder="1" applyAlignment="1"/>
    <xf numFmtId="0" fontId="6161" fillId="0" borderId="6161" xfId="0" applyFont="1" applyBorder="1" applyAlignment="1"/>
    <xf numFmtId="0" fontId="6162" fillId="0" borderId="6162" xfId="0" applyFont="1" applyBorder="1" applyAlignment="1"/>
    <xf numFmtId="0" fontId="6163" fillId="0" borderId="6163" xfId="0" applyFont="1" applyBorder="1" applyAlignment="1"/>
    <xf numFmtId="0" fontId="6164" fillId="0" borderId="6164" xfId="0" applyFont="1" applyBorder="1" applyAlignment="1"/>
    <xf numFmtId="0" fontId="6165" fillId="0" borderId="6165" xfId="0" applyFont="1" applyBorder="1" applyAlignment="1"/>
    <xf numFmtId="0" fontId="6166" fillId="0" borderId="6166" xfId="0" applyFont="1" applyBorder="1" applyAlignment="1"/>
    <xf numFmtId="0" fontId="6167" fillId="0" borderId="6167" xfId="0" applyFont="1" applyBorder="1" applyAlignment="1"/>
    <xf numFmtId="0" fontId="6168" fillId="0" borderId="6168" xfId="0" applyFont="1" applyBorder="1" applyAlignment="1"/>
    <xf numFmtId="0" fontId="6169" fillId="0" borderId="6169" xfId="0" applyFont="1" applyBorder="1" applyAlignment="1"/>
    <xf numFmtId="0" fontId="6170" fillId="0" borderId="6170" xfId="0" applyFont="1" applyBorder="1" applyAlignment="1"/>
    <xf numFmtId="0" fontId="6171" fillId="0" borderId="6171" xfId="0" applyFont="1" applyBorder="1" applyAlignment="1"/>
    <xf numFmtId="0" fontId="6172" fillId="0" borderId="6172" xfId="0" applyFont="1" applyBorder="1" applyAlignment="1"/>
    <xf numFmtId="0" fontId="6173" fillId="0" borderId="6173" xfId="0" applyFont="1" applyBorder="1" applyAlignment="1"/>
    <xf numFmtId="0" fontId="6174" fillId="0" borderId="6174" xfId="0" applyFont="1" applyBorder="1" applyAlignment="1"/>
    <xf numFmtId="0" fontId="6175" fillId="0" borderId="6175" xfId="0" applyFont="1" applyBorder="1" applyAlignment="1"/>
    <xf numFmtId="0" fontId="6176" fillId="0" borderId="6176" xfId="0" applyFont="1" applyBorder="1" applyAlignment="1"/>
    <xf numFmtId="0" fontId="6177" fillId="0" borderId="6177" xfId="0" applyFont="1" applyBorder="1" applyAlignment="1"/>
    <xf numFmtId="0" fontId="6178" fillId="0" borderId="6178" xfId="0" applyFont="1" applyBorder="1" applyAlignment="1"/>
    <xf numFmtId="0" fontId="6179" fillId="0" borderId="6179" xfId="0" applyFont="1" applyBorder="1" applyAlignment="1"/>
    <xf numFmtId="0" fontId="6180" fillId="0" borderId="6180" xfId="0" applyFont="1" applyBorder="1" applyAlignment="1"/>
    <xf numFmtId="0" fontId="6181" fillId="0" borderId="6181" xfId="0" applyFont="1" applyBorder="1" applyAlignment="1"/>
    <xf numFmtId="0" fontId="6182" fillId="0" borderId="6182" xfId="0" applyFont="1" applyBorder="1" applyAlignment="1"/>
    <xf numFmtId="0" fontId="6183" fillId="0" borderId="6183" xfId="0" applyFont="1" applyBorder="1" applyAlignment="1"/>
    <xf numFmtId="0" fontId="6184" fillId="0" borderId="6184" xfId="0" applyFont="1" applyBorder="1" applyAlignment="1"/>
    <xf numFmtId="0" fontId="6185" fillId="0" borderId="6185" xfId="0" applyFont="1" applyBorder="1" applyAlignment="1"/>
    <xf numFmtId="0" fontId="6186" fillId="0" borderId="6186" xfId="0" applyFont="1" applyBorder="1" applyAlignment="1"/>
    <xf numFmtId="0" fontId="6187" fillId="0" borderId="6187" xfId="0" applyFont="1" applyBorder="1" applyAlignment="1"/>
    <xf numFmtId="0" fontId="6188" fillId="0" borderId="6188" xfId="0" applyFont="1" applyBorder="1" applyAlignment="1"/>
    <xf numFmtId="0" fontId="6189" fillId="0" borderId="6189" xfId="0" applyFont="1" applyBorder="1" applyAlignment="1"/>
    <xf numFmtId="0" fontId="6190" fillId="0" borderId="6190" xfId="0" applyFont="1" applyBorder="1" applyAlignment="1"/>
    <xf numFmtId="0" fontId="6191" fillId="0" borderId="6191" xfId="0" applyFont="1" applyBorder="1" applyAlignment="1"/>
    <xf numFmtId="0" fontId="6192" fillId="0" borderId="6192" xfId="0" applyFont="1" applyBorder="1" applyAlignment="1"/>
    <xf numFmtId="0" fontId="6193" fillId="0" borderId="6193" xfId="0" applyFont="1" applyBorder="1" applyAlignment="1"/>
    <xf numFmtId="0" fontId="6194" fillId="0" borderId="6194" xfId="0" applyFont="1" applyBorder="1" applyAlignment="1"/>
    <xf numFmtId="0" fontId="6195" fillId="0" borderId="6195" xfId="0" applyFont="1" applyBorder="1" applyAlignment="1"/>
    <xf numFmtId="0" fontId="6196" fillId="0" borderId="6196" xfId="0" applyFont="1" applyBorder="1" applyAlignment="1"/>
    <xf numFmtId="0" fontId="6197" fillId="0" borderId="6197" xfId="0" applyFont="1" applyBorder="1" applyAlignment="1"/>
    <xf numFmtId="0" fontId="6198" fillId="0" borderId="6198" xfId="0" applyFont="1" applyBorder="1" applyAlignment="1"/>
    <xf numFmtId="0" fontId="6199" fillId="0" borderId="6199" xfId="0" applyFont="1" applyBorder="1" applyAlignment="1"/>
    <xf numFmtId="0" fontId="6200" fillId="0" borderId="6200" xfId="0" applyFont="1" applyBorder="1" applyAlignment="1"/>
    <xf numFmtId="0" fontId="6201" fillId="0" borderId="6201" xfId="0" applyFont="1" applyBorder="1" applyAlignment="1"/>
    <xf numFmtId="0" fontId="6202" fillId="0" borderId="6202" xfId="0" applyFont="1" applyBorder="1" applyAlignment="1"/>
    <xf numFmtId="0" fontId="6203" fillId="0" borderId="6203" xfId="0" applyFont="1" applyBorder="1" applyAlignment="1"/>
    <xf numFmtId="0" fontId="6204" fillId="0" borderId="6204" xfId="0" applyFont="1" applyBorder="1" applyAlignment="1"/>
    <xf numFmtId="0" fontId="6205" fillId="0" borderId="6205" xfId="0" applyFont="1" applyBorder="1" applyAlignment="1"/>
    <xf numFmtId="0" fontId="6206" fillId="0" borderId="6206" xfId="0" applyFont="1" applyBorder="1" applyAlignment="1"/>
    <xf numFmtId="0" fontId="6207" fillId="0" borderId="6207" xfId="0" applyFont="1" applyBorder="1" applyAlignment="1"/>
    <xf numFmtId="0" fontId="6208" fillId="0" borderId="6208" xfId="0" applyFont="1" applyBorder="1" applyAlignment="1"/>
    <xf numFmtId="0" fontId="6209" fillId="0" borderId="6209" xfId="0" applyFont="1" applyBorder="1" applyAlignment="1"/>
    <xf numFmtId="0" fontId="6210" fillId="0" borderId="6210" xfId="0" applyFont="1" applyBorder="1" applyAlignment="1"/>
    <xf numFmtId="0" fontId="6211" fillId="0" borderId="6211" xfId="0" applyFont="1" applyBorder="1" applyAlignment="1"/>
    <xf numFmtId="0" fontId="6212" fillId="0" borderId="6212" xfId="0" applyFont="1" applyBorder="1" applyAlignment="1"/>
    <xf numFmtId="0" fontId="6213" fillId="0" borderId="6213" xfId="0" applyFont="1" applyBorder="1" applyAlignment="1"/>
    <xf numFmtId="0" fontId="6214" fillId="0" borderId="6214" xfId="0" applyFont="1" applyBorder="1" applyAlignment="1"/>
    <xf numFmtId="0" fontId="6215" fillId="0" borderId="6215" xfId="0" applyFont="1" applyBorder="1" applyAlignment="1"/>
    <xf numFmtId="0" fontId="6216" fillId="0" borderId="6216" xfId="0" applyFont="1" applyBorder="1" applyAlignment="1"/>
    <xf numFmtId="0" fontId="6217" fillId="0" borderId="6217" xfId="0" applyFont="1" applyBorder="1" applyAlignment="1"/>
    <xf numFmtId="0" fontId="6218" fillId="0" borderId="6218" xfId="0" applyFont="1" applyBorder="1" applyAlignment="1"/>
    <xf numFmtId="0" fontId="6219" fillId="0" borderId="6219" xfId="0" applyFont="1" applyBorder="1" applyAlignment="1"/>
    <xf numFmtId="0" fontId="6220" fillId="0" borderId="6220" xfId="0" applyFont="1" applyBorder="1" applyAlignment="1"/>
    <xf numFmtId="0" fontId="6221" fillId="0" borderId="6221" xfId="0" applyFont="1" applyBorder="1" applyAlignment="1"/>
    <xf numFmtId="0" fontId="6222" fillId="0" borderId="6222" xfId="0" applyFont="1" applyBorder="1" applyAlignment="1"/>
    <xf numFmtId="0" fontId="6223" fillId="0" borderId="6223" xfId="0" applyFont="1" applyBorder="1" applyAlignment="1"/>
    <xf numFmtId="0" fontId="6224" fillId="0" borderId="6224" xfId="0" applyFont="1" applyBorder="1" applyAlignment="1"/>
    <xf numFmtId="0" fontId="6225" fillId="0" borderId="6225" xfId="0" applyFont="1" applyBorder="1" applyAlignment="1"/>
    <xf numFmtId="0" fontId="6226" fillId="0" borderId="6226" xfId="0" applyFont="1" applyBorder="1" applyAlignment="1"/>
    <xf numFmtId="0" fontId="6227" fillId="0" borderId="6227" xfId="0" applyFont="1" applyBorder="1" applyAlignment="1"/>
    <xf numFmtId="0" fontId="6228" fillId="0" borderId="6228" xfId="0" applyFont="1" applyBorder="1" applyAlignment="1"/>
    <xf numFmtId="0" fontId="6229" fillId="0" borderId="6229" xfId="0" applyFont="1" applyBorder="1" applyAlignment="1"/>
    <xf numFmtId="0" fontId="6230" fillId="0" borderId="6230" xfId="0" applyFont="1" applyBorder="1" applyAlignment="1"/>
    <xf numFmtId="0" fontId="6231" fillId="0" borderId="6231" xfId="0" applyFont="1" applyBorder="1" applyAlignment="1"/>
    <xf numFmtId="0" fontId="6232" fillId="0" borderId="6232" xfId="0" applyFont="1" applyBorder="1" applyAlignment="1"/>
    <xf numFmtId="0" fontId="6233" fillId="0" borderId="6233" xfId="0" applyFont="1" applyBorder="1" applyAlignment="1"/>
    <xf numFmtId="0" fontId="6234" fillId="0" borderId="6234" xfId="0" applyFont="1" applyBorder="1" applyAlignment="1"/>
    <xf numFmtId="0" fontId="6235" fillId="0" borderId="6235" xfId="0" applyFont="1" applyBorder="1" applyAlignment="1"/>
    <xf numFmtId="0" fontId="6236" fillId="0" borderId="6236" xfId="0" applyFont="1" applyBorder="1" applyAlignment="1"/>
    <xf numFmtId="0" fontId="6237" fillId="0" borderId="6237" xfId="0" applyFont="1" applyBorder="1" applyAlignment="1"/>
    <xf numFmtId="0" fontId="6238" fillId="0" borderId="6238" xfId="0" applyFont="1" applyBorder="1" applyAlignment="1"/>
    <xf numFmtId="0" fontId="6239" fillId="0" borderId="6239" xfId="0" applyFont="1" applyBorder="1" applyAlignment="1"/>
    <xf numFmtId="0" fontId="6240" fillId="0" borderId="6240" xfId="0" applyFont="1" applyBorder="1" applyAlignment="1"/>
    <xf numFmtId="0" fontId="6241" fillId="0" borderId="6241" xfId="0" applyFont="1" applyBorder="1" applyAlignment="1"/>
    <xf numFmtId="0" fontId="6242" fillId="0" borderId="6242" xfId="0" applyFont="1" applyBorder="1" applyAlignment="1"/>
    <xf numFmtId="0" fontId="6243" fillId="0" borderId="6243" xfId="0" applyFont="1" applyBorder="1" applyAlignment="1"/>
    <xf numFmtId="0" fontId="6244" fillId="0" borderId="6244" xfId="0" applyFont="1" applyBorder="1" applyAlignment="1"/>
    <xf numFmtId="0" fontId="6245" fillId="0" borderId="6245" xfId="0" applyFont="1" applyBorder="1" applyAlignment="1"/>
    <xf numFmtId="0" fontId="6246" fillId="0" borderId="6246" xfId="0" applyFont="1" applyBorder="1" applyAlignment="1"/>
    <xf numFmtId="0" fontId="6247" fillId="0" borderId="6247" xfId="0" applyFont="1" applyBorder="1" applyAlignment="1"/>
    <xf numFmtId="0" fontId="6248" fillId="0" borderId="6248" xfId="0" applyFont="1" applyBorder="1" applyAlignment="1"/>
    <xf numFmtId="0" fontId="6249" fillId="0" borderId="6249" xfId="0" applyFont="1" applyBorder="1" applyAlignment="1"/>
    <xf numFmtId="0" fontId="6250" fillId="0" borderId="6250" xfId="0" applyFont="1" applyBorder="1" applyAlignment="1"/>
    <xf numFmtId="0" fontId="6251" fillId="0" borderId="6251" xfId="0" applyFont="1" applyBorder="1" applyAlignment="1"/>
    <xf numFmtId="0" fontId="6252" fillId="0" borderId="6252" xfId="0" applyFont="1" applyBorder="1" applyAlignment="1"/>
    <xf numFmtId="0" fontId="6253" fillId="0" borderId="6253" xfId="0" applyFont="1" applyBorder="1" applyAlignment="1"/>
    <xf numFmtId="0" fontId="6254" fillId="0" borderId="6254" xfId="0" applyFont="1" applyBorder="1" applyAlignment="1"/>
    <xf numFmtId="0" fontId="6255" fillId="0" borderId="6255" xfId="0" applyFont="1" applyBorder="1" applyAlignment="1"/>
    <xf numFmtId="0" fontId="6256" fillId="0" borderId="6256" xfId="0" applyFont="1" applyBorder="1" applyAlignment="1"/>
    <xf numFmtId="0" fontId="6257" fillId="0" borderId="6257" xfId="0" applyFont="1" applyBorder="1" applyAlignment="1"/>
    <xf numFmtId="0" fontId="6258" fillId="0" borderId="6258" xfId="0" applyFont="1" applyBorder="1" applyAlignment="1"/>
    <xf numFmtId="0" fontId="6259" fillId="0" borderId="6259" xfId="0" applyFont="1" applyBorder="1" applyAlignment="1"/>
    <xf numFmtId="0" fontId="6260" fillId="0" borderId="6260" xfId="0" applyFont="1" applyBorder="1" applyAlignment="1"/>
    <xf numFmtId="0" fontId="6261" fillId="0" borderId="6261" xfId="0" applyFont="1" applyBorder="1" applyAlignment="1"/>
    <xf numFmtId="0" fontId="6262" fillId="0" borderId="6262" xfId="0" applyFont="1" applyBorder="1" applyAlignment="1"/>
    <xf numFmtId="0" fontId="6263" fillId="0" borderId="6263" xfId="0" applyFont="1" applyBorder="1" applyAlignment="1"/>
    <xf numFmtId="0" fontId="6264" fillId="0" borderId="6264" xfId="0" applyFont="1" applyBorder="1" applyAlignment="1"/>
    <xf numFmtId="0" fontId="6265" fillId="0" borderId="6265" xfId="0" applyFont="1" applyBorder="1" applyAlignment="1"/>
    <xf numFmtId="0" fontId="6266" fillId="0" borderId="6266" xfId="0" applyFont="1" applyBorder="1" applyAlignment="1"/>
    <xf numFmtId="0" fontId="6267" fillId="0" borderId="6267" xfId="0" applyFont="1" applyBorder="1" applyAlignment="1"/>
    <xf numFmtId="0" fontId="6268" fillId="0" borderId="6268" xfId="0" applyFont="1" applyBorder="1" applyAlignment="1"/>
    <xf numFmtId="0" fontId="6269" fillId="0" borderId="6269" xfId="0" applyFont="1" applyBorder="1" applyAlignment="1"/>
    <xf numFmtId="0" fontId="6270" fillId="0" borderId="6270" xfId="0" applyFont="1" applyBorder="1" applyAlignment="1"/>
    <xf numFmtId="0" fontId="6271" fillId="0" borderId="6271" xfId="0" applyFont="1" applyBorder="1" applyAlignment="1"/>
    <xf numFmtId="0" fontId="6272" fillId="0" borderId="6272" xfId="0" applyFont="1" applyBorder="1" applyAlignment="1"/>
    <xf numFmtId="0" fontId="6273" fillId="0" borderId="6273" xfId="0" applyFont="1" applyBorder="1" applyAlignment="1"/>
    <xf numFmtId="0" fontId="6274" fillId="0" borderId="6274" xfId="0" applyFont="1" applyBorder="1" applyAlignment="1"/>
    <xf numFmtId="0" fontId="6275" fillId="0" borderId="6275" xfId="0" applyFont="1" applyBorder="1" applyAlignment="1"/>
    <xf numFmtId="0" fontId="6276" fillId="0" borderId="6276" xfId="0" applyFont="1" applyBorder="1" applyAlignment="1"/>
    <xf numFmtId="0" fontId="6277" fillId="0" borderId="6277" xfId="0" applyFont="1" applyBorder="1" applyAlignment="1"/>
    <xf numFmtId="0" fontId="6278" fillId="0" borderId="6278" xfId="0" applyFont="1" applyBorder="1" applyAlignment="1"/>
    <xf numFmtId="0" fontId="6279" fillId="0" borderId="6279" xfId="0" applyFont="1" applyBorder="1" applyAlignment="1"/>
    <xf numFmtId="0" fontId="6280" fillId="0" borderId="6280" xfId="0" applyFont="1" applyBorder="1" applyAlignment="1"/>
    <xf numFmtId="0" fontId="6281" fillId="0" borderId="6281" xfId="0" applyFont="1" applyBorder="1" applyAlignment="1"/>
    <xf numFmtId="0" fontId="6282" fillId="0" borderId="6282" xfId="0" applyFont="1" applyBorder="1" applyAlignment="1"/>
    <xf numFmtId="0" fontId="6283" fillId="0" borderId="6283" xfId="0" applyFont="1" applyBorder="1" applyAlignment="1"/>
    <xf numFmtId="0" fontId="6284" fillId="0" borderId="6284" xfId="0" applyFont="1" applyBorder="1" applyAlignment="1"/>
    <xf numFmtId="0" fontId="6285" fillId="0" borderId="6285" xfId="0" applyFont="1" applyBorder="1" applyAlignment="1"/>
    <xf numFmtId="0" fontId="6286" fillId="0" borderId="6286" xfId="0" applyFont="1" applyBorder="1" applyAlignment="1"/>
    <xf numFmtId="0" fontId="6287" fillId="0" borderId="6287" xfId="0" applyFont="1" applyBorder="1" applyAlignment="1"/>
    <xf numFmtId="0" fontId="6288" fillId="0" borderId="6288" xfId="0" applyFont="1" applyBorder="1" applyAlignment="1"/>
    <xf numFmtId="0" fontId="6289" fillId="0" borderId="6289" xfId="0" applyFont="1" applyBorder="1" applyAlignment="1"/>
    <xf numFmtId="0" fontId="6290" fillId="0" borderId="6290" xfId="0" applyFont="1" applyBorder="1" applyAlignment="1"/>
    <xf numFmtId="0" fontId="6291" fillId="0" borderId="6291" xfId="0" applyFont="1" applyBorder="1" applyAlignment="1"/>
    <xf numFmtId="0" fontId="6292" fillId="0" borderId="6292" xfId="0" applyFont="1" applyBorder="1" applyAlignment="1"/>
    <xf numFmtId="0" fontId="6293" fillId="0" borderId="6293" xfId="0" applyFont="1" applyBorder="1" applyAlignment="1"/>
    <xf numFmtId="0" fontId="6294" fillId="0" borderId="6294" xfId="0" applyFont="1" applyBorder="1" applyAlignment="1"/>
    <xf numFmtId="0" fontId="6295" fillId="0" borderId="6295" xfId="0" applyFont="1" applyBorder="1" applyAlignment="1"/>
    <xf numFmtId="0" fontId="6296" fillId="0" borderId="6296" xfId="0" applyFont="1" applyBorder="1" applyAlignment="1"/>
    <xf numFmtId="0" fontId="6297" fillId="0" borderId="6297" xfId="0" applyFont="1" applyBorder="1" applyAlignment="1"/>
    <xf numFmtId="0" fontId="6298" fillId="0" borderId="6298" xfId="0" applyFont="1" applyBorder="1" applyAlignment="1"/>
    <xf numFmtId="0" fontId="6299" fillId="0" borderId="6299" xfId="0" applyFont="1" applyBorder="1" applyAlignment="1"/>
    <xf numFmtId="0" fontId="6300" fillId="0" borderId="6300" xfId="0" applyFont="1" applyBorder="1" applyAlignment="1"/>
    <xf numFmtId="0" fontId="6301" fillId="0" borderId="6301" xfId="0" applyFont="1" applyBorder="1" applyAlignment="1"/>
    <xf numFmtId="0" fontId="6302" fillId="0" borderId="6302" xfId="0" applyFont="1" applyBorder="1" applyAlignment="1"/>
    <xf numFmtId="0" fontId="6303" fillId="0" borderId="6303" xfId="0" applyFont="1" applyBorder="1" applyAlignment="1"/>
    <xf numFmtId="0" fontId="6304" fillId="0" borderId="6304" xfId="0" applyFont="1" applyBorder="1" applyAlignment="1"/>
    <xf numFmtId="0" fontId="6305" fillId="0" borderId="6305" xfId="0" applyFont="1" applyBorder="1" applyAlignment="1"/>
    <xf numFmtId="0" fontId="6306" fillId="0" borderId="6306" xfId="0" applyFont="1" applyBorder="1" applyAlignment="1"/>
    <xf numFmtId="0" fontId="6307" fillId="0" borderId="6307" xfId="0" applyFont="1" applyBorder="1" applyAlignment="1"/>
    <xf numFmtId="0" fontId="6308" fillId="0" borderId="6308" xfId="0" applyFont="1" applyBorder="1" applyAlignment="1"/>
    <xf numFmtId="0" fontId="6309" fillId="0" borderId="6309" xfId="0" applyFont="1" applyBorder="1" applyAlignment="1"/>
    <xf numFmtId="0" fontId="6310" fillId="0" borderId="6310" xfId="0" applyFont="1" applyBorder="1" applyAlignment="1"/>
    <xf numFmtId="0" fontId="6311" fillId="0" borderId="6311" xfId="0" applyFont="1" applyBorder="1" applyAlignment="1"/>
    <xf numFmtId="0" fontId="6312" fillId="0" borderId="6312" xfId="0" applyFont="1" applyBorder="1" applyAlignment="1"/>
    <xf numFmtId="0" fontId="6313" fillId="0" borderId="6313" xfId="0" applyFont="1" applyBorder="1" applyAlignment="1"/>
    <xf numFmtId="0" fontId="6314" fillId="0" borderId="6314" xfId="0" applyFont="1" applyBorder="1" applyAlignment="1"/>
    <xf numFmtId="0" fontId="6315" fillId="0" borderId="6315" xfId="0" applyFont="1" applyBorder="1" applyAlignment="1"/>
    <xf numFmtId="0" fontId="6316" fillId="0" borderId="6316" xfId="0" applyFont="1" applyBorder="1" applyAlignment="1"/>
    <xf numFmtId="0" fontId="6317" fillId="0" borderId="6317" xfId="0" applyFont="1" applyBorder="1" applyAlignment="1"/>
    <xf numFmtId="0" fontId="6318" fillId="0" borderId="6318" xfId="0" applyFont="1" applyBorder="1" applyAlignment="1"/>
    <xf numFmtId="0" fontId="6319" fillId="0" borderId="6319" xfId="0" applyFont="1" applyBorder="1" applyAlignment="1"/>
    <xf numFmtId="0" fontId="6320" fillId="0" borderId="6320" xfId="0" applyFont="1" applyBorder="1" applyAlignment="1"/>
    <xf numFmtId="0" fontId="6321" fillId="0" borderId="6321" xfId="0" applyFont="1" applyBorder="1" applyAlignment="1"/>
    <xf numFmtId="0" fontId="6322" fillId="0" borderId="6322" xfId="0" applyFont="1" applyBorder="1" applyAlignment="1"/>
    <xf numFmtId="0" fontId="6323" fillId="0" borderId="6323" xfId="0" applyFont="1" applyBorder="1" applyAlignment="1"/>
    <xf numFmtId="0" fontId="6324" fillId="0" borderId="6324" xfId="0" applyFont="1" applyBorder="1" applyAlignment="1"/>
    <xf numFmtId="0" fontId="6325" fillId="0" borderId="6325" xfId="0" applyFont="1" applyBorder="1" applyAlignment="1"/>
    <xf numFmtId="0" fontId="6326" fillId="0" borderId="6326" xfId="0" applyFont="1" applyBorder="1" applyAlignment="1"/>
    <xf numFmtId="0" fontId="6327" fillId="0" borderId="6327" xfId="0" applyFont="1" applyBorder="1" applyAlignment="1"/>
    <xf numFmtId="0" fontId="6328" fillId="0" borderId="6328" xfId="0" applyFont="1" applyBorder="1" applyAlignment="1"/>
    <xf numFmtId="0" fontId="6329" fillId="0" borderId="6329" xfId="0" applyFont="1" applyBorder="1" applyAlignment="1"/>
    <xf numFmtId="0" fontId="6330" fillId="0" borderId="6330" xfId="0" applyFont="1" applyBorder="1" applyAlignment="1"/>
    <xf numFmtId="0" fontId="6331" fillId="0" borderId="6331" xfId="0" applyFont="1" applyBorder="1" applyAlignment="1"/>
    <xf numFmtId="0" fontId="6332" fillId="0" borderId="6332" xfId="0" applyFont="1" applyBorder="1" applyAlignment="1"/>
    <xf numFmtId="0" fontId="6333" fillId="0" borderId="6333" xfId="0" applyFont="1" applyBorder="1" applyAlignment="1"/>
    <xf numFmtId="0" fontId="6334" fillId="0" borderId="6334" xfId="0" applyFont="1" applyBorder="1" applyAlignment="1"/>
    <xf numFmtId="0" fontId="6335" fillId="0" borderId="6335" xfId="0" applyFont="1" applyBorder="1" applyAlignment="1"/>
    <xf numFmtId="0" fontId="6336" fillId="0" borderId="6336" xfId="0" applyFont="1" applyBorder="1" applyAlignment="1"/>
    <xf numFmtId="0" fontId="6337" fillId="0" borderId="6337" xfId="0" applyFont="1" applyBorder="1" applyAlignment="1"/>
    <xf numFmtId="0" fontId="6338" fillId="0" borderId="6338" xfId="0" applyFont="1" applyBorder="1" applyAlignment="1"/>
    <xf numFmtId="0" fontId="6339" fillId="0" borderId="6339" xfId="0" applyFont="1" applyBorder="1" applyAlignment="1"/>
    <xf numFmtId="0" fontId="6340" fillId="0" borderId="6340" xfId="0" applyFont="1" applyBorder="1" applyAlignment="1"/>
    <xf numFmtId="0" fontId="6341" fillId="0" borderId="6341" xfId="0" applyFont="1" applyBorder="1" applyAlignment="1"/>
    <xf numFmtId="0" fontId="6342" fillId="0" borderId="6342" xfId="0" applyFont="1" applyBorder="1" applyAlignment="1"/>
    <xf numFmtId="0" fontId="6343" fillId="0" borderId="6343" xfId="0" applyFont="1" applyBorder="1" applyAlignment="1"/>
    <xf numFmtId="0" fontId="6344" fillId="0" borderId="6344" xfId="0" applyFont="1" applyBorder="1" applyAlignment="1"/>
    <xf numFmtId="0" fontId="6345" fillId="0" borderId="6345" xfId="0" applyFont="1" applyBorder="1" applyAlignment="1"/>
    <xf numFmtId="0" fontId="6346" fillId="0" borderId="6346" xfId="0" applyFont="1" applyBorder="1" applyAlignment="1"/>
    <xf numFmtId="0" fontId="6347" fillId="0" borderId="6347" xfId="0" applyFont="1" applyBorder="1" applyAlignment="1"/>
    <xf numFmtId="0" fontId="6348" fillId="0" borderId="6348" xfId="0" applyFont="1" applyBorder="1" applyAlignment="1"/>
    <xf numFmtId="0" fontId="6349" fillId="0" borderId="6349" xfId="0" applyFont="1" applyBorder="1" applyAlignment="1"/>
    <xf numFmtId="0" fontId="6350" fillId="0" borderId="6350" xfId="0" applyFont="1" applyBorder="1" applyAlignment="1"/>
    <xf numFmtId="0" fontId="6351" fillId="0" borderId="6351" xfId="0" applyFont="1" applyBorder="1" applyAlignment="1"/>
    <xf numFmtId="0" fontId="6352" fillId="0" borderId="6352" xfId="0" applyFont="1" applyBorder="1" applyAlignment="1"/>
    <xf numFmtId="0" fontId="6353" fillId="0" borderId="6353" xfId="0" applyFont="1" applyBorder="1" applyAlignment="1"/>
    <xf numFmtId="0" fontId="6354" fillId="0" borderId="6354" xfId="0" applyFont="1" applyBorder="1" applyAlignment="1"/>
    <xf numFmtId="0" fontId="6355" fillId="0" borderId="6355" xfId="0" applyFont="1" applyBorder="1" applyAlignment="1"/>
    <xf numFmtId="0" fontId="6356" fillId="0" borderId="6356" xfId="0" applyFont="1" applyBorder="1" applyAlignment="1"/>
    <xf numFmtId="0" fontId="6357" fillId="0" borderId="6357" xfId="0" applyFont="1" applyBorder="1" applyAlignment="1"/>
    <xf numFmtId="0" fontId="6358" fillId="0" borderId="6358" xfId="0" applyFont="1" applyBorder="1" applyAlignment="1"/>
    <xf numFmtId="0" fontId="6359" fillId="0" borderId="6359" xfId="0" applyFont="1" applyBorder="1" applyAlignment="1"/>
    <xf numFmtId="0" fontId="6360" fillId="0" borderId="6360" xfId="0" applyFont="1" applyBorder="1" applyAlignment="1"/>
    <xf numFmtId="0" fontId="6361" fillId="0" borderId="6361" xfId="0" applyFont="1" applyBorder="1" applyAlignment="1"/>
    <xf numFmtId="0" fontId="6362" fillId="0" borderId="6362" xfId="0" applyFont="1" applyBorder="1" applyAlignment="1"/>
    <xf numFmtId="0" fontId="6363" fillId="0" borderId="6363" xfId="0" applyFont="1" applyBorder="1" applyAlignment="1"/>
    <xf numFmtId="0" fontId="6364" fillId="0" borderId="6364" xfId="0" applyFont="1" applyBorder="1" applyAlignment="1"/>
    <xf numFmtId="0" fontId="6365" fillId="0" borderId="6365" xfId="0" applyFont="1" applyBorder="1" applyAlignment="1"/>
    <xf numFmtId="0" fontId="6366" fillId="0" borderId="6366" xfId="0" applyFont="1" applyBorder="1" applyAlignment="1"/>
    <xf numFmtId="0" fontId="6367" fillId="0" borderId="6367" xfId="0" applyFont="1" applyBorder="1" applyAlignment="1"/>
    <xf numFmtId="0" fontId="6368" fillId="0" borderId="6368" xfId="0" applyFont="1" applyBorder="1" applyAlignment="1"/>
    <xf numFmtId="0" fontId="6369" fillId="0" borderId="6369" xfId="0" applyFont="1" applyBorder="1" applyAlignment="1"/>
    <xf numFmtId="0" fontId="6370" fillId="0" borderId="6370" xfId="0" applyFont="1" applyBorder="1" applyAlignment="1"/>
    <xf numFmtId="0" fontId="6371" fillId="0" borderId="6371" xfId="0" applyFont="1" applyBorder="1" applyAlignment="1"/>
    <xf numFmtId="0" fontId="6372" fillId="0" borderId="6372" xfId="0" applyFont="1" applyBorder="1" applyAlignment="1"/>
    <xf numFmtId="0" fontId="6373" fillId="0" borderId="6373" xfId="0" applyFont="1" applyBorder="1" applyAlignment="1"/>
    <xf numFmtId="0" fontId="6374" fillId="0" borderId="6374" xfId="0" applyFont="1" applyBorder="1" applyAlignment="1"/>
    <xf numFmtId="0" fontId="6375" fillId="0" borderId="6375" xfId="0" applyFont="1" applyBorder="1" applyAlignment="1"/>
    <xf numFmtId="0" fontId="6376" fillId="0" borderId="6376" xfId="0" applyFont="1" applyBorder="1" applyAlignment="1"/>
    <xf numFmtId="0" fontId="6377" fillId="0" borderId="6377" xfId="0" applyFont="1" applyBorder="1" applyAlignment="1"/>
    <xf numFmtId="0" fontId="6378" fillId="0" borderId="6378" xfId="0" applyFont="1" applyBorder="1" applyAlignment="1"/>
    <xf numFmtId="0" fontId="6379" fillId="0" borderId="6379" xfId="0" applyFont="1" applyBorder="1" applyAlignment="1"/>
    <xf numFmtId="0" fontId="6380" fillId="0" borderId="6380" xfId="0" applyFont="1" applyBorder="1" applyAlignment="1"/>
    <xf numFmtId="0" fontId="6381" fillId="0" borderId="6381" xfId="0" applyFont="1" applyBorder="1" applyAlignment="1"/>
    <xf numFmtId="0" fontId="6382" fillId="0" borderId="6382" xfId="0" applyFont="1" applyBorder="1" applyAlignment="1"/>
    <xf numFmtId="0" fontId="6383" fillId="0" borderId="6383" xfId="0" applyFont="1" applyBorder="1" applyAlignment="1"/>
    <xf numFmtId="0" fontId="6384" fillId="0" borderId="6384" xfId="0" applyFont="1" applyBorder="1" applyAlignment="1"/>
    <xf numFmtId="0" fontId="6385" fillId="0" borderId="6385" xfId="0" applyFont="1" applyBorder="1" applyAlignment="1"/>
    <xf numFmtId="0" fontId="6386" fillId="0" borderId="6386" xfId="0" applyFont="1" applyBorder="1" applyAlignment="1"/>
    <xf numFmtId="0" fontId="6387" fillId="0" borderId="6387" xfId="0" applyFont="1" applyBorder="1" applyAlignment="1"/>
    <xf numFmtId="0" fontId="6388" fillId="0" borderId="6388" xfId="0" applyFont="1" applyBorder="1" applyAlignment="1"/>
    <xf numFmtId="0" fontId="6389" fillId="0" borderId="6389" xfId="0" applyFont="1" applyBorder="1" applyAlignment="1"/>
    <xf numFmtId="0" fontId="6390" fillId="0" borderId="6390" xfId="0" applyFont="1" applyBorder="1" applyAlignment="1"/>
    <xf numFmtId="0" fontId="6391" fillId="0" borderId="6391" xfId="0" applyFont="1" applyBorder="1" applyAlignment="1"/>
    <xf numFmtId="0" fontId="6392" fillId="0" borderId="6392" xfId="0" applyFont="1" applyBorder="1" applyAlignment="1"/>
    <xf numFmtId="0" fontId="6393" fillId="0" borderId="6393" xfId="0" applyFont="1" applyBorder="1" applyAlignment="1"/>
    <xf numFmtId="0" fontId="6394" fillId="0" borderId="6394" xfId="0" applyFont="1" applyBorder="1" applyAlignment="1"/>
    <xf numFmtId="0" fontId="6395" fillId="0" borderId="6395" xfId="0" applyFont="1" applyBorder="1" applyAlignment="1"/>
    <xf numFmtId="0" fontId="6396" fillId="0" borderId="6396" xfId="0" applyFont="1" applyBorder="1" applyAlignment="1"/>
    <xf numFmtId="0" fontId="6397" fillId="0" borderId="6397" xfId="0" applyFont="1" applyBorder="1" applyAlignment="1"/>
    <xf numFmtId="0" fontId="6398" fillId="0" borderId="6398" xfId="0" applyFont="1" applyBorder="1" applyAlignment="1"/>
    <xf numFmtId="0" fontId="6399" fillId="0" borderId="6399" xfId="0" applyFont="1" applyBorder="1" applyAlignment="1"/>
    <xf numFmtId="0" fontId="6400" fillId="0" borderId="6400" xfId="0" applyFont="1" applyBorder="1" applyAlignment="1"/>
    <xf numFmtId="0" fontId="6401" fillId="0" borderId="6401" xfId="0" applyFont="1" applyBorder="1" applyAlignment="1"/>
    <xf numFmtId="0" fontId="6402" fillId="0" borderId="6402" xfId="0" applyFont="1" applyBorder="1" applyAlignment="1"/>
    <xf numFmtId="0" fontId="6403" fillId="0" borderId="6403" xfId="0" applyFont="1" applyBorder="1" applyAlignment="1"/>
    <xf numFmtId="0" fontId="6404" fillId="0" borderId="6404" xfId="0" applyFont="1" applyBorder="1" applyAlignment="1"/>
    <xf numFmtId="0" fontId="6405" fillId="0" borderId="6405" xfId="0" applyFont="1" applyBorder="1" applyAlignment="1"/>
    <xf numFmtId="0" fontId="6406" fillId="0" borderId="6406" xfId="0" applyFont="1" applyBorder="1" applyAlignment="1"/>
    <xf numFmtId="0" fontId="6407" fillId="0" borderId="6407" xfId="0" applyFont="1" applyBorder="1" applyAlignment="1"/>
    <xf numFmtId="0" fontId="6408" fillId="0" borderId="6408" xfId="0" applyFont="1" applyBorder="1" applyAlignment="1"/>
    <xf numFmtId="0" fontId="6409" fillId="0" borderId="6409" xfId="0" applyFont="1" applyBorder="1" applyAlignment="1"/>
    <xf numFmtId="0" fontId="6410" fillId="0" borderId="6410" xfId="0" applyFont="1" applyBorder="1" applyAlignment="1"/>
    <xf numFmtId="0" fontId="6411" fillId="0" borderId="6411" xfId="0" applyFont="1" applyBorder="1" applyAlignment="1"/>
    <xf numFmtId="0" fontId="6412" fillId="0" borderId="6412" xfId="0" applyFont="1" applyBorder="1" applyAlignment="1"/>
    <xf numFmtId="0" fontId="6413" fillId="0" borderId="6413" xfId="0" applyFont="1" applyBorder="1" applyAlignment="1"/>
    <xf numFmtId="0" fontId="6414" fillId="0" borderId="6414" xfId="0" applyFont="1" applyBorder="1" applyAlignment="1"/>
    <xf numFmtId="0" fontId="6415" fillId="0" borderId="6415" xfId="0" applyFont="1" applyBorder="1" applyAlignment="1"/>
    <xf numFmtId="0" fontId="6416" fillId="0" borderId="6416" xfId="0" applyFont="1" applyBorder="1" applyAlignment="1"/>
    <xf numFmtId="0" fontId="6417" fillId="0" borderId="6417" xfId="0" applyFont="1" applyBorder="1" applyAlignment="1"/>
    <xf numFmtId="0" fontId="6418" fillId="0" borderId="6418" xfId="0" applyFont="1" applyBorder="1" applyAlignment="1"/>
    <xf numFmtId="0" fontId="6419" fillId="0" borderId="6419" xfId="0" applyFont="1" applyBorder="1" applyAlignment="1"/>
    <xf numFmtId="0" fontId="6420" fillId="0" borderId="6420" xfId="0" applyFont="1" applyBorder="1" applyAlignment="1"/>
    <xf numFmtId="0" fontId="6421" fillId="0" borderId="6421" xfId="0" applyFont="1" applyBorder="1" applyAlignment="1"/>
    <xf numFmtId="0" fontId="6422" fillId="0" borderId="6422" xfId="0" applyFont="1" applyBorder="1" applyAlignment="1"/>
    <xf numFmtId="0" fontId="6423" fillId="0" borderId="6423" xfId="0" applyFont="1" applyBorder="1" applyAlignment="1"/>
    <xf numFmtId="0" fontId="6424" fillId="0" borderId="6424" xfId="0" applyFont="1" applyBorder="1" applyAlignment="1"/>
    <xf numFmtId="0" fontId="6425" fillId="0" borderId="6425" xfId="0" applyFont="1" applyBorder="1" applyAlignment="1"/>
    <xf numFmtId="0" fontId="6426" fillId="0" borderId="6426" xfId="0" applyFont="1" applyBorder="1" applyAlignment="1"/>
    <xf numFmtId="0" fontId="6427" fillId="0" borderId="6427" xfId="0" applyFont="1" applyBorder="1" applyAlignment="1"/>
    <xf numFmtId="0" fontId="6428" fillId="0" borderId="6428" xfId="0" applyFont="1" applyBorder="1" applyAlignment="1"/>
    <xf numFmtId="0" fontId="6429" fillId="0" borderId="6429" xfId="0" applyFont="1" applyBorder="1" applyAlignment="1"/>
    <xf numFmtId="0" fontId="6430" fillId="0" borderId="6430" xfId="0" applyFont="1" applyBorder="1" applyAlignment="1"/>
    <xf numFmtId="0" fontId="6431" fillId="0" borderId="6431" xfId="0" applyFont="1" applyBorder="1" applyAlignment="1"/>
    <xf numFmtId="0" fontId="6432" fillId="0" borderId="6432" xfId="0" applyFont="1" applyBorder="1" applyAlignment="1"/>
    <xf numFmtId="0" fontId="6433" fillId="0" borderId="6433" xfId="0" applyFont="1" applyBorder="1" applyAlignment="1"/>
    <xf numFmtId="0" fontId="6434" fillId="0" borderId="6434" xfId="0" applyFont="1" applyBorder="1" applyAlignment="1"/>
    <xf numFmtId="0" fontId="6435" fillId="0" borderId="6435" xfId="0" applyFont="1" applyBorder="1" applyAlignment="1"/>
    <xf numFmtId="0" fontId="6436" fillId="0" borderId="6436" xfId="0" applyFont="1" applyBorder="1" applyAlignment="1"/>
    <xf numFmtId="0" fontId="6437" fillId="0" borderId="6437" xfId="0" applyFont="1" applyBorder="1" applyAlignment="1"/>
    <xf numFmtId="0" fontId="6438" fillId="0" borderId="6438" xfId="0" applyFont="1" applyBorder="1" applyAlignment="1"/>
    <xf numFmtId="0" fontId="6439" fillId="0" borderId="6439" xfId="0" applyFont="1" applyBorder="1" applyAlignment="1"/>
    <xf numFmtId="0" fontId="6440" fillId="0" borderId="6440" xfId="0" applyFont="1" applyBorder="1" applyAlignment="1"/>
    <xf numFmtId="0" fontId="6441" fillId="0" borderId="6441" xfId="0" applyFont="1" applyBorder="1" applyAlignment="1"/>
    <xf numFmtId="0" fontId="6442" fillId="0" borderId="6442" xfId="0" applyFont="1" applyBorder="1" applyAlignment="1"/>
    <xf numFmtId="0" fontId="6443" fillId="0" borderId="6443" xfId="0" applyFont="1" applyBorder="1" applyAlignment="1"/>
    <xf numFmtId="0" fontId="6444" fillId="0" borderId="6444" xfId="0" applyFont="1" applyBorder="1" applyAlignment="1"/>
    <xf numFmtId="0" fontId="6445" fillId="0" borderId="6445" xfId="0" applyFont="1" applyBorder="1" applyAlignment="1"/>
    <xf numFmtId="0" fontId="6446" fillId="0" borderId="6446" xfId="0" applyFont="1" applyBorder="1" applyAlignment="1"/>
    <xf numFmtId="0" fontId="6447" fillId="0" borderId="6447" xfId="0" applyFont="1" applyBorder="1" applyAlignment="1"/>
    <xf numFmtId="0" fontId="6448" fillId="0" borderId="6448" xfId="0" applyFont="1" applyBorder="1" applyAlignment="1"/>
    <xf numFmtId="0" fontId="6449" fillId="0" borderId="6449" xfId="0" applyFont="1" applyBorder="1" applyAlignment="1"/>
    <xf numFmtId="0" fontId="6450" fillId="0" borderId="6450" xfId="0" applyFont="1" applyBorder="1" applyAlignment="1"/>
    <xf numFmtId="0" fontId="6451" fillId="0" borderId="6451" xfId="0" applyFont="1" applyBorder="1" applyAlignment="1"/>
    <xf numFmtId="0" fontId="6452" fillId="0" borderId="6452" xfId="0" applyFont="1" applyBorder="1" applyAlignment="1"/>
    <xf numFmtId="0" fontId="6453" fillId="0" borderId="6453" xfId="0" applyFont="1" applyBorder="1" applyAlignment="1"/>
    <xf numFmtId="0" fontId="6454" fillId="0" borderId="6454" xfId="0" applyFont="1" applyBorder="1" applyAlignment="1"/>
    <xf numFmtId="0" fontId="6455" fillId="0" borderId="6455" xfId="0" applyFont="1" applyBorder="1" applyAlignment="1"/>
    <xf numFmtId="0" fontId="6456" fillId="0" borderId="6456" xfId="0" applyFont="1" applyBorder="1" applyAlignment="1"/>
    <xf numFmtId="0" fontId="6457" fillId="0" borderId="6457" xfId="0" applyFont="1" applyBorder="1" applyAlignment="1"/>
    <xf numFmtId="0" fontId="6458" fillId="0" borderId="6458" xfId="0" applyFont="1" applyBorder="1" applyAlignment="1"/>
    <xf numFmtId="0" fontId="6459" fillId="0" borderId="6459" xfId="0" applyFont="1" applyBorder="1" applyAlignment="1"/>
    <xf numFmtId="0" fontId="6460" fillId="0" borderId="6460" xfId="0" applyFont="1" applyBorder="1" applyAlignment="1"/>
    <xf numFmtId="0" fontId="6461" fillId="0" borderId="6461" xfId="0" applyFont="1" applyBorder="1" applyAlignment="1"/>
    <xf numFmtId="0" fontId="6462" fillId="0" borderId="6462" xfId="0" applyFont="1" applyBorder="1" applyAlignment="1"/>
    <xf numFmtId="0" fontId="6463" fillId="0" borderId="6463" xfId="0" applyFont="1" applyBorder="1" applyAlignment="1"/>
    <xf numFmtId="0" fontId="6464" fillId="0" borderId="6464" xfId="0" applyFont="1" applyBorder="1" applyAlignment="1"/>
    <xf numFmtId="0" fontId="6465" fillId="0" borderId="6465" xfId="0" applyFont="1" applyBorder="1" applyAlignment="1"/>
    <xf numFmtId="0" fontId="6466" fillId="0" borderId="6466" xfId="0" applyFont="1" applyBorder="1" applyAlignment="1"/>
    <xf numFmtId="0" fontId="6467" fillId="0" borderId="6467" xfId="0" applyFont="1" applyBorder="1" applyAlignment="1"/>
    <xf numFmtId="0" fontId="6468" fillId="0" borderId="6468" xfId="0" applyFont="1" applyBorder="1" applyAlignment="1"/>
    <xf numFmtId="0" fontId="6469" fillId="0" borderId="6469" xfId="0" applyFont="1" applyBorder="1" applyAlignment="1"/>
    <xf numFmtId="0" fontId="6470" fillId="0" borderId="6470" xfId="0" applyFont="1" applyBorder="1" applyAlignment="1"/>
    <xf numFmtId="0" fontId="6471" fillId="0" borderId="6471" xfId="0" applyFont="1" applyBorder="1" applyAlignment="1"/>
    <xf numFmtId="0" fontId="6472" fillId="0" borderId="6472" xfId="0" applyFont="1" applyBorder="1" applyAlignment="1"/>
    <xf numFmtId="0" fontId="6473" fillId="0" borderId="6473" xfId="0" applyFont="1" applyBorder="1" applyAlignment="1"/>
    <xf numFmtId="0" fontId="6474" fillId="0" borderId="6474" xfId="0" applyFont="1" applyBorder="1" applyAlignment="1"/>
    <xf numFmtId="0" fontId="6475" fillId="0" borderId="6475" xfId="0" applyFont="1" applyBorder="1" applyAlignment="1"/>
    <xf numFmtId="0" fontId="6476" fillId="0" borderId="6476" xfId="0" applyFont="1" applyBorder="1" applyAlignment="1"/>
    <xf numFmtId="0" fontId="6477" fillId="0" borderId="6477" xfId="0" applyFont="1" applyBorder="1" applyAlignment="1"/>
    <xf numFmtId="0" fontId="6478" fillId="0" borderId="6478" xfId="0" applyFont="1" applyBorder="1" applyAlignment="1"/>
    <xf numFmtId="0" fontId="6479" fillId="0" borderId="6479" xfId="0" applyFont="1" applyBorder="1" applyAlignment="1"/>
    <xf numFmtId="0" fontId="6480" fillId="0" borderId="6480" xfId="0" applyFont="1" applyBorder="1" applyAlignment="1"/>
    <xf numFmtId="0" fontId="6481" fillId="0" borderId="6481" xfId="0" applyFont="1" applyBorder="1" applyAlignment="1"/>
    <xf numFmtId="0" fontId="6482" fillId="0" borderId="6482" xfId="0" applyFont="1" applyBorder="1" applyAlignment="1"/>
    <xf numFmtId="0" fontId="6483" fillId="0" borderId="6483" xfId="0" applyFont="1" applyBorder="1" applyAlignment="1"/>
    <xf numFmtId="0" fontId="6484" fillId="0" borderId="6484" xfId="0" applyFont="1" applyBorder="1" applyAlignment="1"/>
    <xf numFmtId="0" fontId="6485" fillId="0" borderId="6485" xfId="0" applyFont="1" applyBorder="1" applyAlignment="1"/>
    <xf numFmtId="0" fontId="6486" fillId="0" borderId="6486" xfId="0" applyFont="1" applyBorder="1" applyAlignment="1"/>
    <xf numFmtId="0" fontId="6487" fillId="0" borderId="6487" xfId="0" applyFont="1" applyBorder="1" applyAlignment="1"/>
    <xf numFmtId="0" fontId="6488" fillId="0" borderId="6488" xfId="0" applyFont="1" applyBorder="1" applyAlignment="1"/>
    <xf numFmtId="0" fontId="6489" fillId="0" borderId="6489" xfId="0" applyFont="1" applyBorder="1" applyAlignment="1"/>
    <xf numFmtId="0" fontId="6490" fillId="0" borderId="6490" xfId="0" applyFont="1" applyBorder="1" applyAlignment="1"/>
    <xf numFmtId="0" fontId="6491" fillId="0" borderId="6491" xfId="0" applyFont="1" applyBorder="1" applyAlignment="1"/>
    <xf numFmtId="0" fontId="6492" fillId="0" borderId="6492" xfId="0" applyFont="1" applyBorder="1" applyAlignment="1"/>
    <xf numFmtId="0" fontId="6493" fillId="0" borderId="6493" xfId="0" applyFont="1" applyBorder="1" applyAlignment="1"/>
    <xf numFmtId="0" fontId="6494" fillId="0" borderId="6494" xfId="0" applyFont="1" applyBorder="1" applyAlignment="1"/>
    <xf numFmtId="0" fontId="6495" fillId="0" borderId="6495" xfId="0" applyFont="1" applyBorder="1" applyAlignment="1"/>
    <xf numFmtId="0" fontId="6496" fillId="0" borderId="6496" xfId="0" applyFont="1" applyBorder="1" applyAlignment="1"/>
    <xf numFmtId="0" fontId="6497" fillId="0" borderId="6497" xfId="0" applyFont="1" applyBorder="1" applyAlignment="1"/>
    <xf numFmtId="0" fontId="6498" fillId="0" borderId="6498" xfId="0" applyFont="1" applyBorder="1" applyAlignment="1"/>
    <xf numFmtId="0" fontId="6499" fillId="0" borderId="6499" xfId="0" applyFont="1" applyBorder="1" applyAlignment="1"/>
    <xf numFmtId="0" fontId="6500" fillId="0" borderId="6500" xfId="0" applyFont="1" applyBorder="1" applyAlignment="1"/>
    <xf numFmtId="0" fontId="6501" fillId="0" borderId="6501" xfId="0" applyFont="1" applyBorder="1" applyAlignment="1"/>
    <xf numFmtId="0" fontId="6502" fillId="0" borderId="6502" xfId="0" applyFont="1" applyBorder="1" applyAlignment="1"/>
    <xf numFmtId="0" fontId="6503" fillId="0" borderId="6503" xfId="0" applyFont="1" applyBorder="1" applyAlignment="1"/>
    <xf numFmtId="0" fontId="6504" fillId="0" borderId="6504" xfId="0" applyFont="1" applyBorder="1" applyAlignment="1"/>
    <xf numFmtId="0" fontId="6505" fillId="0" borderId="6505" xfId="0" applyFont="1" applyBorder="1" applyAlignment="1"/>
    <xf numFmtId="0" fontId="6506" fillId="0" borderId="6506" xfId="0" applyFont="1" applyBorder="1" applyAlignment="1"/>
    <xf numFmtId="0" fontId="6507" fillId="0" borderId="6507" xfId="0" applyFont="1" applyBorder="1" applyAlignment="1"/>
    <xf numFmtId="0" fontId="6508" fillId="0" borderId="6508" xfId="0" applyFont="1" applyBorder="1" applyAlignment="1"/>
    <xf numFmtId="0" fontId="6509" fillId="0" borderId="6509" xfId="0" applyFont="1" applyBorder="1" applyAlignment="1"/>
    <xf numFmtId="0" fontId="6510" fillId="0" borderId="6510" xfId="0" applyFont="1" applyBorder="1" applyAlignment="1"/>
    <xf numFmtId="0" fontId="6511" fillId="0" borderId="6511" xfId="0" applyFont="1" applyBorder="1" applyAlignment="1"/>
    <xf numFmtId="0" fontId="6512" fillId="0" borderId="6512" xfId="0" applyFont="1" applyBorder="1" applyAlignment="1"/>
    <xf numFmtId="0" fontId="6513" fillId="0" borderId="6513" xfId="0" applyFont="1" applyBorder="1" applyAlignment="1"/>
    <xf numFmtId="0" fontId="6514" fillId="0" borderId="6514" xfId="0" applyFont="1" applyBorder="1" applyAlignment="1"/>
    <xf numFmtId="0" fontId="6515" fillId="0" borderId="6515" xfId="0" applyFont="1" applyBorder="1" applyAlignment="1"/>
    <xf numFmtId="0" fontId="6516" fillId="0" borderId="6516" xfId="0" applyFont="1" applyBorder="1" applyAlignment="1"/>
    <xf numFmtId="0" fontId="6517" fillId="0" borderId="6517" xfId="0" applyFont="1" applyBorder="1" applyAlignment="1"/>
    <xf numFmtId="0" fontId="6518" fillId="0" borderId="6518" xfId="0" applyFont="1" applyBorder="1" applyAlignment="1"/>
    <xf numFmtId="0" fontId="6519" fillId="0" borderId="6519" xfId="0" applyFont="1" applyBorder="1" applyAlignment="1"/>
    <xf numFmtId="0" fontId="6520" fillId="0" borderId="6520" xfId="0" applyFont="1" applyBorder="1" applyAlignment="1"/>
    <xf numFmtId="0" fontId="6521" fillId="0" borderId="6521" xfId="0" applyFont="1" applyBorder="1" applyAlignment="1"/>
    <xf numFmtId="0" fontId="6522" fillId="0" borderId="6522" xfId="0" applyFont="1" applyBorder="1" applyAlignment="1"/>
    <xf numFmtId="0" fontId="6523" fillId="0" borderId="6523" xfId="0" applyFont="1" applyBorder="1" applyAlignment="1"/>
    <xf numFmtId="0" fontId="6524" fillId="0" borderId="6524" xfId="0" applyFont="1" applyBorder="1" applyAlignment="1"/>
    <xf numFmtId="0" fontId="6525" fillId="0" borderId="6525" xfId="0" applyFont="1" applyBorder="1" applyAlignment="1"/>
    <xf numFmtId="0" fontId="6526" fillId="0" borderId="6526" xfId="0" applyFont="1" applyBorder="1" applyAlignment="1"/>
    <xf numFmtId="0" fontId="6527" fillId="0" borderId="6527" xfId="0" applyFont="1" applyBorder="1" applyAlignment="1"/>
    <xf numFmtId="0" fontId="6528" fillId="0" borderId="6528" xfId="0" applyFont="1" applyBorder="1" applyAlignment="1"/>
    <xf numFmtId="0" fontId="6529" fillId="0" borderId="6529" xfId="0" applyFont="1" applyBorder="1" applyAlignment="1"/>
    <xf numFmtId="0" fontId="6530" fillId="0" borderId="6530" xfId="0" applyFont="1" applyBorder="1" applyAlignment="1"/>
    <xf numFmtId="0" fontId="6531" fillId="0" borderId="6531" xfId="0" applyFont="1" applyBorder="1" applyAlignment="1"/>
    <xf numFmtId="0" fontId="6532" fillId="0" borderId="6532" xfId="0" applyFont="1" applyBorder="1" applyAlignment="1"/>
    <xf numFmtId="0" fontId="6533" fillId="0" borderId="6533" xfId="0" applyFont="1" applyBorder="1" applyAlignment="1"/>
    <xf numFmtId="0" fontId="6534" fillId="0" borderId="6534" xfId="0" applyFont="1" applyBorder="1" applyAlignment="1"/>
    <xf numFmtId="0" fontId="6535" fillId="0" borderId="6535" xfId="0" applyFont="1" applyBorder="1" applyAlignment="1"/>
    <xf numFmtId="0" fontId="6536" fillId="0" borderId="6536" xfId="0" applyFont="1" applyBorder="1" applyAlignment="1"/>
    <xf numFmtId="0" fontId="6537" fillId="0" borderId="6537" xfId="0" applyFont="1" applyBorder="1" applyAlignment="1"/>
    <xf numFmtId="0" fontId="6538" fillId="0" borderId="6538" xfId="0" applyFont="1" applyBorder="1" applyAlignment="1"/>
    <xf numFmtId="0" fontId="6539" fillId="0" borderId="6539" xfId="0" applyFont="1" applyBorder="1" applyAlignment="1"/>
    <xf numFmtId="0" fontId="6540" fillId="0" borderId="6540" xfId="0" applyFont="1" applyBorder="1" applyAlignment="1"/>
    <xf numFmtId="0" fontId="6541" fillId="0" borderId="6541" xfId="0" applyFont="1" applyBorder="1" applyAlignment="1"/>
    <xf numFmtId="0" fontId="6542" fillId="0" borderId="6542" xfId="0" applyFont="1" applyBorder="1" applyAlignment="1"/>
    <xf numFmtId="0" fontId="6543" fillId="0" borderId="6543" xfId="0" applyFont="1" applyBorder="1" applyAlignment="1"/>
    <xf numFmtId="0" fontId="6544" fillId="0" borderId="6544" xfId="0" applyFont="1" applyBorder="1" applyAlignment="1"/>
    <xf numFmtId="0" fontId="6545" fillId="0" borderId="6545" xfId="0" applyFont="1" applyBorder="1" applyAlignment="1"/>
    <xf numFmtId="0" fontId="6546" fillId="0" borderId="6546" xfId="0" applyFont="1" applyBorder="1" applyAlignment="1"/>
    <xf numFmtId="0" fontId="6547" fillId="0" borderId="6547" xfId="0" applyFont="1" applyBorder="1" applyAlignment="1"/>
    <xf numFmtId="0" fontId="6548" fillId="0" borderId="6548" xfId="0" applyFont="1" applyBorder="1" applyAlignment="1"/>
    <xf numFmtId="0" fontId="6549" fillId="0" borderId="6549" xfId="0" applyFont="1" applyBorder="1" applyAlignment="1"/>
    <xf numFmtId="0" fontId="6550" fillId="0" borderId="6550" xfId="0" applyFont="1" applyBorder="1" applyAlignment="1"/>
    <xf numFmtId="0" fontId="6551" fillId="0" borderId="6551" xfId="0" applyFont="1" applyBorder="1" applyAlignment="1"/>
    <xf numFmtId="0" fontId="6552" fillId="0" borderId="6552" xfId="0" applyFont="1" applyBorder="1" applyAlignment="1"/>
    <xf numFmtId="0" fontId="6553" fillId="0" borderId="6553" xfId="0" applyFont="1" applyBorder="1" applyAlignment="1"/>
    <xf numFmtId="0" fontId="6554" fillId="0" borderId="6554" xfId="0" applyFont="1" applyBorder="1" applyAlignment="1"/>
    <xf numFmtId="0" fontId="6555" fillId="0" borderId="6555" xfId="0" applyFont="1" applyBorder="1" applyAlignment="1"/>
    <xf numFmtId="0" fontId="6556" fillId="0" borderId="6556" xfId="0" applyFont="1" applyBorder="1" applyAlignment="1"/>
    <xf numFmtId="0" fontId="6557" fillId="0" borderId="6557" xfId="0" applyFont="1" applyBorder="1" applyAlignment="1"/>
    <xf numFmtId="0" fontId="6558" fillId="0" borderId="6558" xfId="0" applyFont="1" applyBorder="1" applyAlignment="1"/>
    <xf numFmtId="0" fontId="6559" fillId="0" borderId="6559" xfId="0" applyFont="1" applyBorder="1" applyAlignment="1"/>
    <xf numFmtId="0" fontId="6560" fillId="0" borderId="6560" xfId="0" applyFont="1" applyBorder="1" applyAlignment="1"/>
    <xf numFmtId="0" fontId="6561" fillId="0" borderId="6561" xfId="0" applyFont="1" applyBorder="1" applyAlignment="1"/>
    <xf numFmtId="0" fontId="6562" fillId="0" borderId="6562" xfId="0" applyFont="1" applyBorder="1" applyAlignment="1"/>
    <xf numFmtId="0" fontId="6563" fillId="0" borderId="6563" xfId="0" applyFont="1" applyBorder="1" applyAlignment="1"/>
    <xf numFmtId="0" fontId="6564" fillId="0" borderId="6564" xfId="0" applyFont="1" applyBorder="1" applyAlignment="1"/>
    <xf numFmtId="0" fontId="6565" fillId="0" borderId="6565" xfId="0" applyFont="1" applyBorder="1" applyAlignment="1"/>
    <xf numFmtId="0" fontId="6566" fillId="0" borderId="6566" xfId="0" applyFont="1" applyBorder="1" applyAlignment="1"/>
    <xf numFmtId="0" fontId="6567" fillId="0" borderId="6567" xfId="0" applyFont="1" applyBorder="1" applyAlignment="1"/>
    <xf numFmtId="0" fontId="6568" fillId="0" borderId="6568" xfId="0" applyFont="1" applyBorder="1" applyAlignment="1"/>
    <xf numFmtId="0" fontId="6569" fillId="0" borderId="6569" xfId="0" applyFont="1" applyBorder="1" applyAlignment="1"/>
    <xf numFmtId="0" fontId="6570" fillId="0" borderId="6570" xfId="0" applyFont="1" applyBorder="1" applyAlignment="1"/>
    <xf numFmtId="0" fontId="6571" fillId="0" borderId="6571" xfId="0" applyFont="1" applyBorder="1" applyAlignment="1"/>
    <xf numFmtId="0" fontId="6572" fillId="0" borderId="6572" xfId="0" applyFont="1" applyBorder="1" applyAlignment="1"/>
    <xf numFmtId="0" fontId="6573" fillId="0" borderId="6573" xfId="0" applyFont="1" applyBorder="1" applyAlignment="1"/>
    <xf numFmtId="0" fontId="6574" fillId="0" borderId="6574" xfId="0" applyFont="1" applyBorder="1" applyAlignment="1"/>
    <xf numFmtId="0" fontId="6575" fillId="0" borderId="6575" xfId="0" applyFont="1" applyBorder="1" applyAlignment="1"/>
    <xf numFmtId="0" fontId="6576" fillId="0" borderId="6576" xfId="0" applyFont="1" applyBorder="1" applyAlignment="1"/>
    <xf numFmtId="0" fontId="6577" fillId="0" borderId="6577" xfId="0" applyFont="1" applyBorder="1" applyAlignment="1"/>
    <xf numFmtId="0" fontId="6578" fillId="0" borderId="6578" xfId="0" applyFont="1" applyBorder="1" applyAlignment="1"/>
    <xf numFmtId="0" fontId="6579" fillId="0" borderId="6579" xfId="0" applyFont="1" applyBorder="1" applyAlignment="1"/>
    <xf numFmtId="0" fontId="6580" fillId="0" borderId="6580" xfId="0" applyFont="1" applyBorder="1" applyAlignment="1"/>
    <xf numFmtId="0" fontId="6581" fillId="0" borderId="6581" xfId="0" applyFont="1" applyBorder="1" applyAlignment="1"/>
    <xf numFmtId="0" fontId="6582" fillId="0" borderId="6582" xfId="0" applyFont="1" applyBorder="1" applyAlignment="1"/>
    <xf numFmtId="0" fontId="6583" fillId="0" borderId="6583" xfId="0" applyFont="1" applyBorder="1" applyAlignment="1"/>
    <xf numFmtId="0" fontId="6584" fillId="0" borderId="6584" xfId="0" applyFont="1" applyBorder="1" applyAlignment="1"/>
    <xf numFmtId="0" fontId="6585" fillId="0" borderId="6585" xfId="0" applyFont="1" applyBorder="1" applyAlignment="1"/>
    <xf numFmtId="0" fontId="6586" fillId="0" borderId="6586" xfId="0" applyFont="1" applyBorder="1" applyAlignment="1"/>
    <xf numFmtId="0" fontId="6587" fillId="0" borderId="6587" xfId="0" applyFont="1" applyBorder="1" applyAlignment="1"/>
    <xf numFmtId="0" fontId="6588" fillId="0" borderId="6588" xfId="0" applyFont="1" applyBorder="1" applyAlignment="1"/>
    <xf numFmtId="0" fontId="6589" fillId="0" borderId="6589" xfId="0" applyFont="1" applyBorder="1" applyAlignment="1"/>
    <xf numFmtId="0" fontId="6590" fillId="0" borderId="6590" xfId="0" applyFont="1" applyBorder="1" applyAlignment="1"/>
    <xf numFmtId="0" fontId="6591" fillId="0" borderId="6591" xfId="0" applyFont="1" applyBorder="1" applyAlignment="1"/>
    <xf numFmtId="0" fontId="6592" fillId="0" borderId="6592" xfId="0" applyFont="1" applyBorder="1" applyAlignment="1"/>
    <xf numFmtId="0" fontId="6593" fillId="0" borderId="6593" xfId="0" applyFont="1" applyBorder="1" applyAlignment="1"/>
    <xf numFmtId="0" fontId="6594" fillId="0" borderId="6594" xfId="0" applyFont="1" applyBorder="1" applyAlignment="1"/>
    <xf numFmtId="0" fontId="6595" fillId="0" borderId="6595" xfId="0" applyFont="1" applyBorder="1" applyAlignment="1"/>
    <xf numFmtId="0" fontId="6596" fillId="0" borderId="6596" xfId="0" applyFont="1" applyBorder="1" applyAlignment="1"/>
    <xf numFmtId="0" fontId="6597" fillId="0" borderId="6597" xfId="0" applyFont="1" applyBorder="1" applyAlignment="1"/>
    <xf numFmtId="0" fontId="6598" fillId="0" borderId="6598" xfId="0" applyFont="1" applyBorder="1" applyAlignment="1"/>
    <xf numFmtId="0" fontId="6599" fillId="0" borderId="6599" xfId="0" applyFont="1" applyBorder="1" applyAlignment="1"/>
    <xf numFmtId="0" fontId="6600" fillId="0" borderId="6600" xfId="0" applyFont="1" applyBorder="1" applyAlignment="1"/>
    <xf numFmtId="0" fontId="6601" fillId="0" borderId="6601" xfId="0" applyFont="1" applyBorder="1" applyAlignment="1"/>
    <xf numFmtId="0" fontId="6602" fillId="0" borderId="6602" xfId="0" applyFont="1" applyBorder="1" applyAlignment="1"/>
    <xf numFmtId="0" fontId="6603" fillId="0" borderId="6603" xfId="0" applyFont="1" applyBorder="1" applyAlignment="1"/>
    <xf numFmtId="0" fontId="6604" fillId="0" borderId="6604" xfId="0" applyFont="1" applyBorder="1" applyAlignment="1"/>
    <xf numFmtId="0" fontId="6605" fillId="0" borderId="6605" xfId="0" applyFont="1" applyBorder="1" applyAlignment="1"/>
    <xf numFmtId="0" fontId="6606" fillId="0" borderId="6606" xfId="0" applyFont="1" applyBorder="1" applyAlignment="1"/>
    <xf numFmtId="0" fontId="6607" fillId="0" borderId="6607" xfId="0" applyFont="1" applyBorder="1" applyAlignment="1"/>
    <xf numFmtId="0" fontId="6608" fillId="0" borderId="6608" xfId="0" applyFont="1" applyBorder="1" applyAlignment="1"/>
    <xf numFmtId="0" fontId="6609" fillId="0" borderId="6609" xfId="0" applyFont="1" applyBorder="1" applyAlignment="1"/>
    <xf numFmtId="0" fontId="6610" fillId="0" borderId="6610" xfId="0" applyFont="1" applyBorder="1" applyAlignment="1"/>
    <xf numFmtId="0" fontId="6611" fillId="0" borderId="6611" xfId="0" applyFont="1" applyBorder="1" applyAlignment="1"/>
    <xf numFmtId="0" fontId="6612" fillId="0" borderId="6612" xfId="0" applyFont="1" applyBorder="1" applyAlignment="1"/>
    <xf numFmtId="0" fontId="6613" fillId="0" borderId="6613" xfId="0" applyFont="1" applyBorder="1" applyAlignment="1"/>
    <xf numFmtId="0" fontId="6614" fillId="0" borderId="6614" xfId="0" applyFont="1" applyBorder="1" applyAlignment="1"/>
    <xf numFmtId="0" fontId="6615" fillId="0" borderId="6615" xfId="0" applyFont="1" applyBorder="1" applyAlignment="1"/>
    <xf numFmtId="0" fontId="6616" fillId="0" borderId="6616" xfId="0" applyFont="1" applyBorder="1" applyAlignment="1"/>
    <xf numFmtId="0" fontId="6617" fillId="0" borderId="6617" xfId="0" applyFont="1" applyBorder="1" applyAlignment="1"/>
    <xf numFmtId="0" fontId="6618" fillId="0" borderId="6618" xfId="0" applyFont="1" applyBorder="1" applyAlignment="1"/>
    <xf numFmtId="0" fontId="6619" fillId="0" borderId="6619" xfId="0" applyFont="1" applyBorder="1" applyAlignment="1"/>
    <xf numFmtId="0" fontId="6620" fillId="0" borderId="6620" xfId="0" applyFont="1" applyBorder="1" applyAlignment="1"/>
    <xf numFmtId="0" fontId="6621" fillId="0" borderId="6621" xfId="0" applyFont="1" applyBorder="1" applyAlignment="1"/>
    <xf numFmtId="0" fontId="6622" fillId="0" borderId="6622" xfId="0" applyFont="1" applyBorder="1" applyAlignment="1"/>
    <xf numFmtId="0" fontId="6623" fillId="0" borderId="6623" xfId="0" applyFont="1" applyBorder="1" applyAlignment="1"/>
    <xf numFmtId="0" fontId="6624" fillId="0" borderId="6624" xfId="0" applyFont="1" applyBorder="1" applyAlignment="1"/>
    <xf numFmtId="0" fontId="6625" fillId="0" borderId="6625" xfId="0" applyFont="1" applyBorder="1" applyAlignment="1"/>
    <xf numFmtId="0" fontId="6626" fillId="0" borderId="6626" xfId="0" applyFont="1" applyBorder="1" applyAlignment="1"/>
    <xf numFmtId="0" fontId="6627" fillId="0" borderId="6627" xfId="0" applyFont="1" applyBorder="1" applyAlignment="1"/>
    <xf numFmtId="0" fontId="6628" fillId="0" borderId="6628" xfId="0" applyFont="1" applyBorder="1" applyAlignment="1"/>
    <xf numFmtId="0" fontId="6629" fillId="0" borderId="6629" xfId="0" applyFont="1" applyBorder="1" applyAlignment="1"/>
    <xf numFmtId="0" fontId="6630" fillId="0" borderId="6630" xfId="0" applyFont="1" applyBorder="1" applyAlignment="1"/>
    <xf numFmtId="0" fontId="6631" fillId="0" borderId="6631" xfId="0" applyFont="1" applyBorder="1" applyAlignment="1"/>
    <xf numFmtId="0" fontId="6632" fillId="0" borderId="6632" xfId="0" applyFont="1" applyBorder="1" applyAlignment="1"/>
    <xf numFmtId="0" fontId="6633" fillId="0" borderId="6633" xfId="0" applyFont="1" applyBorder="1" applyAlignment="1"/>
    <xf numFmtId="0" fontId="6634" fillId="0" borderId="6634" xfId="0" applyFont="1" applyBorder="1" applyAlignment="1"/>
    <xf numFmtId="0" fontId="6635" fillId="0" borderId="6635" xfId="0" applyFont="1" applyBorder="1" applyAlignment="1"/>
    <xf numFmtId="0" fontId="6636" fillId="0" borderId="6636" xfId="0" applyFont="1" applyBorder="1" applyAlignment="1"/>
    <xf numFmtId="0" fontId="6637" fillId="0" borderId="6637" xfId="0" applyFont="1" applyBorder="1" applyAlignment="1"/>
    <xf numFmtId="0" fontId="6638" fillId="0" borderId="6638" xfId="0" applyFont="1" applyBorder="1" applyAlignment="1"/>
    <xf numFmtId="0" fontId="6639" fillId="0" borderId="6639" xfId="0" applyFont="1" applyBorder="1" applyAlignment="1"/>
    <xf numFmtId="0" fontId="6640" fillId="0" borderId="6640" xfId="0" applyFont="1" applyBorder="1" applyAlignment="1"/>
    <xf numFmtId="0" fontId="6641" fillId="0" borderId="6641" xfId="0" applyFont="1" applyBorder="1" applyAlignment="1"/>
    <xf numFmtId="0" fontId="6642" fillId="0" borderId="6642" xfId="0" applyFont="1" applyBorder="1" applyAlignment="1"/>
    <xf numFmtId="0" fontId="6643" fillId="0" borderId="6643" xfId="0" applyFont="1" applyBorder="1" applyAlignment="1"/>
    <xf numFmtId="0" fontId="6644" fillId="0" borderId="6644" xfId="0" applyFont="1" applyBorder="1" applyAlignment="1"/>
    <xf numFmtId="0" fontId="6645" fillId="0" borderId="6645" xfId="0" applyFont="1" applyBorder="1" applyAlignment="1"/>
    <xf numFmtId="0" fontId="6646" fillId="0" borderId="6646" xfId="0" applyFont="1" applyBorder="1" applyAlignment="1"/>
    <xf numFmtId="0" fontId="6647" fillId="0" borderId="6647" xfId="0" applyFont="1" applyBorder="1" applyAlignment="1"/>
    <xf numFmtId="0" fontId="6648" fillId="0" borderId="6648" xfId="0" applyFont="1" applyBorder="1" applyAlignment="1"/>
    <xf numFmtId="0" fontId="6649" fillId="0" borderId="6649" xfId="0" applyFont="1" applyBorder="1" applyAlignment="1"/>
    <xf numFmtId="0" fontId="6650" fillId="0" borderId="6650" xfId="0" applyFont="1" applyBorder="1" applyAlignment="1"/>
    <xf numFmtId="0" fontId="6651" fillId="0" borderId="6651" xfId="0" applyFont="1" applyBorder="1" applyAlignment="1"/>
    <xf numFmtId="0" fontId="6652" fillId="0" borderId="6652" xfId="0" applyFont="1" applyBorder="1" applyAlignment="1"/>
    <xf numFmtId="0" fontId="6653" fillId="0" borderId="6653" xfId="0" applyFont="1" applyBorder="1" applyAlignment="1"/>
    <xf numFmtId="0" fontId="6654" fillId="0" borderId="6654" xfId="0" applyFont="1" applyBorder="1" applyAlignment="1"/>
    <xf numFmtId="0" fontId="6655" fillId="0" borderId="6655" xfId="0" applyFont="1" applyBorder="1" applyAlignment="1"/>
    <xf numFmtId="0" fontId="6656" fillId="0" borderId="6656" xfId="0" applyFont="1" applyBorder="1" applyAlignment="1"/>
    <xf numFmtId="0" fontId="6657" fillId="0" borderId="6657" xfId="0" applyFont="1" applyBorder="1" applyAlignment="1"/>
    <xf numFmtId="0" fontId="6658" fillId="0" borderId="6658" xfId="0" applyFont="1" applyBorder="1" applyAlignment="1"/>
    <xf numFmtId="0" fontId="6659" fillId="0" borderId="6659" xfId="0" applyFont="1" applyBorder="1" applyAlignment="1"/>
    <xf numFmtId="0" fontId="6660" fillId="0" borderId="6660" xfId="0" applyFont="1" applyBorder="1" applyAlignment="1"/>
    <xf numFmtId="0" fontId="6661" fillId="0" borderId="6661" xfId="0" applyFont="1" applyBorder="1" applyAlignment="1"/>
    <xf numFmtId="0" fontId="6662" fillId="0" borderId="6662" xfId="0" applyFont="1" applyBorder="1" applyAlignment="1"/>
    <xf numFmtId="0" fontId="6663" fillId="0" borderId="6663" xfId="0" applyFont="1" applyBorder="1" applyAlignment="1"/>
    <xf numFmtId="0" fontId="6664" fillId="0" borderId="6664" xfId="0" applyFont="1" applyBorder="1" applyAlignment="1"/>
    <xf numFmtId="0" fontId="6665" fillId="0" borderId="6665" xfId="0" applyFont="1" applyBorder="1" applyAlignment="1"/>
    <xf numFmtId="0" fontId="6666" fillId="0" borderId="6666" xfId="0" applyFont="1" applyBorder="1" applyAlignment="1"/>
    <xf numFmtId="0" fontId="6667" fillId="0" borderId="6667" xfId="0" applyFont="1" applyBorder="1" applyAlignment="1"/>
    <xf numFmtId="0" fontId="6668" fillId="0" borderId="6668" xfId="0" applyFont="1" applyBorder="1" applyAlignment="1"/>
    <xf numFmtId="0" fontId="6669" fillId="0" borderId="6669" xfId="0" applyFont="1" applyBorder="1" applyAlignment="1"/>
    <xf numFmtId="0" fontId="6670" fillId="0" borderId="6670" xfId="0" applyFont="1" applyBorder="1" applyAlignment="1"/>
    <xf numFmtId="0" fontId="6671" fillId="0" borderId="6671" xfId="0" applyFont="1" applyBorder="1" applyAlignment="1"/>
    <xf numFmtId="0" fontId="6672" fillId="0" borderId="6672" xfId="0" applyFont="1" applyBorder="1" applyAlignment="1"/>
    <xf numFmtId="0" fontId="6673" fillId="0" borderId="6673" xfId="0" applyFont="1" applyBorder="1" applyAlignment="1"/>
    <xf numFmtId="0" fontId="6674" fillId="0" borderId="6674" xfId="0" applyFont="1" applyBorder="1" applyAlignment="1"/>
    <xf numFmtId="0" fontId="6675" fillId="0" borderId="6675" xfId="0" applyFont="1" applyBorder="1" applyAlignment="1"/>
    <xf numFmtId="0" fontId="6676" fillId="0" borderId="6676" xfId="0" applyFont="1" applyBorder="1" applyAlignment="1"/>
    <xf numFmtId="0" fontId="6677" fillId="0" borderId="6677" xfId="0" applyFont="1" applyBorder="1" applyAlignment="1"/>
    <xf numFmtId="0" fontId="6678" fillId="0" borderId="6678" xfId="0" applyFont="1" applyBorder="1" applyAlignment="1"/>
    <xf numFmtId="0" fontId="6679" fillId="0" borderId="6679" xfId="0" applyFont="1" applyBorder="1" applyAlignment="1"/>
    <xf numFmtId="0" fontId="6680" fillId="0" borderId="6680" xfId="0" applyFont="1" applyBorder="1" applyAlignment="1"/>
    <xf numFmtId="0" fontId="6681" fillId="0" borderId="6681" xfId="0" applyFont="1" applyBorder="1" applyAlignment="1"/>
    <xf numFmtId="0" fontId="6682" fillId="0" borderId="6682" xfId="0" applyFont="1" applyBorder="1" applyAlignment="1"/>
    <xf numFmtId="0" fontId="6683" fillId="0" borderId="6683" xfId="0" applyFont="1" applyBorder="1" applyAlignment="1"/>
    <xf numFmtId="0" fontId="6684" fillId="0" borderId="6684" xfId="0" applyFont="1" applyBorder="1" applyAlignment="1"/>
    <xf numFmtId="0" fontId="6685" fillId="0" borderId="6685" xfId="0" applyFont="1" applyBorder="1" applyAlignment="1"/>
    <xf numFmtId="0" fontId="6686" fillId="0" borderId="6686" xfId="0" applyFont="1" applyBorder="1" applyAlignment="1"/>
    <xf numFmtId="0" fontId="6687" fillId="0" borderId="6687" xfId="0" applyFont="1" applyBorder="1" applyAlignment="1"/>
    <xf numFmtId="0" fontId="6688" fillId="0" borderId="6688" xfId="0" applyFont="1" applyBorder="1" applyAlignment="1"/>
    <xf numFmtId="0" fontId="6689" fillId="0" borderId="6689" xfId="0" applyFont="1" applyBorder="1" applyAlignment="1"/>
    <xf numFmtId="0" fontId="6690" fillId="0" borderId="6690" xfId="0" applyFont="1" applyBorder="1" applyAlignment="1"/>
    <xf numFmtId="0" fontId="6691" fillId="0" borderId="6691" xfId="0" applyFont="1" applyBorder="1" applyAlignment="1"/>
    <xf numFmtId="0" fontId="6692" fillId="0" borderId="6692" xfId="0" applyFont="1" applyBorder="1" applyAlignment="1"/>
    <xf numFmtId="0" fontId="6693" fillId="0" borderId="6693" xfId="0" applyFont="1" applyBorder="1" applyAlignment="1"/>
    <xf numFmtId="0" fontId="6694" fillId="0" borderId="6694" xfId="0" applyFont="1" applyBorder="1" applyAlignment="1"/>
    <xf numFmtId="0" fontId="6695" fillId="0" borderId="6695" xfId="0" applyFont="1" applyBorder="1" applyAlignment="1"/>
    <xf numFmtId="0" fontId="6696" fillId="0" borderId="6696" xfId="0" applyFont="1" applyBorder="1" applyAlignment="1"/>
    <xf numFmtId="0" fontId="6697" fillId="0" borderId="6697" xfId="0" applyFont="1" applyBorder="1" applyAlignment="1"/>
    <xf numFmtId="0" fontId="6698" fillId="0" borderId="6698" xfId="0" applyFont="1" applyBorder="1" applyAlignment="1"/>
    <xf numFmtId="0" fontId="6699" fillId="0" borderId="6699" xfId="0" applyFont="1" applyBorder="1" applyAlignment="1"/>
    <xf numFmtId="0" fontId="6700" fillId="0" borderId="6700" xfId="0" applyFont="1" applyBorder="1" applyAlignment="1"/>
    <xf numFmtId="0" fontId="6701" fillId="0" borderId="6701" xfId="0" applyFont="1" applyBorder="1" applyAlignment="1"/>
    <xf numFmtId="0" fontId="6702" fillId="0" borderId="6702" xfId="0" applyFont="1" applyBorder="1" applyAlignment="1"/>
    <xf numFmtId="0" fontId="6703" fillId="0" borderId="6703" xfId="0" applyFont="1" applyBorder="1" applyAlignment="1"/>
    <xf numFmtId="0" fontId="6704" fillId="0" borderId="6704" xfId="0" applyFont="1" applyBorder="1" applyAlignment="1"/>
    <xf numFmtId="0" fontId="6705" fillId="0" borderId="6705" xfId="0" applyFont="1" applyBorder="1" applyAlignment="1"/>
    <xf numFmtId="0" fontId="6706" fillId="0" borderId="6706" xfId="0" applyFont="1" applyBorder="1" applyAlignment="1"/>
    <xf numFmtId="0" fontId="6707" fillId="0" borderId="6707" xfId="0" applyFont="1" applyBorder="1" applyAlignment="1"/>
    <xf numFmtId="0" fontId="6708" fillId="0" borderId="6708" xfId="0" applyFont="1" applyBorder="1" applyAlignment="1"/>
    <xf numFmtId="0" fontId="6709" fillId="0" borderId="6709" xfId="0" applyFont="1" applyBorder="1" applyAlignment="1"/>
    <xf numFmtId="0" fontId="6710" fillId="0" borderId="6710" xfId="0" applyFont="1" applyBorder="1" applyAlignment="1"/>
    <xf numFmtId="0" fontId="6711" fillId="0" borderId="6711" xfId="0" applyFont="1" applyBorder="1" applyAlignment="1"/>
    <xf numFmtId="0" fontId="6712" fillId="0" borderId="6712" xfId="0" applyFont="1" applyBorder="1" applyAlignment="1"/>
    <xf numFmtId="0" fontId="6713" fillId="0" borderId="6713" xfId="0" applyFont="1" applyBorder="1" applyAlignment="1"/>
    <xf numFmtId="0" fontId="6714" fillId="0" borderId="6714" xfId="0" applyFont="1" applyBorder="1" applyAlignment="1"/>
    <xf numFmtId="0" fontId="6715" fillId="0" borderId="6715" xfId="0" applyFont="1" applyBorder="1" applyAlignment="1"/>
    <xf numFmtId="0" fontId="6716" fillId="0" borderId="6716" xfId="0" applyFont="1" applyBorder="1" applyAlignment="1"/>
    <xf numFmtId="0" fontId="6717" fillId="0" borderId="6717" xfId="0" applyFont="1" applyBorder="1" applyAlignment="1"/>
    <xf numFmtId="0" fontId="6718" fillId="0" borderId="6718" xfId="0" applyFont="1" applyBorder="1" applyAlignment="1"/>
    <xf numFmtId="0" fontId="6719" fillId="0" borderId="6719" xfId="0" applyFont="1" applyBorder="1" applyAlignment="1"/>
    <xf numFmtId="0" fontId="6720" fillId="0" borderId="6720" xfId="0" applyFont="1" applyBorder="1" applyAlignment="1"/>
    <xf numFmtId="0" fontId="6721" fillId="0" borderId="6721" xfId="0" applyFont="1" applyBorder="1" applyAlignment="1"/>
    <xf numFmtId="0" fontId="6722" fillId="0" borderId="6722" xfId="0" applyFont="1" applyBorder="1" applyAlignment="1"/>
    <xf numFmtId="0" fontId="6723" fillId="0" borderId="6723" xfId="0" applyFont="1" applyBorder="1" applyAlignment="1"/>
    <xf numFmtId="0" fontId="6724" fillId="0" borderId="6724" xfId="0" applyFont="1" applyBorder="1" applyAlignment="1"/>
    <xf numFmtId="0" fontId="6725" fillId="0" borderId="6725" xfId="0" applyFont="1" applyBorder="1" applyAlignment="1"/>
    <xf numFmtId="0" fontId="6726" fillId="0" borderId="6726" xfId="0" applyFont="1" applyBorder="1" applyAlignment="1"/>
    <xf numFmtId="0" fontId="6727" fillId="0" borderId="6727" xfId="0" applyFont="1" applyBorder="1" applyAlignment="1"/>
    <xf numFmtId="0" fontId="6728" fillId="0" borderId="6728" xfId="0" applyFont="1" applyBorder="1" applyAlignment="1"/>
    <xf numFmtId="0" fontId="6729" fillId="0" borderId="6729" xfId="0" applyFont="1" applyBorder="1" applyAlignment="1"/>
    <xf numFmtId="0" fontId="6730" fillId="0" borderId="6730" xfId="0" applyFont="1" applyBorder="1" applyAlignment="1"/>
    <xf numFmtId="0" fontId="6731" fillId="0" borderId="6731" xfId="0" applyFont="1" applyBorder="1" applyAlignment="1"/>
    <xf numFmtId="0" fontId="6732" fillId="0" borderId="6732" xfId="0" applyFont="1" applyBorder="1" applyAlignment="1"/>
    <xf numFmtId="0" fontId="6733" fillId="0" borderId="6733" xfId="0" applyFont="1" applyBorder="1" applyAlignment="1"/>
    <xf numFmtId="0" fontId="6734" fillId="0" borderId="6734" xfId="0" applyFont="1" applyBorder="1" applyAlignment="1"/>
    <xf numFmtId="0" fontId="6735" fillId="0" borderId="6735" xfId="0" applyFont="1" applyBorder="1" applyAlignment="1"/>
    <xf numFmtId="0" fontId="6736" fillId="0" borderId="6736" xfId="0" applyFont="1" applyBorder="1" applyAlignment="1"/>
    <xf numFmtId="0" fontId="6737" fillId="0" borderId="6737" xfId="0" applyFont="1" applyBorder="1" applyAlignment="1"/>
    <xf numFmtId="0" fontId="6738" fillId="0" borderId="6738" xfId="0" applyFont="1" applyBorder="1" applyAlignment="1"/>
    <xf numFmtId="0" fontId="6739" fillId="0" borderId="6739" xfId="0" applyFont="1" applyBorder="1" applyAlignment="1"/>
    <xf numFmtId="0" fontId="6740" fillId="0" borderId="6740" xfId="0" applyFont="1" applyBorder="1" applyAlignment="1"/>
    <xf numFmtId="0" fontId="6741" fillId="0" borderId="6741" xfId="0" applyFont="1" applyBorder="1" applyAlignment="1"/>
    <xf numFmtId="0" fontId="6742" fillId="0" borderId="6742" xfId="0" applyFont="1" applyBorder="1" applyAlignment="1"/>
    <xf numFmtId="0" fontId="6743" fillId="0" borderId="6743" xfId="0" applyFont="1" applyBorder="1" applyAlignment="1"/>
    <xf numFmtId="0" fontId="6744" fillId="0" borderId="6744" xfId="0" applyFont="1" applyBorder="1" applyAlignment="1"/>
    <xf numFmtId="0" fontId="6745" fillId="0" borderId="6745" xfId="0" applyFont="1" applyBorder="1" applyAlignment="1"/>
    <xf numFmtId="0" fontId="6746" fillId="0" borderId="6746" xfId="0" applyFont="1" applyBorder="1" applyAlignment="1"/>
    <xf numFmtId="0" fontId="6747" fillId="0" borderId="6747" xfId="0" applyFont="1" applyBorder="1" applyAlignment="1"/>
    <xf numFmtId="0" fontId="6748" fillId="0" borderId="6748" xfId="0" applyFont="1" applyBorder="1" applyAlignment="1"/>
    <xf numFmtId="0" fontId="6749" fillId="0" borderId="6749" xfId="0" applyFont="1" applyBorder="1" applyAlignment="1"/>
    <xf numFmtId="0" fontId="6750" fillId="0" borderId="6750" xfId="0" applyFont="1" applyBorder="1" applyAlignment="1"/>
    <xf numFmtId="0" fontId="6751" fillId="0" borderId="6751" xfId="0" applyFont="1" applyBorder="1" applyAlignment="1"/>
    <xf numFmtId="0" fontId="6752" fillId="0" borderId="6752" xfId="0" applyFont="1" applyBorder="1" applyAlignment="1"/>
    <xf numFmtId="0" fontId="6753" fillId="0" borderId="6753" xfId="0" applyFont="1" applyBorder="1" applyAlignment="1"/>
    <xf numFmtId="0" fontId="6754" fillId="0" borderId="6754" xfId="0" applyFont="1" applyBorder="1" applyAlignment="1"/>
    <xf numFmtId="0" fontId="6755" fillId="0" borderId="6755" xfId="0" applyFont="1" applyBorder="1" applyAlignment="1"/>
    <xf numFmtId="0" fontId="6756" fillId="0" borderId="6756" xfId="0" applyFont="1" applyBorder="1" applyAlignment="1"/>
    <xf numFmtId="0" fontId="6757" fillId="0" borderId="6757" xfId="0" applyFont="1" applyBorder="1" applyAlignment="1"/>
    <xf numFmtId="0" fontId="6758" fillId="0" borderId="6758" xfId="0" applyFont="1" applyBorder="1" applyAlignment="1"/>
    <xf numFmtId="0" fontId="6759" fillId="0" borderId="6759" xfId="0" applyFont="1" applyBorder="1" applyAlignment="1"/>
    <xf numFmtId="0" fontId="6760" fillId="0" borderId="6760" xfId="0" applyFont="1" applyBorder="1" applyAlignment="1"/>
    <xf numFmtId="0" fontId="6761" fillId="0" borderId="6761" xfId="0" applyFont="1" applyBorder="1" applyAlignment="1"/>
    <xf numFmtId="0" fontId="6762" fillId="0" borderId="6762" xfId="0" applyFont="1" applyBorder="1" applyAlignment="1"/>
    <xf numFmtId="0" fontId="6763" fillId="0" borderId="6763" xfId="0" applyFont="1" applyBorder="1" applyAlignment="1"/>
    <xf numFmtId="0" fontId="6764" fillId="0" borderId="6764" xfId="0" applyFont="1" applyBorder="1" applyAlignment="1"/>
    <xf numFmtId="0" fontId="6765" fillId="0" borderId="6765" xfId="0" applyFont="1" applyBorder="1" applyAlignment="1"/>
    <xf numFmtId="0" fontId="6766" fillId="0" borderId="6766" xfId="0" applyFont="1" applyBorder="1" applyAlignment="1"/>
    <xf numFmtId="0" fontId="6767" fillId="0" borderId="6767" xfId="0" applyFont="1" applyBorder="1" applyAlignment="1"/>
    <xf numFmtId="0" fontId="6768" fillId="0" borderId="6768" xfId="0" applyFont="1" applyBorder="1" applyAlignment="1"/>
    <xf numFmtId="0" fontId="6769" fillId="0" borderId="6769" xfId="0" applyFont="1" applyBorder="1" applyAlignment="1"/>
    <xf numFmtId="0" fontId="6770" fillId="0" borderId="6770" xfId="0" applyFont="1" applyBorder="1" applyAlignment="1"/>
    <xf numFmtId="0" fontId="6771" fillId="0" borderId="6771" xfId="0" applyFont="1" applyBorder="1" applyAlignment="1"/>
    <xf numFmtId="0" fontId="6772" fillId="0" borderId="6772" xfId="0" applyFont="1" applyBorder="1" applyAlignment="1"/>
    <xf numFmtId="0" fontId="6773" fillId="0" borderId="6773" xfId="0" applyFont="1" applyBorder="1" applyAlignment="1"/>
    <xf numFmtId="0" fontId="6774" fillId="0" borderId="6774" xfId="0" applyFont="1" applyBorder="1" applyAlignment="1"/>
    <xf numFmtId="0" fontId="6775" fillId="0" borderId="6775" xfId="0" applyFont="1" applyBorder="1" applyAlignment="1"/>
    <xf numFmtId="0" fontId="6776" fillId="0" borderId="6776" xfId="0" applyFont="1" applyBorder="1" applyAlignment="1"/>
    <xf numFmtId="0" fontId="6777" fillId="0" borderId="6777" xfId="0" applyFont="1" applyBorder="1" applyAlignment="1"/>
    <xf numFmtId="0" fontId="6778" fillId="0" borderId="6778" xfId="0" applyFont="1" applyBorder="1" applyAlignment="1"/>
    <xf numFmtId="0" fontId="6779" fillId="0" borderId="6779" xfId="0" applyFont="1" applyBorder="1" applyAlignment="1"/>
    <xf numFmtId="0" fontId="6780" fillId="0" borderId="6780" xfId="0" applyFont="1" applyBorder="1" applyAlignment="1"/>
    <xf numFmtId="0" fontId="6781" fillId="0" borderId="6781" xfId="0" applyFont="1" applyBorder="1" applyAlignment="1"/>
    <xf numFmtId="0" fontId="6782" fillId="0" borderId="6782" xfId="0" applyFont="1" applyBorder="1" applyAlignment="1"/>
    <xf numFmtId="0" fontId="6783" fillId="0" borderId="6783" xfId="0" applyFont="1" applyBorder="1" applyAlignment="1"/>
    <xf numFmtId="0" fontId="6784" fillId="0" borderId="6784" xfId="0" applyFont="1" applyBorder="1" applyAlignment="1"/>
    <xf numFmtId="0" fontId="6785" fillId="0" borderId="6785" xfId="0" applyFont="1" applyBorder="1" applyAlignment="1"/>
    <xf numFmtId="0" fontId="6786" fillId="0" borderId="6786" xfId="0" applyFont="1" applyBorder="1" applyAlignment="1"/>
    <xf numFmtId="0" fontId="6787" fillId="0" borderId="6787" xfId="0" applyFont="1" applyBorder="1" applyAlignment="1"/>
    <xf numFmtId="0" fontId="6788" fillId="0" borderId="6788" xfId="0" applyFont="1" applyBorder="1" applyAlignment="1"/>
    <xf numFmtId="0" fontId="6789" fillId="0" borderId="6789" xfId="0" applyFont="1" applyBorder="1" applyAlignment="1"/>
    <xf numFmtId="0" fontId="6790" fillId="0" borderId="6790" xfId="0" applyFont="1" applyBorder="1" applyAlignment="1"/>
    <xf numFmtId="0" fontId="6791" fillId="0" borderId="6791" xfId="0" applyFont="1" applyBorder="1" applyAlignment="1"/>
    <xf numFmtId="0" fontId="6792" fillId="0" borderId="6792" xfId="0" applyFont="1" applyBorder="1" applyAlignment="1"/>
    <xf numFmtId="0" fontId="6793" fillId="0" borderId="6793" xfId="0" applyFont="1" applyBorder="1" applyAlignment="1"/>
    <xf numFmtId="0" fontId="6794" fillId="0" borderId="6794" xfId="0" applyFont="1" applyBorder="1" applyAlignment="1"/>
    <xf numFmtId="0" fontId="6795" fillId="0" borderId="6795" xfId="0" applyFont="1" applyBorder="1" applyAlignment="1"/>
    <xf numFmtId="0" fontId="6796" fillId="0" borderId="6796" xfId="0" applyFont="1" applyBorder="1" applyAlignment="1"/>
    <xf numFmtId="0" fontId="6797" fillId="0" borderId="6797" xfId="0" applyFont="1" applyBorder="1" applyAlignment="1"/>
    <xf numFmtId="0" fontId="6798" fillId="0" borderId="6798" xfId="0" applyFont="1" applyBorder="1" applyAlignment="1"/>
    <xf numFmtId="0" fontId="6799" fillId="0" borderId="6799" xfId="0" applyFont="1" applyBorder="1" applyAlignment="1"/>
    <xf numFmtId="0" fontId="6800" fillId="0" borderId="6800" xfId="0" applyFont="1" applyBorder="1" applyAlignment="1"/>
    <xf numFmtId="0" fontId="6801" fillId="0" borderId="6801" xfId="0" applyFont="1" applyBorder="1" applyAlignment="1"/>
    <xf numFmtId="0" fontId="6802" fillId="0" borderId="6802" xfId="0" applyFont="1" applyBorder="1" applyAlignment="1"/>
    <xf numFmtId="0" fontId="6803" fillId="0" borderId="6803" xfId="0" applyFont="1" applyBorder="1" applyAlignment="1"/>
    <xf numFmtId="0" fontId="6804" fillId="0" borderId="6804" xfId="0" applyFont="1" applyBorder="1" applyAlignment="1"/>
    <xf numFmtId="0" fontId="6805" fillId="0" borderId="6805" xfId="0" applyFont="1" applyBorder="1" applyAlignment="1"/>
    <xf numFmtId="0" fontId="6806" fillId="0" borderId="6806" xfId="0" applyFont="1" applyBorder="1" applyAlignment="1"/>
    <xf numFmtId="0" fontId="6807" fillId="0" borderId="6807" xfId="0" applyFont="1" applyBorder="1" applyAlignment="1"/>
    <xf numFmtId="0" fontId="6808" fillId="0" borderId="6808" xfId="0" applyFont="1" applyBorder="1" applyAlignment="1"/>
    <xf numFmtId="0" fontId="6809" fillId="0" borderId="6809" xfId="0" applyFont="1" applyBorder="1" applyAlignment="1"/>
    <xf numFmtId="0" fontId="6810" fillId="0" borderId="6810" xfId="0" applyFont="1" applyBorder="1" applyAlignment="1"/>
    <xf numFmtId="0" fontId="6811" fillId="0" borderId="6811" xfId="0" applyFont="1" applyBorder="1" applyAlignment="1"/>
    <xf numFmtId="0" fontId="6812" fillId="0" borderId="6812" xfId="0" applyFont="1" applyBorder="1" applyAlignment="1"/>
    <xf numFmtId="0" fontId="6813" fillId="0" borderId="6813" xfId="0" applyFont="1" applyBorder="1" applyAlignment="1"/>
    <xf numFmtId="0" fontId="6814" fillId="0" borderId="6814" xfId="0" applyFont="1" applyBorder="1" applyAlignment="1"/>
    <xf numFmtId="0" fontId="6815" fillId="0" borderId="6815" xfId="0" applyFont="1" applyBorder="1" applyAlignment="1"/>
    <xf numFmtId="0" fontId="6816" fillId="0" borderId="6816" xfId="0" applyFont="1" applyBorder="1" applyAlignment="1"/>
    <xf numFmtId="0" fontId="6817" fillId="0" borderId="6817" xfId="0" applyFont="1" applyBorder="1" applyAlignment="1"/>
    <xf numFmtId="0" fontId="6818" fillId="0" borderId="6818" xfId="0" applyFont="1" applyBorder="1" applyAlignment="1"/>
    <xf numFmtId="0" fontId="6819" fillId="0" borderId="6819" xfId="0" applyFont="1" applyBorder="1" applyAlignment="1"/>
    <xf numFmtId="0" fontId="6820" fillId="0" borderId="6820" xfId="0" applyFont="1" applyBorder="1" applyAlignment="1"/>
    <xf numFmtId="0" fontId="6821" fillId="0" borderId="6821" xfId="0" applyFont="1" applyBorder="1" applyAlignment="1"/>
    <xf numFmtId="0" fontId="6822" fillId="0" borderId="6822" xfId="0" applyFont="1" applyBorder="1" applyAlignment="1"/>
    <xf numFmtId="0" fontId="6823" fillId="0" borderId="6823" xfId="0" applyFont="1" applyBorder="1" applyAlignment="1"/>
    <xf numFmtId="0" fontId="6824" fillId="0" borderId="6824" xfId="0" applyFont="1" applyBorder="1" applyAlignment="1"/>
    <xf numFmtId="0" fontId="6825" fillId="0" borderId="6825" xfId="0" applyFont="1" applyBorder="1" applyAlignment="1"/>
    <xf numFmtId="0" fontId="6826" fillId="0" borderId="6826" xfId="0" applyFont="1" applyBorder="1" applyAlignment="1"/>
    <xf numFmtId="0" fontId="6827" fillId="0" borderId="6827" xfId="0" applyFont="1" applyBorder="1" applyAlignment="1"/>
    <xf numFmtId="0" fontId="6828" fillId="0" borderId="6828" xfId="0" applyFont="1" applyBorder="1" applyAlignment="1"/>
    <xf numFmtId="0" fontId="6829" fillId="0" borderId="6829" xfId="0" applyFont="1" applyBorder="1" applyAlignment="1"/>
    <xf numFmtId="0" fontId="6830" fillId="0" borderId="6830" xfId="0" applyFont="1" applyBorder="1" applyAlignment="1"/>
    <xf numFmtId="0" fontId="6831" fillId="0" borderId="6831" xfId="0" applyFont="1" applyBorder="1" applyAlignment="1"/>
    <xf numFmtId="0" fontId="6832" fillId="0" borderId="6832" xfId="0" applyFont="1" applyBorder="1" applyAlignment="1"/>
    <xf numFmtId="0" fontId="6833" fillId="0" borderId="6833" xfId="0" applyFont="1" applyBorder="1" applyAlignment="1"/>
    <xf numFmtId="0" fontId="6834" fillId="0" borderId="6834" xfId="0" applyFont="1" applyBorder="1" applyAlignment="1"/>
    <xf numFmtId="0" fontId="6835" fillId="0" borderId="6835" xfId="0" applyFont="1" applyBorder="1" applyAlignment="1"/>
    <xf numFmtId="0" fontId="6836" fillId="0" borderId="6836" xfId="0" applyFont="1" applyBorder="1" applyAlignment="1"/>
    <xf numFmtId="0" fontId="6837" fillId="0" borderId="6837" xfId="0" applyFont="1" applyBorder="1" applyAlignment="1"/>
    <xf numFmtId="0" fontId="6838" fillId="0" borderId="6838" xfId="0" applyFont="1" applyBorder="1" applyAlignment="1"/>
    <xf numFmtId="0" fontId="6839" fillId="0" borderId="6839" xfId="0" applyFont="1" applyBorder="1" applyAlignment="1"/>
    <xf numFmtId="0" fontId="6840" fillId="0" borderId="6840" xfId="0" applyFont="1" applyBorder="1" applyAlignment="1"/>
    <xf numFmtId="0" fontId="6841" fillId="0" borderId="6841" xfId="0" applyFont="1" applyBorder="1" applyAlignment="1"/>
    <xf numFmtId="0" fontId="6842" fillId="0" borderId="6842" xfId="0" applyFont="1" applyBorder="1" applyAlignment="1"/>
    <xf numFmtId="0" fontId="6843" fillId="0" borderId="6843" xfId="0" applyFont="1" applyBorder="1" applyAlignment="1"/>
    <xf numFmtId="0" fontId="6844" fillId="0" borderId="6844" xfId="0" applyFont="1" applyBorder="1" applyAlignment="1"/>
    <xf numFmtId="0" fontId="6845" fillId="0" borderId="6845" xfId="0" applyFont="1" applyBorder="1" applyAlignment="1"/>
    <xf numFmtId="0" fontId="6846" fillId="0" borderId="6846" xfId="0" applyFont="1" applyBorder="1" applyAlignment="1"/>
    <xf numFmtId="0" fontId="6847" fillId="0" borderId="6847" xfId="0" applyFont="1" applyBorder="1" applyAlignment="1"/>
    <xf numFmtId="0" fontId="6848" fillId="0" borderId="6848" xfId="0" applyFont="1" applyBorder="1" applyAlignment="1"/>
    <xf numFmtId="0" fontId="6849" fillId="0" borderId="6849" xfId="0" applyFont="1" applyBorder="1" applyAlignment="1"/>
    <xf numFmtId="0" fontId="6850" fillId="0" borderId="6850" xfId="0" applyFont="1" applyBorder="1" applyAlignment="1"/>
    <xf numFmtId="0" fontId="6851" fillId="0" borderId="6851" xfId="0" applyFont="1" applyBorder="1" applyAlignment="1"/>
    <xf numFmtId="0" fontId="6852" fillId="0" borderId="6852" xfId="0" applyFont="1" applyBorder="1" applyAlignment="1"/>
    <xf numFmtId="0" fontId="6853" fillId="0" borderId="6853" xfId="0" applyFont="1" applyBorder="1" applyAlignment="1"/>
    <xf numFmtId="0" fontId="6854" fillId="0" borderId="6854" xfId="0" applyFont="1" applyBorder="1" applyAlignment="1"/>
    <xf numFmtId="0" fontId="6855" fillId="0" borderId="6855" xfId="0" applyFont="1" applyBorder="1" applyAlignment="1"/>
    <xf numFmtId="0" fontId="6856" fillId="0" borderId="6856" xfId="0" applyFont="1" applyBorder="1" applyAlignment="1"/>
    <xf numFmtId="0" fontId="6857" fillId="0" borderId="6857" xfId="0" applyFont="1" applyBorder="1" applyAlignment="1"/>
    <xf numFmtId="0" fontId="6858" fillId="0" borderId="6858" xfId="0" applyFont="1" applyBorder="1" applyAlignment="1"/>
    <xf numFmtId="0" fontId="6859" fillId="0" borderId="6859" xfId="0" applyFont="1" applyBorder="1" applyAlignment="1"/>
    <xf numFmtId="0" fontId="6860" fillId="0" borderId="6860" xfId="0" applyFont="1" applyBorder="1" applyAlignment="1"/>
    <xf numFmtId="0" fontId="6861" fillId="0" borderId="6861" xfId="0" applyFont="1" applyBorder="1" applyAlignment="1"/>
    <xf numFmtId="0" fontId="6862" fillId="0" borderId="6862" xfId="0" applyFont="1" applyBorder="1" applyAlignment="1"/>
    <xf numFmtId="0" fontId="6863" fillId="0" borderId="6863" xfId="0" applyFont="1" applyBorder="1" applyAlignment="1"/>
    <xf numFmtId="0" fontId="6864" fillId="0" borderId="6864" xfId="0" applyFont="1" applyBorder="1" applyAlignment="1"/>
    <xf numFmtId="0" fontId="6865" fillId="0" borderId="6865" xfId="0" applyFont="1" applyBorder="1" applyAlignment="1"/>
    <xf numFmtId="0" fontId="6866" fillId="0" borderId="6866" xfId="0" applyFont="1" applyBorder="1" applyAlignment="1"/>
    <xf numFmtId="0" fontId="6867" fillId="0" borderId="6867" xfId="0" applyFont="1" applyBorder="1" applyAlignment="1"/>
    <xf numFmtId="0" fontId="6868" fillId="0" borderId="6868" xfId="0" applyFont="1" applyBorder="1" applyAlignment="1"/>
    <xf numFmtId="0" fontId="6869" fillId="0" borderId="6869" xfId="0" applyFont="1" applyBorder="1" applyAlignment="1"/>
    <xf numFmtId="0" fontId="6870" fillId="0" borderId="6870" xfId="0" applyFont="1" applyBorder="1" applyAlignment="1"/>
    <xf numFmtId="0" fontId="6871" fillId="0" borderId="6871" xfId="0" applyFont="1" applyBorder="1" applyAlignment="1"/>
    <xf numFmtId="0" fontId="6872" fillId="0" borderId="6872" xfId="0" applyFont="1" applyBorder="1" applyAlignment="1"/>
    <xf numFmtId="0" fontId="6873" fillId="0" borderId="6873" xfId="0" applyFont="1" applyBorder="1" applyAlignment="1"/>
    <xf numFmtId="0" fontId="6874" fillId="0" borderId="6874" xfId="0" applyFont="1" applyBorder="1" applyAlignment="1"/>
    <xf numFmtId="0" fontId="6875" fillId="0" borderId="6875" xfId="0" applyFont="1" applyBorder="1" applyAlignment="1"/>
    <xf numFmtId="0" fontId="6876" fillId="0" borderId="6876" xfId="0" applyFont="1" applyBorder="1" applyAlignment="1"/>
    <xf numFmtId="0" fontId="6877" fillId="0" borderId="6877" xfId="0" applyFont="1" applyBorder="1" applyAlignment="1"/>
    <xf numFmtId="0" fontId="6878" fillId="0" borderId="6878" xfId="0" applyFont="1" applyBorder="1" applyAlignment="1"/>
    <xf numFmtId="0" fontId="6879" fillId="0" borderId="6879" xfId="0" applyFont="1" applyBorder="1" applyAlignment="1"/>
    <xf numFmtId="0" fontId="6880" fillId="0" borderId="6880" xfId="0" applyFont="1" applyBorder="1" applyAlignment="1"/>
    <xf numFmtId="0" fontId="6881" fillId="0" borderId="6881" xfId="0" applyFont="1" applyBorder="1" applyAlignment="1"/>
    <xf numFmtId="0" fontId="6882" fillId="0" borderId="6882" xfId="0" applyFont="1" applyBorder="1" applyAlignment="1"/>
    <xf numFmtId="0" fontId="6883" fillId="0" borderId="6883" xfId="0" applyFont="1" applyBorder="1" applyAlignment="1"/>
    <xf numFmtId="0" fontId="6884" fillId="0" borderId="6884" xfId="0" applyFont="1" applyBorder="1" applyAlignment="1"/>
    <xf numFmtId="0" fontId="6885" fillId="0" borderId="6885" xfId="0" applyFont="1" applyBorder="1" applyAlignment="1"/>
    <xf numFmtId="0" fontId="6886" fillId="0" borderId="6886" xfId="0" applyFont="1" applyBorder="1" applyAlignment="1"/>
    <xf numFmtId="0" fontId="6887" fillId="0" borderId="6887" xfId="0" applyFont="1" applyBorder="1" applyAlignment="1"/>
    <xf numFmtId="0" fontId="6888" fillId="0" borderId="6888" xfId="0" applyFont="1" applyBorder="1" applyAlignment="1"/>
    <xf numFmtId="0" fontId="6889" fillId="0" borderId="6889" xfId="0" applyFont="1" applyBorder="1" applyAlignment="1"/>
    <xf numFmtId="0" fontId="6890" fillId="0" borderId="6890" xfId="0" applyFont="1" applyBorder="1" applyAlignment="1"/>
    <xf numFmtId="0" fontId="6891" fillId="0" borderId="6891" xfId="0" applyFont="1" applyBorder="1" applyAlignment="1"/>
    <xf numFmtId="0" fontId="6892" fillId="0" borderId="6892" xfId="0" applyFont="1" applyBorder="1" applyAlignment="1"/>
    <xf numFmtId="0" fontId="6893" fillId="0" borderId="6893" xfId="0" applyFont="1" applyBorder="1" applyAlignment="1"/>
    <xf numFmtId="0" fontId="6894" fillId="0" borderId="6894" xfId="0" applyFont="1" applyBorder="1" applyAlignment="1"/>
    <xf numFmtId="0" fontId="6895" fillId="0" borderId="6895" xfId="0" applyFont="1" applyBorder="1" applyAlignment="1"/>
    <xf numFmtId="0" fontId="6896" fillId="0" borderId="6896" xfId="0" applyFont="1" applyBorder="1" applyAlignment="1"/>
    <xf numFmtId="0" fontId="6897" fillId="0" borderId="6897" xfId="0" applyFont="1" applyBorder="1" applyAlignment="1"/>
    <xf numFmtId="0" fontId="6898" fillId="0" borderId="6898" xfId="0" applyFont="1" applyBorder="1" applyAlignment="1"/>
    <xf numFmtId="0" fontId="6899" fillId="0" borderId="6899" xfId="0" applyFont="1" applyBorder="1" applyAlignment="1"/>
    <xf numFmtId="0" fontId="6900" fillId="0" borderId="6900" xfId="0" applyFont="1" applyBorder="1" applyAlignment="1"/>
    <xf numFmtId="0" fontId="6901" fillId="0" borderId="6901" xfId="0" applyFont="1" applyBorder="1" applyAlignment="1"/>
    <xf numFmtId="0" fontId="6902" fillId="0" borderId="6902" xfId="0" applyFont="1" applyBorder="1" applyAlignment="1"/>
    <xf numFmtId="0" fontId="6903" fillId="0" borderId="6903" xfId="0" applyFont="1" applyBorder="1" applyAlignment="1"/>
    <xf numFmtId="0" fontId="6904" fillId="0" borderId="6904" xfId="0" applyFont="1" applyBorder="1" applyAlignment="1"/>
    <xf numFmtId="0" fontId="6905" fillId="0" borderId="6905" xfId="0" applyFont="1" applyBorder="1" applyAlignment="1"/>
    <xf numFmtId="0" fontId="6906" fillId="0" borderId="6906" xfId="0" applyFont="1" applyBorder="1" applyAlignment="1"/>
    <xf numFmtId="0" fontId="6907" fillId="0" borderId="6907" xfId="0" applyFont="1" applyBorder="1" applyAlignment="1"/>
    <xf numFmtId="0" fontId="6908" fillId="0" borderId="6908" xfId="0" applyFont="1" applyBorder="1" applyAlignment="1"/>
    <xf numFmtId="0" fontId="6909" fillId="0" borderId="6909" xfId="0" applyFont="1" applyBorder="1" applyAlignment="1"/>
    <xf numFmtId="0" fontId="6910" fillId="0" borderId="6910" xfId="0" applyFont="1" applyBorder="1" applyAlignment="1"/>
    <xf numFmtId="0" fontId="6911" fillId="0" borderId="6911" xfId="0" applyFont="1" applyBorder="1" applyAlignment="1"/>
    <xf numFmtId="0" fontId="6912" fillId="0" borderId="6912" xfId="0" applyFont="1" applyBorder="1" applyAlignment="1"/>
    <xf numFmtId="0" fontId="6913" fillId="0" borderId="6913" xfId="0" applyFont="1" applyBorder="1" applyAlignment="1"/>
    <xf numFmtId="0" fontId="6914" fillId="0" borderId="6914" xfId="0" applyFont="1" applyBorder="1" applyAlignment="1"/>
    <xf numFmtId="0" fontId="6915" fillId="0" borderId="6915" xfId="0" applyFont="1" applyBorder="1" applyAlignment="1"/>
    <xf numFmtId="0" fontId="6916" fillId="0" borderId="6916" xfId="0" applyFont="1" applyBorder="1" applyAlignment="1"/>
    <xf numFmtId="0" fontId="6917" fillId="0" borderId="6917" xfId="0" applyFont="1" applyBorder="1" applyAlignment="1"/>
    <xf numFmtId="0" fontId="6918" fillId="0" borderId="6918" xfId="0" applyFont="1" applyBorder="1" applyAlignment="1"/>
    <xf numFmtId="0" fontId="6919" fillId="0" borderId="6919" xfId="0" applyFont="1" applyBorder="1" applyAlignment="1"/>
    <xf numFmtId="0" fontId="6920" fillId="0" borderId="6920" xfId="0" applyFont="1" applyBorder="1" applyAlignment="1"/>
    <xf numFmtId="0" fontId="6921" fillId="0" borderId="6921" xfId="0" applyFont="1" applyBorder="1" applyAlignment="1"/>
    <xf numFmtId="0" fontId="6922" fillId="0" borderId="6922" xfId="0" applyFont="1" applyBorder="1" applyAlignment="1"/>
    <xf numFmtId="0" fontId="6923" fillId="0" borderId="6923" xfId="0" applyFont="1" applyBorder="1" applyAlignment="1"/>
    <xf numFmtId="0" fontId="6924" fillId="0" borderId="6924" xfId="0" applyFont="1" applyBorder="1" applyAlignment="1"/>
    <xf numFmtId="0" fontId="6925" fillId="0" borderId="6925" xfId="0" applyFont="1" applyBorder="1" applyAlignment="1"/>
    <xf numFmtId="0" fontId="6926" fillId="0" borderId="6926" xfId="0" applyFont="1" applyBorder="1" applyAlignment="1"/>
    <xf numFmtId="0" fontId="6927" fillId="0" borderId="6927" xfId="0" applyFont="1" applyBorder="1" applyAlignment="1"/>
    <xf numFmtId="0" fontId="6928" fillId="0" borderId="6928" xfId="0" applyFont="1" applyBorder="1" applyAlignment="1"/>
    <xf numFmtId="0" fontId="6929" fillId="0" borderId="6929" xfId="0" applyFont="1" applyBorder="1" applyAlignment="1"/>
    <xf numFmtId="0" fontId="6930" fillId="0" borderId="6930" xfId="0" applyFont="1" applyBorder="1" applyAlignment="1"/>
    <xf numFmtId="0" fontId="6931" fillId="0" borderId="6931" xfId="0" applyFont="1" applyBorder="1" applyAlignment="1"/>
    <xf numFmtId="0" fontId="6932" fillId="0" borderId="6932" xfId="0" applyFont="1" applyBorder="1" applyAlignment="1"/>
    <xf numFmtId="0" fontId="6933" fillId="0" borderId="6933" xfId="0" applyFont="1" applyBorder="1" applyAlignment="1"/>
    <xf numFmtId="0" fontId="6934" fillId="0" borderId="6934" xfId="0" applyFont="1" applyBorder="1" applyAlignment="1"/>
    <xf numFmtId="0" fontId="6935" fillId="0" borderId="6935" xfId="0" applyFont="1" applyBorder="1" applyAlignment="1"/>
    <xf numFmtId="0" fontId="6936" fillId="0" borderId="6936" xfId="0" applyFont="1" applyBorder="1" applyAlignment="1"/>
    <xf numFmtId="0" fontId="6937" fillId="0" borderId="6937" xfId="0" applyFont="1" applyBorder="1" applyAlignment="1"/>
    <xf numFmtId="0" fontId="6938" fillId="0" borderId="6938" xfId="0" applyFont="1" applyBorder="1" applyAlignment="1"/>
    <xf numFmtId="0" fontId="6939" fillId="0" borderId="6939" xfId="0" applyFont="1" applyBorder="1" applyAlignment="1"/>
    <xf numFmtId="0" fontId="6940" fillId="0" borderId="6940" xfId="0" applyFont="1" applyBorder="1" applyAlignment="1"/>
    <xf numFmtId="0" fontId="6941" fillId="0" borderId="6941" xfId="0" applyFont="1" applyBorder="1" applyAlignment="1"/>
    <xf numFmtId="0" fontId="6942" fillId="0" borderId="6942" xfId="0" applyFont="1" applyBorder="1" applyAlignment="1"/>
    <xf numFmtId="0" fontId="6943" fillId="0" borderId="6943" xfId="0" applyFont="1" applyBorder="1" applyAlignment="1"/>
    <xf numFmtId="0" fontId="6944" fillId="0" borderId="6944" xfId="0" applyFont="1" applyBorder="1" applyAlignment="1"/>
    <xf numFmtId="0" fontId="6945" fillId="0" borderId="6945" xfId="0" applyFont="1" applyBorder="1" applyAlignment="1"/>
    <xf numFmtId="0" fontId="6946" fillId="0" borderId="6946" xfId="0" applyFont="1" applyBorder="1" applyAlignment="1"/>
    <xf numFmtId="0" fontId="6947" fillId="0" borderId="6947" xfId="0" applyFont="1" applyBorder="1" applyAlignment="1"/>
    <xf numFmtId="0" fontId="6948" fillId="0" borderId="6948" xfId="0" applyFont="1" applyBorder="1" applyAlignment="1"/>
    <xf numFmtId="0" fontId="6949" fillId="0" borderId="6949" xfId="0" applyFont="1" applyBorder="1" applyAlignment="1"/>
    <xf numFmtId="0" fontId="6950" fillId="0" borderId="6950" xfId="0" applyFont="1" applyBorder="1" applyAlignment="1"/>
    <xf numFmtId="0" fontId="6951" fillId="0" borderId="6951" xfId="0" applyFont="1" applyBorder="1" applyAlignment="1"/>
    <xf numFmtId="0" fontId="6952" fillId="0" borderId="6952" xfId="0" applyFont="1" applyBorder="1" applyAlignment="1"/>
    <xf numFmtId="0" fontId="6953" fillId="0" borderId="6953" xfId="0" applyFont="1" applyBorder="1" applyAlignment="1"/>
    <xf numFmtId="0" fontId="6954" fillId="0" borderId="6954" xfId="0" applyFont="1" applyBorder="1" applyAlignment="1"/>
    <xf numFmtId="0" fontId="6955" fillId="0" borderId="6955" xfId="0" applyFont="1" applyBorder="1" applyAlignment="1"/>
    <xf numFmtId="0" fontId="6956" fillId="0" borderId="6956" xfId="0" applyFont="1" applyBorder="1" applyAlignment="1"/>
    <xf numFmtId="0" fontId="6957" fillId="0" borderId="6957" xfId="0" applyFont="1" applyBorder="1" applyAlignment="1"/>
    <xf numFmtId="0" fontId="6958" fillId="0" borderId="6958" xfId="0" applyFont="1" applyBorder="1" applyAlignment="1"/>
    <xf numFmtId="0" fontId="6959" fillId="0" borderId="6959" xfId="0" applyFont="1" applyBorder="1" applyAlignment="1"/>
    <xf numFmtId="0" fontId="6960" fillId="0" borderId="6960" xfId="0" applyFont="1" applyBorder="1" applyAlignment="1"/>
    <xf numFmtId="0" fontId="6961" fillId="0" borderId="6961" xfId="0" applyFont="1" applyBorder="1" applyAlignment="1"/>
    <xf numFmtId="0" fontId="6962" fillId="0" borderId="6962" xfId="0" applyFont="1" applyBorder="1" applyAlignment="1"/>
    <xf numFmtId="0" fontId="6963" fillId="0" borderId="6963" xfId="0" applyFont="1" applyBorder="1" applyAlignment="1"/>
    <xf numFmtId="0" fontId="6964" fillId="0" borderId="6964" xfId="0" applyFont="1" applyBorder="1" applyAlignment="1"/>
    <xf numFmtId="0" fontId="6965" fillId="0" borderId="6965" xfId="0" applyFont="1" applyBorder="1" applyAlignment="1"/>
    <xf numFmtId="0" fontId="6966" fillId="0" borderId="6966" xfId="0" applyFont="1" applyBorder="1" applyAlignment="1"/>
    <xf numFmtId="0" fontId="6967" fillId="0" borderId="6967" xfId="0" applyFont="1" applyBorder="1" applyAlignment="1"/>
    <xf numFmtId="0" fontId="6968" fillId="0" borderId="6968" xfId="0" applyFont="1" applyBorder="1" applyAlignment="1"/>
    <xf numFmtId="0" fontId="6969" fillId="0" borderId="6969" xfId="0" applyFont="1" applyBorder="1" applyAlignment="1"/>
    <xf numFmtId="0" fontId="6970" fillId="0" borderId="6970" xfId="0" applyFont="1" applyBorder="1" applyAlignment="1"/>
    <xf numFmtId="0" fontId="6971" fillId="0" borderId="6971" xfId="0" applyFont="1" applyBorder="1" applyAlignment="1"/>
    <xf numFmtId="0" fontId="6972" fillId="0" borderId="6972" xfId="0" applyFont="1" applyBorder="1" applyAlignment="1"/>
    <xf numFmtId="0" fontId="6973" fillId="0" borderId="6973" xfId="0" applyFont="1" applyBorder="1" applyAlignment="1"/>
    <xf numFmtId="0" fontId="6974" fillId="0" borderId="6974" xfId="0" applyFont="1" applyBorder="1" applyAlignment="1"/>
    <xf numFmtId="0" fontId="6975" fillId="0" borderId="6975" xfId="0" applyFont="1" applyBorder="1" applyAlignment="1"/>
    <xf numFmtId="0" fontId="6976" fillId="0" borderId="6976" xfId="0" applyFont="1" applyBorder="1" applyAlignment="1"/>
    <xf numFmtId="0" fontId="6977" fillId="0" borderId="6977" xfId="0" applyFont="1" applyBorder="1" applyAlignment="1"/>
    <xf numFmtId="0" fontId="6978" fillId="0" borderId="6978" xfId="0" applyFont="1" applyBorder="1" applyAlignment="1"/>
    <xf numFmtId="0" fontId="6979" fillId="0" borderId="6979" xfId="0" applyFont="1" applyBorder="1" applyAlignment="1"/>
    <xf numFmtId="0" fontId="6980" fillId="0" borderId="6980" xfId="0" applyFont="1" applyBorder="1" applyAlignment="1"/>
    <xf numFmtId="0" fontId="6981" fillId="0" borderId="6981" xfId="0" applyFont="1" applyBorder="1" applyAlignment="1"/>
    <xf numFmtId="0" fontId="6982" fillId="0" borderId="6982" xfId="0" applyFont="1" applyBorder="1" applyAlignment="1"/>
    <xf numFmtId="0" fontId="6983" fillId="0" borderId="6983" xfId="0" applyFont="1" applyBorder="1" applyAlignment="1"/>
    <xf numFmtId="0" fontId="6984" fillId="0" borderId="6984" xfId="0" applyFont="1" applyBorder="1" applyAlignment="1"/>
    <xf numFmtId="0" fontId="6985" fillId="0" borderId="6985" xfId="0" applyFont="1" applyBorder="1" applyAlignment="1"/>
    <xf numFmtId="0" fontId="6986" fillId="0" borderId="6986" xfId="0" applyFont="1" applyBorder="1" applyAlignment="1"/>
    <xf numFmtId="0" fontId="6987" fillId="0" borderId="6987" xfId="0" applyFont="1" applyBorder="1" applyAlignment="1"/>
    <xf numFmtId="0" fontId="6988" fillId="0" borderId="6988" xfId="0" applyFont="1" applyBorder="1" applyAlignment="1"/>
    <xf numFmtId="0" fontId="6989" fillId="0" borderId="6989" xfId="0" applyFont="1" applyBorder="1" applyAlignment="1"/>
    <xf numFmtId="0" fontId="6990" fillId="0" borderId="6990" xfId="0" applyFont="1" applyBorder="1" applyAlignment="1"/>
    <xf numFmtId="0" fontId="6991" fillId="0" borderId="6991" xfId="0" applyFont="1" applyBorder="1" applyAlignment="1"/>
    <xf numFmtId="0" fontId="6992" fillId="0" borderId="6992" xfId="0" applyFont="1" applyBorder="1" applyAlignment="1"/>
    <xf numFmtId="0" fontId="6993" fillId="0" borderId="6993" xfId="0" applyFont="1" applyBorder="1" applyAlignment="1"/>
    <xf numFmtId="0" fontId="6994" fillId="0" borderId="6994" xfId="0" applyFont="1" applyBorder="1" applyAlignment="1"/>
    <xf numFmtId="0" fontId="6995" fillId="0" borderId="6995" xfId="0" applyFont="1" applyBorder="1" applyAlignment="1"/>
    <xf numFmtId="0" fontId="6996" fillId="0" borderId="6996" xfId="0" applyFont="1" applyBorder="1" applyAlignment="1"/>
    <xf numFmtId="0" fontId="6997" fillId="0" borderId="6997" xfId="0" applyFont="1" applyBorder="1" applyAlignment="1"/>
    <xf numFmtId="0" fontId="6998" fillId="0" borderId="6998" xfId="0" applyFont="1" applyBorder="1" applyAlignment="1"/>
    <xf numFmtId="0" fontId="6999" fillId="0" borderId="6999" xfId="0" applyFont="1" applyBorder="1" applyAlignment="1"/>
    <xf numFmtId="0" fontId="7000" fillId="0" borderId="7000" xfId="0" applyFont="1" applyBorder="1" applyAlignment="1"/>
    <xf numFmtId="0" fontId="7001" fillId="0" borderId="7001" xfId="0" applyFont="1" applyBorder="1" applyAlignment="1"/>
    <xf numFmtId="0" fontId="7002" fillId="0" borderId="7002" xfId="0" applyFont="1" applyBorder="1" applyAlignment="1"/>
    <xf numFmtId="0" fontId="7003" fillId="0" borderId="7003" xfId="0" applyFont="1" applyBorder="1" applyAlignment="1"/>
    <xf numFmtId="0" fontId="7004" fillId="0" borderId="7004" xfId="0" applyFont="1" applyBorder="1" applyAlignment="1"/>
    <xf numFmtId="0" fontId="7005" fillId="0" borderId="7005" xfId="0" applyFont="1" applyBorder="1" applyAlignment="1"/>
    <xf numFmtId="0" fontId="7006" fillId="0" borderId="7006" xfId="0" applyFont="1" applyBorder="1" applyAlignment="1"/>
    <xf numFmtId="0" fontId="7007" fillId="0" borderId="7007" xfId="0" applyFont="1" applyBorder="1" applyAlignment="1"/>
    <xf numFmtId="0" fontId="7008" fillId="0" borderId="7008" xfId="0" applyFont="1" applyBorder="1" applyAlignment="1"/>
    <xf numFmtId="0" fontId="7009" fillId="0" borderId="7009" xfId="0" applyFont="1" applyBorder="1" applyAlignment="1"/>
    <xf numFmtId="0" fontId="7010" fillId="0" borderId="7010" xfId="0" applyFont="1" applyBorder="1" applyAlignment="1"/>
    <xf numFmtId="0" fontId="7011" fillId="0" borderId="7011" xfId="0" applyFont="1" applyBorder="1" applyAlignment="1"/>
    <xf numFmtId="0" fontId="7012" fillId="0" borderId="7012" xfId="0" applyFont="1" applyBorder="1" applyAlignment="1"/>
    <xf numFmtId="0" fontId="7013" fillId="0" borderId="7013" xfId="0" applyFont="1" applyBorder="1" applyAlignment="1"/>
    <xf numFmtId="0" fontId="7014" fillId="0" borderId="7014" xfId="0" applyFont="1" applyBorder="1" applyAlignment="1"/>
    <xf numFmtId="0" fontId="7015" fillId="0" borderId="7015" xfId="0" applyFont="1" applyBorder="1" applyAlignment="1"/>
    <xf numFmtId="0" fontId="7016" fillId="0" borderId="7016" xfId="0" applyFont="1" applyBorder="1" applyAlignment="1"/>
    <xf numFmtId="0" fontId="7017" fillId="0" borderId="7017" xfId="0" applyFont="1" applyBorder="1" applyAlignment="1"/>
    <xf numFmtId="0" fontId="7018" fillId="0" borderId="7018" xfId="0" applyFont="1" applyBorder="1" applyAlignment="1"/>
    <xf numFmtId="0" fontId="7019" fillId="0" borderId="7019" xfId="0" applyFont="1" applyBorder="1" applyAlignment="1"/>
    <xf numFmtId="0" fontId="7020" fillId="0" borderId="7020" xfId="0" applyFont="1" applyBorder="1" applyAlignment="1"/>
    <xf numFmtId="0" fontId="7021" fillId="0" borderId="7021" xfId="0" applyFont="1" applyBorder="1" applyAlignment="1"/>
    <xf numFmtId="0" fontId="7022" fillId="0" borderId="7022" xfId="0" applyFont="1" applyBorder="1" applyAlignment="1"/>
    <xf numFmtId="0" fontId="7023" fillId="0" borderId="7023" xfId="0" applyFont="1" applyBorder="1" applyAlignment="1"/>
    <xf numFmtId="0" fontId="7024" fillId="0" borderId="7024" xfId="0" applyFont="1" applyBorder="1" applyAlignment="1"/>
    <xf numFmtId="0" fontId="7025" fillId="0" borderId="7025" xfId="0" applyFont="1" applyBorder="1" applyAlignment="1"/>
    <xf numFmtId="0" fontId="7026" fillId="0" borderId="7026" xfId="0" applyFont="1" applyBorder="1" applyAlignment="1"/>
    <xf numFmtId="0" fontId="7027" fillId="0" borderId="7027" xfId="0" applyFont="1" applyBorder="1" applyAlignment="1"/>
    <xf numFmtId="0" fontId="7028" fillId="0" borderId="7028" xfId="0" applyFont="1" applyBorder="1" applyAlignment="1"/>
    <xf numFmtId="0" fontId="7029" fillId="0" borderId="7029" xfId="0" applyFont="1" applyBorder="1" applyAlignment="1"/>
    <xf numFmtId="0" fontId="7030" fillId="0" borderId="7030" xfId="0" applyFont="1" applyBorder="1" applyAlignment="1"/>
    <xf numFmtId="0" fontId="7031" fillId="0" borderId="7031" xfId="0" applyFont="1" applyBorder="1" applyAlignment="1"/>
    <xf numFmtId="0" fontId="7032" fillId="0" borderId="7032" xfId="0" applyFont="1" applyBorder="1" applyAlignment="1"/>
    <xf numFmtId="0" fontId="7033" fillId="0" borderId="7033" xfId="0" applyFont="1" applyBorder="1" applyAlignment="1"/>
    <xf numFmtId="0" fontId="7034" fillId="0" borderId="7034" xfId="0" applyFont="1" applyBorder="1" applyAlignment="1"/>
    <xf numFmtId="0" fontId="7035" fillId="0" borderId="7035" xfId="0" applyFont="1" applyBorder="1" applyAlignment="1"/>
    <xf numFmtId="0" fontId="7036" fillId="0" borderId="7036" xfId="0" applyFont="1" applyBorder="1" applyAlignment="1"/>
    <xf numFmtId="0" fontId="7037" fillId="0" borderId="7037" xfId="0" applyFont="1" applyBorder="1" applyAlignment="1"/>
    <xf numFmtId="0" fontId="7038" fillId="0" borderId="7038" xfId="0" applyFont="1" applyBorder="1" applyAlignment="1"/>
    <xf numFmtId="0" fontId="7039" fillId="0" borderId="7039" xfId="0" applyFont="1" applyBorder="1" applyAlignment="1"/>
    <xf numFmtId="0" fontId="7040" fillId="0" borderId="7040" xfId="0" applyFont="1" applyBorder="1" applyAlignment="1"/>
    <xf numFmtId="0" fontId="7041" fillId="0" borderId="7041" xfId="0" applyFont="1" applyBorder="1" applyAlignment="1"/>
    <xf numFmtId="0" fontId="7042" fillId="0" borderId="7042" xfId="0" applyFont="1" applyBorder="1" applyAlignment="1"/>
    <xf numFmtId="0" fontId="7043" fillId="0" borderId="7043" xfId="0" applyFont="1" applyBorder="1" applyAlignment="1"/>
    <xf numFmtId="0" fontId="7044" fillId="0" borderId="7044" xfId="0" applyFont="1" applyBorder="1" applyAlignment="1"/>
    <xf numFmtId="0" fontId="7045" fillId="0" borderId="7045" xfId="0" applyFont="1" applyBorder="1" applyAlignment="1"/>
    <xf numFmtId="0" fontId="7046" fillId="0" borderId="7046" xfId="0" applyFont="1" applyBorder="1" applyAlignment="1"/>
    <xf numFmtId="0" fontId="7047" fillId="0" borderId="7047" xfId="0" applyFont="1" applyBorder="1" applyAlignment="1"/>
    <xf numFmtId="0" fontId="7048" fillId="0" borderId="7048" xfId="0" applyFont="1" applyBorder="1" applyAlignment="1"/>
    <xf numFmtId="0" fontId="7049" fillId="0" borderId="7049" xfId="0" applyFont="1" applyBorder="1" applyAlignment="1"/>
    <xf numFmtId="0" fontId="7050" fillId="0" borderId="7050" xfId="0" applyFont="1" applyBorder="1" applyAlignment="1"/>
    <xf numFmtId="0" fontId="7051" fillId="0" borderId="7051" xfId="0" applyFont="1" applyBorder="1" applyAlignment="1"/>
    <xf numFmtId="0" fontId="7052" fillId="0" borderId="7052" xfId="0" applyFont="1" applyBorder="1" applyAlignment="1"/>
    <xf numFmtId="0" fontId="7053" fillId="0" borderId="7053" xfId="0" applyFont="1" applyBorder="1" applyAlignment="1"/>
    <xf numFmtId="0" fontId="7054" fillId="0" borderId="7054" xfId="0" applyFont="1" applyBorder="1" applyAlignment="1"/>
    <xf numFmtId="0" fontId="7055" fillId="0" borderId="7055" xfId="0" applyFont="1" applyBorder="1" applyAlignment="1"/>
    <xf numFmtId="0" fontId="7056" fillId="0" borderId="7056" xfId="0" applyFont="1" applyBorder="1" applyAlignment="1"/>
    <xf numFmtId="0" fontId="7057" fillId="0" borderId="7057" xfId="0" applyFont="1" applyBorder="1" applyAlignment="1"/>
    <xf numFmtId="0" fontId="7058" fillId="0" borderId="7058" xfId="0" applyFont="1" applyBorder="1" applyAlignment="1"/>
    <xf numFmtId="0" fontId="7059" fillId="0" borderId="7059" xfId="0" applyFont="1" applyBorder="1" applyAlignment="1"/>
    <xf numFmtId="0" fontId="7060" fillId="0" borderId="7060" xfId="0" applyFont="1" applyBorder="1" applyAlignment="1"/>
    <xf numFmtId="0" fontId="7061" fillId="0" borderId="7061" xfId="0" applyFont="1" applyBorder="1" applyAlignment="1"/>
    <xf numFmtId="0" fontId="7062" fillId="0" borderId="7062" xfId="0" applyFont="1" applyBorder="1" applyAlignment="1"/>
    <xf numFmtId="0" fontId="7063" fillId="0" borderId="7063" xfId="0" applyFont="1" applyBorder="1" applyAlignment="1"/>
    <xf numFmtId="0" fontId="7064" fillId="0" borderId="7064" xfId="0" applyFont="1" applyBorder="1" applyAlignment="1"/>
    <xf numFmtId="0" fontId="7065" fillId="0" borderId="7065" xfId="0" applyFont="1" applyBorder="1" applyAlignment="1"/>
    <xf numFmtId="0" fontId="7066" fillId="0" borderId="7066" xfId="0" applyFont="1" applyBorder="1" applyAlignment="1"/>
    <xf numFmtId="0" fontId="7067" fillId="0" borderId="7067" xfId="0" applyFont="1" applyBorder="1" applyAlignment="1"/>
    <xf numFmtId="0" fontId="7068" fillId="0" borderId="7068" xfId="0" applyFont="1" applyBorder="1" applyAlignment="1"/>
    <xf numFmtId="0" fontId="7069" fillId="0" borderId="7069" xfId="0" applyFont="1" applyBorder="1" applyAlignment="1"/>
    <xf numFmtId="0" fontId="7070" fillId="0" borderId="7070" xfId="0" applyFont="1" applyBorder="1" applyAlignment="1"/>
    <xf numFmtId="0" fontId="7071" fillId="0" borderId="7071" xfId="0" applyFont="1" applyBorder="1" applyAlignment="1"/>
    <xf numFmtId="0" fontId="7072" fillId="0" borderId="7072" xfId="0" applyFont="1" applyBorder="1" applyAlignment="1"/>
    <xf numFmtId="0" fontId="7073" fillId="0" borderId="7073" xfId="0" applyFont="1" applyBorder="1" applyAlignment="1"/>
    <xf numFmtId="0" fontId="7074" fillId="0" borderId="7074" xfId="0" applyFont="1" applyBorder="1" applyAlignment="1"/>
    <xf numFmtId="0" fontId="7075" fillId="0" borderId="7075" xfId="0" applyFont="1" applyBorder="1" applyAlignment="1"/>
    <xf numFmtId="0" fontId="7076" fillId="0" borderId="7076" xfId="0" applyFont="1" applyBorder="1" applyAlignment="1"/>
    <xf numFmtId="0" fontId="7077" fillId="0" borderId="7077" xfId="0" applyFont="1" applyBorder="1" applyAlignment="1"/>
    <xf numFmtId="0" fontId="7078" fillId="0" borderId="7078" xfId="0" applyFont="1" applyBorder="1" applyAlignment="1"/>
    <xf numFmtId="0" fontId="7079" fillId="0" borderId="7079" xfId="0" applyFont="1" applyBorder="1" applyAlignment="1"/>
    <xf numFmtId="0" fontId="7080" fillId="0" borderId="7080" xfId="0" applyFont="1" applyBorder="1" applyAlignment="1"/>
    <xf numFmtId="0" fontId="7081" fillId="0" borderId="7081" xfId="0" applyFont="1" applyBorder="1" applyAlignment="1"/>
    <xf numFmtId="0" fontId="7082" fillId="0" borderId="7082" xfId="0" applyFont="1" applyBorder="1" applyAlignment="1"/>
    <xf numFmtId="0" fontId="7083" fillId="0" borderId="7083" xfId="0" applyFont="1" applyBorder="1" applyAlignment="1"/>
    <xf numFmtId="0" fontId="7084" fillId="0" borderId="7084" xfId="0" applyFont="1" applyBorder="1" applyAlignment="1"/>
    <xf numFmtId="0" fontId="7085" fillId="0" borderId="7085" xfId="0" applyFont="1" applyBorder="1" applyAlignment="1"/>
    <xf numFmtId="0" fontId="7086" fillId="0" borderId="7086" xfId="0" applyFont="1" applyBorder="1" applyAlignment="1"/>
    <xf numFmtId="0" fontId="7087" fillId="0" borderId="7087" xfId="0" applyFont="1" applyBorder="1" applyAlignment="1"/>
    <xf numFmtId="0" fontId="7088" fillId="0" borderId="7088" xfId="0" applyFont="1" applyBorder="1" applyAlignment="1"/>
    <xf numFmtId="0" fontId="7089" fillId="0" borderId="7089" xfId="0" applyFont="1" applyBorder="1" applyAlignment="1"/>
    <xf numFmtId="0" fontId="7090" fillId="0" borderId="7090" xfId="0" applyFont="1" applyBorder="1" applyAlignment="1"/>
    <xf numFmtId="0" fontId="7091" fillId="0" borderId="7091" xfId="0" applyFont="1" applyBorder="1" applyAlignment="1"/>
    <xf numFmtId="0" fontId="7092" fillId="0" borderId="7092" xfId="0" applyFont="1" applyBorder="1" applyAlignment="1"/>
    <xf numFmtId="0" fontId="7093" fillId="0" borderId="7093" xfId="0" applyFont="1" applyBorder="1" applyAlignment="1"/>
    <xf numFmtId="0" fontId="7094" fillId="0" borderId="7094" xfId="0" applyFont="1" applyBorder="1" applyAlignment="1"/>
    <xf numFmtId="0" fontId="7095" fillId="0" borderId="7095" xfId="0" applyFont="1" applyBorder="1" applyAlignment="1"/>
    <xf numFmtId="0" fontId="7096" fillId="0" borderId="7096" xfId="0" applyFont="1" applyBorder="1" applyAlignment="1"/>
    <xf numFmtId="0" fontId="7097" fillId="0" borderId="7097" xfId="0" applyFont="1" applyBorder="1" applyAlignment="1"/>
    <xf numFmtId="0" fontId="7098" fillId="0" borderId="7098" xfId="0" applyFont="1" applyBorder="1" applyAlignment="1"/>
    <xf numFmtId="0" fontId="7099" fillId="0" borderId="7099" xfId="0" applyFont="1" applyBorder="1" applyAlignment="1"/>
    <xf numFmtId="0" fontId="7100" fillId="0" borderId="7100" xfId="0" applyFont="1" applyBorder="1" applyAlignment="1"/>
    <xf numFmtId="0" fontId="7101" fillId="0" borderId="7101" xfId="0" applyFont="1" applyBorder="1" applyAlignment="1"/>
    <xf numFmtId="0" fontId="7102" fillId="0" borderId="7102" xfId="0" applyFont="1" applyBorder="1" applyAlignment="1"/>
    <xf numFmtId="0" fontId="7103" fillId="0" borderId="7103" xfId="0" applyFont="1" applyBorder="1" applyAlignment="1"/>
    <xf numFmtId="0" fontId="7104" fillId="0" borderId="7104" xfId="0" applyFont="1" applyBorder="1" applyAlignment="1"/>
    <xf numFmtId="0" fontId="7105" fillId="0" borderId="7105" xfId="0" applyFont="1" applyBorder="1" applyAlignment="1"/>
    <xf numFmtId="0" fontId="7106" fillId="0" borderId="7106" xfId="0" applyFont="1" applyBorder="1" applyAlignment="1"/>
    <xf numFmtId="0" fontId="7107" fillId="0" borderId="7107" xfId="0" applyFont="1" applyBorder="1" applyAlignment="1"/>
    <xf numFmtId="0" fontId="7108" fillId="0" borderId="7108" xfId="0" applyFont="1" applyBorder="1" applyAlignment="1"/>
    <xf numFmtId="0" fontId="7109" fillId="0" borderId="7109" xfId="0" applyFont="1" applyBorder="1" applyAlignment="1"/>
    <xf numFmtId="0" fontId="7110" fillId="0" borderId="7110" xfId="0" applyFont="1" applyBorder="1" applyAlignment="1"/>
    <xf numFmtId="0" fontId="7111" fillId="0" borderId="7111" xfId="0" applyFont="1" applyBorder="1" applyAlignment="1"/>
    <xf numFmtId="0" fontId="7112" fillId="0" borderId="7112" xfId="0" applyFont="1" applyBorder="1" applyAlignment="1"/>
    <xf numFmtId="0" fontId="7113" fillId="0" borderId="7113" xfId="0" applyFont="1" applyBorder="1" applyAlignment="1"/>
    <xf numFmtId="0" fontId="7114" fillId="0" borderId="7114" xfId="0" applyFont="1" applyBorder="1" applyAlignment="1"/>
    <xf numFmtId="0" fontId="7115" fillId="0" borderId="7115" xfId="0" applyFont="1" applyBorder="1" applyAlignment="1"/>
    <xf numFmtId="0" fontId="7116" fillId="0" borderId="7116" xfId="0" applyFont="1" applyBorder="1" applyAlignment="1"/>
    <xf numFmtId="0" fontId="7117" fillId="0" borderId="7117" xfId="0" applyFont="1" applyBorder="1" applyAlignment="1"/>
    <xf numFmtId="0" fontId="7118" fillId="0" borderId="7118" xfId="0" applyFont="1" applyBorder="1" applyAlignment="1"/>
    <xf numFmtId="0" fontId="7119" fillId="0" borderId="7119" xfId="0" applyFont="1" applyBorder="1" applyAlignment="1"/>
    <xf numFmtId="0" fontId="7120" fillId="0" borderId="7120" xfId="0" applyFont="1" applyBorder="1" applyAlignment="1"/>
    <xf numFmtId="0" fontId="7121" fillId="0" borderId="7121" xfId="0" applyFont="1" applyBorder="1" applyAlignment="1"/>
    <xf numFmtId="0" fontId="7122" fillId="0" borderId="7122" xfId="0" applyFont="1" applyBorder="1" applyAlignment="1"/>
    <xf numFmtId="0" fontId="7123" fillId="0" borderId="7123" xfId="0" applyFont="1" applyBorder="1" applyAlignment="1"/>
    <xf numFmtId="0" fontId="7124" fillId="0" borderId="7124" xfId="0" applyFont="1" applyBorder="1" applyAlignment="1"/>
    <xf numFmtId="0" fontId="7125" fillId="0" borderId="7125" xfId="0" applyFont="1" applyBorder="1" applyAlignment="1"/>
    <xf numFmtId="0" fontId="7126" fillId="0" borderId="7126" xfId="0" applyFont="1" applyBorder="1" applyAlignment="1"/>
    <xf numFmtId="0" fontId="7127" fillId="0" borderId="7127" xfId="0" applyFont="1" applyBorder="1" applyAlignment="1"/>
    <xf numFmtId="0" fontId="7128" fillId="0" borderId="7128" xfId="0" applyFont="1" applyBorder="1" applyAlignment="1"/>
    <xf numFmtId="0" fontId="7129" fillId="0" borderId="7129" xfId="0" applyFont="1" applyBorder="1" applyAlignment="1"/>
    <xf numFmtId="0" fontId="7130" fillId="0" borderId="7130" xfId="0" applyFont="1" applyBorder="1" applyAlignment="1"/>
    <xf numFmtId="0" fontId="7131" fillId="0" borderId="7131" xfId="0" applyFont="1" applyBorder="1" applyAlignment="1"/>
    <xf numFmtId="0" fontId="7132" fillId="0" borderId="7132" xfId="0" applyFont="1" applyBorder="1" applyAlignment="1"/>
    <xf numFmtId="0" fontId="7133" fillId="0" borderId="7133" xfId="0" applyFont="1" applyBorder="1" applyAlignment="1"/>
    <xf numFmtId="0" fontId="7134" fillId="0" borderId="7134" xfId="0" applyFont="1" applyBorder="1" applyAlignment="1"/>
    <xf numFmtId="0" fontId="7135" fillId="0" borderId="7135" xfId="0" applyFont="1" applyBorder="1" applyAlignment="1"/>
    <xf numFmtId="0" fontId="7136" fillId="0" borderId="7136" xfId="0" applyFont="1" applyBorder="1" applyAlignment="1"/>
    <xf numFmtId="0" fontId="7137" fillId="0" borderId="7137" xfId="0" applyFont="1" applyBorder="1" applyAlignment="1"/>
    <xf numFmtId="0" fontId="7138" fillId="0" borderId="7138" xfId="0" applyFont="1" applyBorder="1" applyAlignment="1"/>
    <xf numFmtId="0" fontId="7139" fillId="0" borderId="7139" xfId="0" applyFont="1" applyBorder="1" applyAlignment="1"/>
    <xf numFmtId="0" fontId="7140" fillId="0" borderId="7140" xfId="0" applyFont="1" applyBorder="1" applyAlignment="1"/>
    <xf numFmtId="0" fontId="7141" fillId="0" borderId="7141" xfId="0" applyFont="1" applyBorder="1" applyAlignment="1"/>
    <xf numFmtId="0" fontId="7142" fillId="0" borderId="7142" xfId="0" applyFont="1" applyBorder="1" applyAlignment="1"/>
    <xf numFmtId="0" fontId="7143" fillId="0" borderId="7143" xfId="0" applyFont="1" applyBorder="1" applyAlignment="1"/>
    <xf numFmtId="0" fontId="7144" fillId="0" borderId="7144" xfId="0" applyFont="1" applyBorder="1" applyAlignment="1"/>
    <xf numFmtId="0" fontId="7145" fillId="0" borderId="7145" xfId="0" applyFont="1" applyBorder="1" applyAlignment="1"/>
    <xf numFmtId="0" fontId="7146" fillId="0" borderId="7146" xfId="0" applyFont="1" applyBorder="1" applyAlignment="1"/>
    <xf numFmtId="0" fontId="7147" fillId="0" borderId="7147" xfId="0" applyFont="1" applyBorder="1" applyAlignment="1"/>
    <xf numFmtId="0" fontId="7148" fillId="0" borderId="7148" xfId="0" applyFont="1" applyBorder="1" applyAlignment="1"/>
    <xf numFmtId="0" fontId="7149" fillId="0" borderId="7149" xfId="0" applyFont="1" applyBorder="1" applyAlignment="1"/>
    <xf numFmtId="0" fontId="7150" fillId="0" borderId="7150" xfId="0" applyFont="1" applyBorder="1" applyAlignment="1"/>
    <xf numFmtId="0" fontId="7151" fillId="0" borderId="7151" xfId="0" applyFont="1" applyBorder="1" applyAlignment="1"/>
    <xf numFmtId="0" fontId="7152" fillId="0" borderId="7152" xfId="0" applyFont="1" applyBorder="1" applyAlignment="1"/>
    <xf numFmtId="0" fontId="7153" fillId="0" borderId="7153" xfId="0" applyFont="1" applyBorder="1" applyAlignment="1"/>
    <xf numFmtId="0" fontId="7154" fillId="0" borderId="7154" xfId="0" applyFont="1" applyBorder="1" applyAlignment="1"/>
    <xf numFmtId="0" fontId="7155" fillId="0" borderId="7155" xfId="0" applyFont="1" applyBorder="1" applyAlignment="1"/>
    <xf numFmtId="0" fontId="7156" fillId="0" borderId="7156" xfId="0" applyFont="1" applyBorder="1" applyAlignment="1"/>
    <xf numFmtId="0" fontId="7157" fillId="0" borderId="7157" xfId="0" applyFont="1" applyBorder="1" applyAlignment="1"/>
    <xf numFmtId="0" fontId="7158" fillId="0" borderId="7158" xfId="0" applyFont="1" applyBorder="1" applyAlignment="1"/>
    <xf numFmtId="0" fontId="7159" fillId="0" borderId="7159" xfId="0" applyFont="1" applyBorder="1" applyAlignment="1"/>
    <xf numFmtId="0" fontId="7160" fillId="0" borderId="7160" xfId="0" applyFont="1" applyBorder="1" applyAlignment="1"/>
    <xf numFmtId="0" fontId="7161" fillId="0" borderId="7161" xfId="0" applyFont="1" applyBorder="1" applyAlignment="1"/>
    <xf numFmtId="0" fontId="7162" fillId="0" borderId="7162" xfId="0" applyFont="1" applyBorder="1" applyAlignment="1"/>
    <xf numFmtId="0" fontId="7163" fillId="0" borderId="7163" xfId="0" applyFont="1" applyBorder="1" applyAlignment="1"/>
    <xf numFmtId="0" fontId="7164" fillId="0" borderId="7164" xfId="0" applyFont="1" applyBorder="1" applyAlignment="1"/>
    <xf numFmtId="0" fontId="7165" fillId="0" borderId="7165" xfId="0" applyFont="1" applyBorder="1" applyAlignment="1"/>
    <xf numFmtId="0" fontId="7166" fillId="0" borderId="7166" xfId="0" applyFont="1" applyBorder="1" applyAlignment="1"/>
    <xf numFmtId="0" fontId="7167" fillId="0" borderId="7167" xfId="0" applyFont="1" applyBorder="1" applyAlignment="1"/>
    <xf numFmtId="0" fontId="7168" fillId="0" borderId="7168" xfId="0" applyFont="1" applyBorder="1" applyAlignment="1"/>
    <xf numFmtId="0" fontId="7169" fillId="0" borderId="7169" xfId="0" applyFont="1" applyBorder="1" applyAlignment="1"/>
    <xf numFmtId="0" fontId="7170" fillId="0" borderId="7170" xfId="0" applyFont="1" applyBorder="1" applyAlignment="1"/>
    <xf numFmtId="0" fontId="7171" fillId="0" borderId="7171" xfId="0" applyFont="1" applyBorder="1" applyAlignment="1"/>
    <xf numFmtId="0" fontId="7172" fillId="0" borderId="7172" xfId="0" applyFont="1" applyBorder="1" applyAlignment="1"/>
    <xf numFmtId="0" fontId="7173" fillId="0" borderId="7173" xfId="0" applyFont="1" applyBorder="1" applyAlignment="1"/>
    <xf numFmtId="0" fontId="7174" fillId="0" borderId="7174" xfId="0" applyFont="1" applyBorder="1" applyAlignment="1"/>
    <xf numFmtId="0" fontId="7175" fillId="0" borderId="7175" xfId="0" applyFont="1" applyBorder="1" applyAlignment="1"/>
    <xf numFmtId="0" fontId="7176" fillId="0" borderId="7176" xfId="0" applyFont="1" applyBorder="1" applyAlignment="1"/>
    <xf numFmtId="0" fontId="7177" fillId="0" borderId="7177" xfId="0" applyFont="1" applyBorder="1" applyAlignment="1"/>
    <xf numFmtId="0" fontId="7178" fillId="0" borderId="7178" xfId="0" applyFont="1" applyBorder="1" applyAlignment="1"/>
    <xf numFmtId="0" fontId="7179" fillId="0" borderId="7179" xfId="0" applyFont="1" applyBorder="1" applyAlignment="1"/>
    <xf numFmtId="0" fontId="7180" fillId="0" borderId="7180" xfId="0" applyFont="1" applyBorder="1" applyAlignment="1"/>
    <xf numFmtId="0" fontId="7181" fillId="0" borderId="7181" xfId="0" applyFont="1" applyBorder="1" applyAlignment="1"/>
    <xf numFmtId="0" fontId="7182" fillId="0" borderId="7182" xfId="0" applyFont="1" applyBorder="1" applyAlignment="1"/>
    <xf numFmtId="0" fontId="7183" fillId="0" borderId="7183" xfId="0" applyFont="1" applyBorder="1" applyAlignment="1"/>
    <xf numFmtId="0" fontId="7184" fillId="0" borderId="7184" xfId="0" applyFont="1" applyBorder="1" applyAlignment="1"/>
    <xf numFmtId="0" fontId="7185" fillId="0" borderId="7185" xfId="0" applyFont="1" applyBorder="1" applyAlignment="1"/>
    <xf numFmtId="0" fontId="7186" fillId="0" borderId="7186" xfId="0" applyFont="1" applyBorder="1" applyAlignment="1"/>
    <xf numFmtId="0" fontId="7187" fillId="0" borderId="7187" xfId="0" applyFont="1" applyBorder="1" applyAlignment="1"/>
    <xf numFmtId="0" fontId="7188" fillId="0" borderId="7188" xfId="0" applyFont="1" applyBorder="1" applyAlignment="1"/>
    <xf numFmtId="0" fontId="7189" fillId="0" borderId="7189" xfId="0" applyFont="1" applyBorder="1" applyAlignment="1"/>
    <xf numFmtId="0" fontId="7190" fillId="0" borderId="7190" xfId="0" applyFont="1" applyBorder="1" applyAlignment="1"/>
    <xf numFmtId="0" fontId="7191" fillId="0" borderId="7191" xfId="0" applyFont="1" applyBorder="1" applyAlignment="1"/>
    <xf numFmtId="0" fontId="7192" fillId="0" borderId="7192" xfId="0" applyFont="1" applyBorder="1" applyAlignment="1"/>
    <xf numFmtId="0" fontId="7193" fillId="0" borderId="7193" xfId="0" applyFont="1" applyBorder="1" applyAlignment="1"/>
    <xf numFmtId="0" fontId="7194" fillId="0" borderId="7194" xfId="0" applyFont="1" applyBorder="1" applyAlignment="1"/>
    <xf numFmtId="0" fontId="7195" fillId="0" borderId="7195" xfId="0" applyFont="1" applyBorder="1" applyAlignment="1"/>
    <xf numFmtId="0" fontId="7196" fillId="0" borderId="7196" xfId="0" applyFont="1" applyBorder="1" applyAlignment="1"/>
    <xf numFmtId="0" fontId="7197" fillId="0" borderId="7197" xfId="0" applyFont="1" applyBorder="1" applyAlignment="1"/>
    <xf numFmtId="0" fontId="7198" fillId="0" borderId="7198" xfId="0" applyFont="1" applyBorder="1" applyAlignment="1"/>
    <xf numFmtId="0" fontId="7199" fillId="0" borderId="7199" xfId="0" applyFont="1" applyBorder="1" applyAlignment="1"/>
    <xf numFmtId="0" fontId="7200" fillId="0" borderId="7200" xfId="0" applyFont="1" applyBorder="1" applyAlignment="1"/>
    <xf numFmtId="0" fontId="7201" fillId="0" borderId="7201" xfId="0" applyFont="1" applyBorder="1" applyAlignment="1"/>
    <xf numFmtId="0" fontId="7202" fillId="0" borderId="7202" xfId="0" applyFont="1" applyBorder="1" applyAlignment="1"/>
    <xf numFmtId="0" fontId="7203" fillId="0" borderId="7203" xfId="0" applyFont="1" applyBorder="1" applyAlignment="1"/>
    <xf numFmtId="0" fontId="7204" fillId="0" borderId="7204" xfId="0" applyFont="1" applyBorder="1" applyAlignment="1"/>
    <xf numFmtId="0" fontId="7205" fillId="0" borderId="7205" xfId="0" applyFont="1" applyBorder="1" applyAlignment="1"/>
    <xf numFmtId="0" fontId="7206" fillId="0" borderId="7206" xfId="0" applyFont="1" applyBorder="1" applyAlignment="1"/>
    <xf numFmtId="0" fontId="7207" fillId="0" borderId="7207" xfId="0" applyFont="1" applyBorder="1" applyAlignment="1"/>
    <xf numFmtId="0" fontId="7208" fillId="0" borderId="7208" xfId="0" applyFont="1" applyBorder="1" applyAlignment="1"/>
    <xf numFmtId="0" fontId="7209" fillId="0" borderId="7209" xfId="0" applyFont="1" applyBorder="1" applyAlignment="1"/>
    <xf numFmtId="0" fontId="7210" fillId="0" borderId="7210" xfId="0" applyFont="1" applyBorder="1" applyAlignment="1"/>
    <xf numFmtId="0" fontId="7211" fillId="0" borderId="7211" xfId="0" applyFont="1" applyBorder="1" applyAlignment="1"/>
    <xf numFmtId="0" fontId="7212" fillId="0" borderId="7212" xfId="0" applyFont="1" applyBorder="1" applyAlignment="1"/>
    <xf numFmtId="0" fontId="7213" fillId="0" borderId="7213" xfId="0" applyFont="1" applyBorder="1" applyAlignment="1"/>
    <xf numFmtId="0" fontId="7214" fillId="0" borderId="7214" xfId="0" applyFont="1" applyBorder="1" applyAlignment="1"/>
    <xf numFmtId="0" fontId="7215" fillId="0" borderId="7215" xfId="0" applyFont="1" applyBorder="1" applyAlignment="1"/>
    <xf numFmtId="0" fontId="7216" fillId="0" borderId="7216" xfId="0" applyFont="1" applyBorder="1" applyAlignment="1"/>
    <xf numFmtId="0" fontId="7217" fillId="0" borderId="7217" xfId="0" applyFont="1" applyBorder="1" applyAlignment="1"/>
    <xf numFmtId="0" fontId="7218" fillId="0" borderId="7218" xfId="0" applyFont="1" applyBorder="1" applyAlignment="1"/>
    <xf numFmtId="0" fontId="7219" fillId="0" borderId="7219" xfId="0" applyFont="1" applyBorder="1" applyAlignment="1"/>
    <xf numFmtId="0" fontId="7220" fillId="0" borderId="7220" xfId="0" applyFont="1" applyBorder="1" applyAlignment="1"/>
    <xf numFmtId="0" fontId="7221" fillId="0" borderId="7221" xfId="0" applyFont="1" applyBorder="1" applyAlignment="1"/>
    <xf numFmtId="0" fontId="7222" fillId="0" borderId="7222" xfId="0" applyFont="1" applyBorder="1" applyAlignment="1"/>
    <xf numFmtId="0" fontId="7223" fillId="0" borderId="7223" xfId="0" applyFont="1" applyBorder="1" applyAlignment="1"/>
    <xf numFmtId="0" fontId="7224" fillId="0" borderId="7224" xfId="0" applyFont="1" applyBorder="1" applyAlignment="1"/>
    <xf numFmtId="0" fontId="7225" fillId="0" borderId="7225" xfId="0" applyFont="1" applyBorder="1" applyAlignment="1"/>
    <xf numFmtId="0" fontId="7226" fillId="0" borderId="7226" xfId="0" applyFont="1" applyBorder="1" applyAlignment="1"/>
    <xf numFmtId="0" fontId="7227" fillId="0" borderId="7227" xfId="0" applyFont="1" applyBorder="1" applyAlignment="1"/>
    <xf numFmtId="0" fontId="7228" fillId="0" borderId="7228" xfId="0" applyFont="1" applyBorder="1" applyAlignment="1"/>
    <xf numFmtId="0" fontId="7229" fillId="0" borderId="7229" xfId="0" applyFont="1" applyBorder="1" applyAlignment="1"/>
    <xf numFmtId="0" fontId="7230" fillId="0" borderId="7230" xfId="0" applyFont="1" applyBorder="1" applyAlignment="1"/>
    <xf numFmtId="0" fontId="7231" fillId="0" borderId="7231" xfId="0" applyFont="1" applyBorder="1" applyAlignment="1"/>
    <xf numFmtId="0" fontId="7232" fillId="0" borderId="7232" xfId="0" applyFont="1" applyBorder="1" applyAlignment="1"/>
    <xf numFmtId="0" fontId="7233" fillId="0" borderId="7233" xfId="0" applyFont="1" applyBorder="1" applyAlignment="1"/>
    <xf numFmtId="0" fontId="7234" fillId="0" borderId="7234" xfId="0" applyFont="1" applyBorder="1" applyAlignment="1"/>
    <xf numFmtId="0" fontId="7235" fillId="0" borderId="7235" xfId="0" applyFont="1" applyBorder="1" applyAlignment="1"/>
    <xf numFmtId="0" fontId="7236" fillId="0" borderId="7236" xfId="0" applyFont="1" applyBorder="1" applyAlignment="1"/>
    <xf numFmtId="0" fontId="7237" fillId="0" borderId="7237" xfId="0" applyFont="1" applyBorder="1" applyAlignment="1"/>
    <xf numFmtId="0" fontId="7238" fillId="0" borderId="7238" xfId="0" applyFont="1" applyBorder="1" applyAlignment="1"/>
    <xf numFmtId="0" fontId="7239" fillId="0" borderId="7239" xfId="0" applyFont="1" applyBorder="1" applyAlignment="1"/>
    <xf numFmtId="0" fontId="7240" fillId="0" borderId="7240" xfId="0" applyFont="1" applyBorder="1" applyAlignment="1"/>
    <xf numFmtId="0" fontId="7241" fillId="0" borderId="7241" xfId="0" applyFont="1" applyBorder="1" applyAlignment="1"/>
    <xf numFmtId="0" fontId="7242" fillId="0" borderId="7242" xfId="0" applyFont="1" applyBorder="1" applyAlignment="1"/>
    <xf numFmtId="0" fontId="7243" fillId="0" borderId="7243" xfId="0" applyFont="1" applyBorder="1" applyAlignment="1"/>
    <xf numFmtId="0" fontId="7244" fillId="0" borderId="7244" xfId="0" applyFont="1" applyBorder="1" applyAlignment="1"/>
    <xf numFmtId="0" fontId="7245" fillId="0" borderId="7245" xfId="0" applyFont="1" applyBorder="1" applyAlignment="1"/>
    <xf numFmtId="0" fontId="7246" fillId="0" borderId="7246" xfId="0" applyFont="1" applyBorder="1" applyAlignment="1"/>
    <xf numFmtId="0" fontId="7247" fillId="0" borderId="7247" xfId="0" applyFont="1" applyBorder="1" applyAlignment="1"/>
    <xf numFmtId="0" fontId="7248" fillId="0" borderId="7248" xfId="0" applyFont="1" applyBorder="1" applyAlignment="1"/>
    <xf numFmtId="0" fontId="7249" fillId="0" borderId="7249" xfId="0" applyFont="1" applyBorder="1" applyAlignment="1"/>
    <xf numFmtId="0" fontId="7250" fillId="0" borderId="7250" xfId="0" applyFont="1" applyBorder="1" applyAlignment="1"/>
    <xf numFmtId="0" fontId="7251" fillId="0" borderId="7251" xfId="0" applyFont="1" applyBorder="1" applyAlignment="1"/>
    <xf numFmtId="0" fontId="7252" fillId="0" borderId="7252" xfId="0" applyFont="1" applyBorder="1" applyAlignment="1"/>
    <xf numFmtId="0" fontId="7253" fillId="0" borderId="7253" xfId="0" applyFont="1" applyBorder="1" applyAlignment="1"/>
    <xf numFmtId="0" fontId="7254" fillId="0" borderId="7254" xfId="0" applyFont="1" applyBorder="1" applyAlignment="1"/>
    <xf numFmtId="0" fontId="7255" fillId="0" borderId="7255" xfId="0" applyFont="1" applyBorder="1" applyAlignment="1"/>
    <xf numFmtId="0" fontId="7256" fillId="0" borderId="7256" xfId="0" applyFont="1" applyBorder="1" applyAlignment="1"/>
    <xf numFmtId="0" fontId="7257" fillId="0" borderId="7257" xfId="0" applyFont="1" applyBorder="1" applyAlignment="1"/>
    <xf numFmtId="0" fontId="7258" fillId="0" borderId="7258" xfId="0" applyFont="1" applyBorder="1" applyAlignment="1"/>
    <xf numFmtId="0" fontId="7259" fillId="0" borderId="7259" xfId="0" applyFont="1" applyBorder="1" applyAlignment="1"/>
    <xf numFmtId="0" fontId="7260" fillId="0" borderId="7260" xfId="0" applyFont="1" applyBorder="1" applyAlignment="1"/>
    <xf numFmtId="0" fontId="7261" fillId="0" borderId="7261" xfId="0" applyFont="1" applyBorder="1" applyAlignment="1"/>
    <xf numFmtId="0" fontId="7262" fillId="0" borderId="7262" xfId="0" applyFont="1" applyBorder="1" applyAlignment="1"/>
    <xf numFmtId="0" fontId="7263" fillId="0" borderId="7263" xfId="0" applyFont="1" applyBorder="1" applyAlignment="1"/>
    <xf numFmtId="0" fontId="7264" fillId="0" borderId="7264" xfId="0" applyFont="1" applyBorder="1" applyAlignment="1"/>
    <xf numFmtId="0" fontId="7265" fillId="0" borderId="7265" xfId="0" applyFont="1" applyBorder="1" applyAlignment="1"/>
    <xf numFmtId="0" fontId="7266" fillId="0" borderId="7266" xfId="0" applyFont="1" applyBorder="1" applyAlignment="1"/>
    <xf numFmtId="0" fontId="7267" fillId="0" borderId="7267" xfId="0" applyFont="1" applyBorder="1" applyAlignment="1"/>
    <xf numFmtId="0" fontId="7268" fillId="0" borderId="7268" xfId="0" applyFont="1" applyBorder="1" applyAlignment="1"/>
    <xf numFmtId="0" fontId="7269" fillId="0" borderId="7269" xfId="0" applyFont="1" applyBorder="1" applyAlignment="1"/>
    <xf numFmtId="0" fontId="7270" fillId="0" borderId="7270" xfId="0" applyFont="1" applyBorder="1" applyAlignment="1"/>
    <xf numFmtId="0" fontId="7271" fillId="0" borderId="7271" xfId="0" applyFont="1" applyBorder="1" applyAlignment="1"/>
    <xf numFmtId="0" fontId="7272" fillId="0" borderId="7272" xfId="0" applyFont="1" applyBorder="1" applyAlignment="1"/>
    <xf numFmtId="0" fontId="7273" fillId="0" borderId="7273" xfId="0" applyFont="1" applyBorder="1" applyAlignment="1"/>
    <xf numFmtId="0" fontId="7274" fillId="0" borderId="7274" xfId="0" applyFont="1" applyBorder="1" applyAlignment="1"/>
    <xf numFmtId="0" fontId="7275" fillId="0" borderId="7275" xfId="0" applyFont="1" applyBorder="1" applyAlignment="1"/>
    <xf numFmtId="0" fontId="7276" fillId="0" borderId="7276" xfId="0" applyFont="1" applyBorder="1" applyAlignment="1"/>
    <xf numFmtId="0" fontId="7277" fillId="0" borderId="7277" xfId="0" applyFont="1" applyBorder="1" applyAlignment="1"/>
    <xf numFmtId="0" fontId="7278" fillId="0" borderId="7278" xfId="0" applyFont="1" applyBorder="1" applyAlignment="1"/>
    <xf numFmtId="0" fontId="7279" fillId="0" borderId="7279" xfId="0" applyFont="1" applyBorder="1" applyAlignment="1"/>
    <xf numFmtId="0" fontId="7280" fillId="0" borderId="7280" xfId="0" applyFont="1" applyBorder="1" applyAlignment="1"/>
    <xf numFmtId="0" fontId="7281" fillId="0" borderId="7281" xfId="0" applyFont="1" applyBorder="1" applyAlignment="1"/>
    <xf numFmtId="0" fontId="7282" fillId="0" borderId="7282" xfId="0" applyFont="1" applyBorder="1" applyAlignment="1"/>
    <xf numFmtId="0" fontId="7283" fillId="0" borderId="7283" xfId="0" applyFont="1" applyBorder="1" applyAlignment="1"/>
    <xf numFmtId="0" fontId="7284" fillId="0" borderId="7284" xfId="0" applyFont="1" applyBorder="1" applyAlignment="1"/>
    <xf numFmtId="0" fontId="7285" fillId="0" borderId="7285" xfId="0" applyFont="1" applyBorder="1" applyAlignment="1"/>
    <xf numFmtId="0" fontId="7286" fillId="0" borderId="7286" xfId="0" applyFont="1" applyBorder="1" applyAlignment="1"/>
    <xf numFmtId="0" fontId="7287" fillId="0" borderId="7287" xfId="0" applyFont="1" applyBorder="1" applyAlignment="1"/>
    <xf numFmtId="0" fontId="7288" fillId="0" borderId="7288" xfId="0" applyFont="1" applyBorder="1" applyAlignment="1"/>
    <xf numFmtId="0" fontId="7289" fillId="0" borderId="7289" xfId="0" applyFont="1" applyBorder="1" applyAlignment="1"/>
    <xf numFmtId="0" fontId="7290" fillId="0" borderId="7290" xfId="0" applyFont="1" applyBorder="1" applyAlignment="1"/>
    <xf numFmtId="0" fontId="7291" fillId="0" borderId="7291" xfId="0" applyFont="1" applyBorder="1" applyAlignment="1"/>
    <xf numFmtId="0" fontId="7292" fillId="0" borderId="7292" xfId="0" applyFont="1" applyBorder="1" applyAlignment="1"/>
    <xf numFmtId="0" fontId="7293" fillId="0" borderId="7293" xfId="0" applyFont="1" applyBorder="1" applyAlignment="1"/>
    <xf numFmtId="0" fontId="7294" fillId="0" borderId="7294" xfId="0" applyFont="1" applyBorder="1" applyAlignment="1"/>
    <xf numFmtId="0" fontId="7295" fillId="0" borderId="7295" xfId="0" applyFont="1" applyBorder="1" applyAlignment="1"/>
    <xf numFmtId="0" fontId="7296" fillId="0" borderId="7296" xfId="0" applyFont="1" applyBorder="1" applyAlignment="1"/>
    <xf numFmtId="0" fontId="7297" fillId="0" borderId="7297" xfId="0" applyFont="1" applyBorder="1" applyAlignment="1"/>
    <xf numFmtId="0" fontId="7298" fillId="0" borderId="7298" xfId="0" applyFont="1" applyBorder="1" applyAlignment="1"/>
    <xf numFmtId="0" fontId="7299" fillId="0" borderId="7299" xfId="0" applyFont="1" applyBorder="1" applyAlignment="1"/>
    <xf numFmtId="0" fontId="7300" fillId="0" borderId="7300" xfId="0" applyFont="1" applyBorder="1" applyAlignment="1"/>
    <xf numFmtId="0" fontId="7301" fillId="0" borderId="7301" xfId="0" applyFont="1" applyBorder="1" applyAlignment="1"/>
    <xf numFmtId="0" fontId="7302" fillId="0" borderId="7302" xfId="0" applyFont="1" applyBorder="1" applyAlignment="1"/>
    <xf numFmtId="0" fontId="7303" fillId="0" borderId="7303" xfId="0" applyFont="1" applyBorder="1" applyAlignment="1"/>
    <xf numFmtId="0" fontId="7304" fillId="0" borderId="7304" xfId="0" applyFont="1" applyBorder="1" applyAlignment="1"/>
    <xf numFmtId="0" fontId="7305" fillId="0" borderId="7305" xfId="0" applyFont="1" applyBorder="1" applyAlignment="1"/>
    <xf numFmtId="0" fontId="7306" fillId="0" borderId="7306" xfId="0" applyFont="1" applyBorder="1" applyAlignment="1"/>
    <xf numFmtId="0" fontId="7307" fillId="0" borderId="7307" xfId="0" applyFont="1" applyBorder="1" applyAlignment="1"/>
    <xf numFmtId="0" fontId="7308" fillId="0" borderId="7308" xfId="0" applyFont="1" applyBorder="1" applyAlignment="1"/>
    <xf numFmtId="0" fontId="7309" fillId="0" borderId="7309" xfId="0" applyFont="1" applyBorder="1" applyAlignment="1"/>
    <xf numFmtId="0" fontId="7310" fillId="0" borderId="7310" xfId="0" applyFont="1" applyBorder="1" applyAlignment="1"/>
    <xf numFmtId="0" fontId="7311" fillId="0" borderId="7311" xfId="0" applyFont="1" applyBorder="1" applyAlignment="1"/>
    <xf numFmtId="0" fontId="7312" fillId="0" borderId="7312" xfId="0" applyFont="1" applyBorder="1" applyAlignment="1"/>
    <xf numFmtId="0" fontId="7313" fillId="0" borderId="7313" xfId="0" applyFont="1" applyBorder="1" applyAlignment="1"/>
    <xf numFmtId="0" fontId="7314" fillId="0" borderId="7314" xfId="0" applyFont="1" applyBorder="1" applyAlignment="1"/>
    <xf numFmtId="0" fontId="7315" fillId="0" borderId="7315" xfId="0" applyFont="1" applyBorder="1" applyAlignment="1"/>
    <xf numFmtId="0" fontId="7316" fillId="0" borderId="7316" xfId="0" applyFont="1" applyBorder="1" applyAlignment="1"/>
    <xf numFmtId="0" fontId="7317" fillId="0" borderId="7317" xfId="0" applyFont="1" applyBorder="1" applyAlignment="1"/>
    <xf numFmtId="0" fontId="7318" fillId="0" borderId="7318" xfId="0" applyFont="1" applyBorder="1" applyAlignment="1"/>
    <xf numFmtId="0" fontId="7319" fillId="0" borderId="7319" xfId="0" applyFont="1" applyBorder="1" applyAlignment="1"/>
    <xf numFmtId="0" fontId="7320" fillId="0" borderId="7320" xfId="0" applyFont="1" applyBorder="1" applyAlignment="1"/>
    <xf numFmtId="0" fontId="7321" fillId="0" borderId="7321" xfId="0" applyFont="1" applyBorder="1" applyAlignment="1"/>
    <xf numFmtId="0" fontId="7322" fillId="0" borderId="7322" xfId="0" applyFont="1" applyBorder="1" applyAlignment="1"/>
    <xf numFmtId="0" fontId="7323" fillId="0" borderId="7323" xfId="0" applyFont="1" applyBorder="1" applyAlignment="1"/>
    <xf numFmtId="0" fontId="7324" fillId="0" borderId="7324" xfId="0" applyFont="1" applyBorder="1" applyAlignment="1"/>
    <xf numFmtId="0" fontId="7325" fillId="0" borderId="7325" xfId="0" applyFont="1" applyBorder="1" applyAlignment="1"/>
    <xf numFmtId="0" fontId="7326" fillId="0" borderId="7326" xfId="0" applyFont="1" applyBorder="1" applyAlignment="1"/>
    <xf numFmtId="0" fontId="7327" fillId="0" borderId="7327" xfId="0" applyFont="1" applyBorder="1" applyAlignment="1"/>
    <xf numFmtId="0" fontId="7328" fillId="0" borderId="7328" xfId="0" applyFont="1" applyBorder="1" applyAlignment="1"/>
    <xf numFmtId="0" fontId="7329" fillId="0" borderId="7329" xfId="0" applyFont="1" applyBorder="1" applyAlignment="1"/>
    <xf numFmtId="0" fontId="7330" fillId="0" borderId="7330" xfId="0" applyFont="1" applyBorder="1" applyAlignment="1"/>
    <xf numFmtId="0" fontId="7331" fillId="0" borderId="7331" xfId="0" applyFont="1" applyBorder="1" applyAlignment="1"/>
    <xf numFmtId="0" fontId="7332" fillId="0" borderId="7332" xfId="0" applyFont="1" applyBorder="1" applyAlignment="1"/>
    <xf numFmtId="0" fontId="7333" fillId="0" borderId="7333" xfId="0" applyFont="1" applyBorder="1" applyAlignment="1"/>
    <xf numFmtId="0" fontId="7334" fillId="0" borderId="7334" xfId="0" applyFont="1" applyBorder="1" applyAlignment="1"/>
    <xf numFmtId="0" fontId="7335" fillId="0" borderId="7335" xfId="0" applyFont="1" applyBorder="1" applyAlignment="1"/>
    <xf numFmtId="0" fontId="7336" fillId="0" borderId="7336" xfId="0" applyFont="1" applyBorder="1" applyAlignment="1"/>
    <xf numFmtId="0" fontId="7337" fillId="0" borderId="7337" xfId="0" applyFont="1" applyBorder="1" applyAlignment="1"/>
    <xf numFmtId="0" fontId="7338" fillId="0" borderId="7338" xfId="0" applyFont="1" applyBorder="1" applyAlignment="1"/>
    <xf numFmtId="0" fontId="7339" fillId="0" borderId="7339" xfId="0" applyFont="1" applyBorder="1" applyAlignment="1"/>
    <xf numFmtId="0" fontId="7340" fillId="0" borderId="7340" xfId="0" applyFont="1" applyBorder="1" applyAlignment="1"/>
    <xf numFmtId="0" fontId="7341" fillId="0" borderId="7341" xfId="0" applyFont="1" applyBorder="1" applyAlignment="1"/>
    <xf numFmtId="0" fontId="7342" fillId="0" borderId="7342" xfId="0" applyFont="1" applyBorder="1" applyAlignment="1"/>
    <xf numFmtId="0" fontId="7343" fillId="0" borderId="7343" xfId="0" applyFont="1" applyBorder="1" applyAlignment="1"/>
    <xf numFmtId="0" fontId="7344" fillId="0" borderId="7344" xfId="0" applyFont="1" applyBorder="1" applyAlignment="1"/>
    <xf numFmtId="0" fontId="7345" fillId="0" borderId="7345" xfId="0" applyFont="1" applyBorder="1" applyAlignment="1"/>
    <xf numFmtId="0" fontId="7346" fillId="0" borderId="7346" xfId="0" applyFont="1" applyBorder="1" applyAlignment="1"/>
    <xf numFmtId="0" fontId="7347" fillId="0" borderId="7347" xfId="0" applyFont="1" applyBorder="1" applyAlignment="1"/>
    <xf numFmtId="0" fontId="7348" fillId="0" borderId="7348" xfId="0" applyFont="1" applyBorder="1" applyAlignment="1"/>
    <xf numFmtId="0" fontId="7349" fillId="0" borderId="7349" xfId="0" applyFont="1" applyBorder="1" applyAlignment="1"/>
    <xf numFmtId="0" fontId="7350" fillId="0" borderId="7350" xfId="0" applyFont="1" applyBorder="1" applyAlignment="1"/>
    <xf numFmtId="0" fontId="7351" fillId="0" borderId="7351" xfId="0" applyFont="1" applyBorder="1" applyAlignment="1"/>
    <xf numFmtId="0" fontId="7352" fillId="0" borderId="7352" xfId="0" applyFont="1" applyBorder="1" applyAlignment="1"/>
    <xf numFmtId="0" fontId="7353" fillId="0" borderId="7353" xfId="0" applyFont="1" applyBorder="1" applyAlignment="1"/>
    <xf numFmtId="0" fontId="7354" fillId="0" borderId="7354" xfId="0" applyFont="1" applyBorder="1" applyAlignment="1"/>
    <xf numFmtId="0" fontId="7355" fillId="0" borderId="7355" xfId="0" applyFont="1" applyBorder="1" applyAlignment="1"/>
    <xf numFmtId="0" fontId="7356" fillId="0" borderId="7356" xfId="0" applyFont="1" applyBorder="1" applyAlignment="1"/>
    <xf numFmtId="0" fontId="7357" fillId="0" borderId="7357" xfId="0" applyFont="1" applyBorder="1" applyAlignment="1"/>
    <xf numFmtId="0" fontId="7358" fillId="0" borderId="7358" xfId="0" applyFont="1" applyBorder="1" applyAlignment="1"/>
    <xf numFmtId="0" fontId="7359" fillId="0" borderId="7359" xfId="0" applyFont="1" applyBorder="1" applyAlignment="1"/>
    <xf numFmtId="0" fontId="7360" fillId="0" borderId="7360" xfId="0" applyFont="1" applyBorder="1" applyAlignment="1"/>
    <xf numFmtId="0" fontId="7361" fillId="0" borderId="7361" xfId="0" applyFont="1" applyBorder="1" applyAlignment="1"/>
    <xf numFmtId="0" fontId="7362" fillId="0" borderId="7362" xfId="0" applyFont="1" applyBorder="1" applyAlignment="1"/>
    <xf numFmtId="0" fontId="7363" fillId="0" borderId="7363" xfId="0" applyFont="1" applyBorder="1" applyAlignment="1"/>
    <xf numFmtId="0" fontId="7364" fillId="0" borderId="7364" xfId="0" applyFont="1" applyBorder="1" applyAlignment="1"/>
    <xf numFmtId="0" fontId="7365" fillId="0" borderId="7365" xfId="0" applyFont="1" applyBorder="1" applyAlignment="1"/>
    <xf numFmtId="0" fontId="7366" fillId="0" borderId="7366" xfId="0" applyFont="1" applyBorder="1" applyAlignment="1"/>
    <xf numFmtId="0" fontId="7367" fillId="0" borderId="7367" xfId="0" applyFont="1" applyBorder="1" applyAlignment="1"/>
    <xf numFmtId="0" fontId="7368" fillId="0" borderId="7368" xfId="0" applyFont="1" applyBorder="1" applyAlignment="1"/>
    <xf numFmtId="0" fontId="7369" fillId="0" borderId="7369" xfId="0" applyFont="1" applyBorder="1" applyAlignment="1"/>
    <xf numFmtId="0" fontId="7370" fillId="0" borderId="7370" xfId="0" applyFont="1" applyBorder="1" applyAlignment="1"/>
    <xf numFmtId="0" fontId="7371" fillId="0" borderId="7371" xfId="0" applyFont="1" applyBorder="1" applyAlignment="1"/>
    <xf numFmtId="0" fontId="7372" fillId="0" borderId="7372" xfId="0" applyFont="1" applyBorder="1" applyAlignment="1"/>
    <xf numFmtId="0" fontId="7373" fillId="0" borderId="7373" xfId="0" applyFont="1" applyBorder="1" applyAlignment="1"/>
    <xf numFmtId="0" fontId="7374" fillId="0" borderId="7374" xfId="0" applyFont="1" applyBorder="1" applyAlignment="1"/>
    <xf numFmtId="0" fontId="7375" fillId="0" borderId="7375" xfId="0" applyFont="1" applyBorder="1" applyAlignment="1"/>
    <xf numFmtId="0" fontId="7376" fillId="0" borderId="7376" xfId="0" applyFont="1" applyBorder="1" applyAlignment="1"/>
    <xf numFmtId="0" fontId="7377" fillId="0" borderId="7377" xfId="0" applyFont="1" applyBorder="1" applyAlignment="1"/>
    <xf numFmtId="0" fontId="7378" fillId="0" borderId="7378" xfId="0" applyFont="1" applyBorder="1" applyAlignment="1"/>
    <xf numFmtId="0" fontId="7379" fillId="0" borderId="7379" xfId="0" applyFont="1" applyBorder="1" applyAlignment="1"/>
    <xf numFmtId="0" fontId="7380" fillId="0" borderId="7380" xfId="0" applyFont="1" applyBorder="1" applyAlignment="1"/>
    <xf numFmtId="0" fontId="7381" fillId="0" borderId="7381" xfId="0" applyFont="1" applyBorder="1" applyAlignment="1"/>
    <xf numFmtId="0" fontId="7382" fillId="0" borderId="7382" xfId="0" applyFont="1" applyBorder="1" applyAlignment="1"/>
    <xf numFmtId="0" fontId="7383" fillId="0" borderId="7383" xfId="0" applyFont="1" applyBorder="1" applyAlignment="1"/>
    <xf numFmtId="0" fontId="7384" fillId="0" borderId="7384" xfId="0" applyFont="1" applyBorder="1" applyAlignment="1"/>
    <xf numFmtId="0" fontId="7385" fillId="0" borderId="7385" xfId="0" applyFont="1" applyBorder="1" applyAlignment="1"/>
    <xf numFmtId="0" fontId="7386" fillId="0" borderId="7386" xfId="0" applyFont="1" applyBorder="1" applyAlignment="1"/>
    <xf numFmtId="0" fontId="7387" fillId="0" borderId="7387" xfId="0" applyFont="1" applyBorder="1" applyAlignment="1"/>
    <xf numFmtId="0" fontId="7388" fillId="0" borderId="7388" xfId="0" applyFont="1" applyBorder="1" applyAlignment="1"/>
    <xf numFmtId="0" fontId="7389" fillId="0" borderId="7389" xfId="0" applyFont="1" applyBorder="1" applyAlignment="1"/>
    <xf numFmtId="0" fontId="7390" fillId="0" borderId="7390" xfId="0" applyFont="1" applyBorder="1" applyAlignment="1"/>
    <xf numFmtId="0" fontId="7391" fillId="0" borderId="7391" xfId="0" applyFont="1" applyBorder="1" applyAlignment="1"/>
    <xf numFmtId="0" fontId="7392" fillId="0" borderId="7392" xfId="0" applyFont="1" applyBorder="1" applyAlignment="1"/>
    <xf numFmtId="0" fontId="7393" fillId="0" borderId="7393" xfId="0" applyFont="1" applyBorder="1" applyAlignment="1"/>
    <xf numFmtId="0" fontId="7394" fillId="0" borderId="7394" xfId="0" applyFont="1" applyBorder="1" applyAlignment="1"/>
    <xf numFmtId="0" fontId="7395" fillId="0" borderId="7395" xfId="0" applyFont="1" applyBorder="1" applyAlignment="1"/>
    <xf numFmtId="0" fontId="7396" fillId="0" borderId="7396" xfId="0" applyFont="1" applyBorder="1" applyAlignment="1"/>
    <xf numFmtId="0" fontId="7397" fillId="0" borderId="7397" xfId="0" applyFont="1" applyBorder="1" applyAlignment="1"/>
    <xf numFmtId="0" fontId="7398" fillId="0" borderId="7398" xfId="0" applyFont="1" applyBorder="1" applyAlignment="1"/>
    <xf numFmtId="0" fontId="7399" fillId="0" borderId="7399" xfId="0" applyFont="1" applyBorder="1" applyAlignment="1"/>
    <xf numFmtId="0" fontId="7400" fillId="0" borderId="7400" xfId="0" applyFont="1" applyBorder="1" applyAlignment="1"/>
    <xf numFmtId="0" fontId="7401" fillId="0" borderId="7401" xfId="0" applyFont="1" applyBorder="1" applyAlignment="1"/>
    <xf numFmtId="0" fontId="7402" fillId="0" borderId="7402" xfId="0" applyFont="1" applyBorder="1" applyAlignment="1"/>
    <xf numFmtId="0" fontId="7403" fillId="0" borderId="7403" xfId="0" applyFont="1" applyBorder="1" applyAlignment="1"/>
    <xf numFmtId="0" fontId="7404" fillId="0" borderId="7404" xfId="0" applyFont="1" applyBorder="1" applyAlignment="1"/>
    <xf numFmtId="0" fontId="7405" fillId="0" borderId="7405" xfId="0" applyFont="1" applyBorder="1" applyAlignment="1"/>
    <xf numFmtId="0" fontId="7406" fillId="0" borderId="7406" xfId="0" applyFont="1" applyBorder="1" applyAlignment="1"/>
    <xf numFmtId="0" fontId="7407" fillId="0" borderId="7407" xfId="0" applyFont="1" applyBorder="1" applyAlignment="1"/>
    <xf numFmtId="0" fontId="7408" fillId="0" borderId="7408" xfId="0" applyFont="1" applyBorder="1" applyAlignment="1"/>
    <xf numFmtId="0" fontId="7409" fillId="0" borderId="7409" xfId="0" applyFont="1" applyBorder="1" applyAlignment="1"/>
    <xf numFmtId="0" fontId="7410" fillId="0" borderId="7410" xfId="0" applyFont="1" applyBorder="1" applyAlignment="1"/>
    <xf numFmtId="0" fontId="7411" fillId="0" borderId="7411" xfId="0" applyFont="1" applyBorder="1" applyAlignment="1"/>
    <xf numFmtId="0" fontId="7412" fillId="0" borderId="7412" xfId="0" applyFont="1" applyBorder="1" applyAlignment="1"/>
    <xf numFmtId="0" fontId="7413" fillId="0" borderId="7413" xfId="0" applyFont="1" applyBorder="1" applyAlignment="1"/>
    <xf numFmtId="0" fontId="7414" fillId="0" borderId="7414" xfId="0" applyFont="1" applyBorder="1" applyAlignment="1"/>
    <xf numFmtId="0" fontId="7415" fillId="0" borderId="7415" xfId="0" applyFont="1" applyBorder="1" applyAlignment="1"/>
    <xf numFmtId="0" fontId="7416" fillId="0" borderId="7416" xfId="0" applyFont="1" applyBorder="1" applyAlignment="1"/>
    <xf numFmtId="0" fontId="7417" fillId="0" borderId="7417" xfId="0" applyFont="1" applyBorder="1" applyAlignment="1"/>
    <xf numFmtId="0" fontId="7418" fillId="0" borderId="7418" xfId="0" applyFont="1" applyBorder="1" applyAlignment="1"/>
    <xf numFmtId="0" fontId="7419" fillId="0" borderId="7419" xfId="0" applyFont="1" applyBorder="1" applyAlignment="1"/>
    <xf numFmtId="0" fontId="7420" fillId="0" borderId="7420" xfId="0" applyFont="1" applyBorder="1" applyAlignment="1"/>
    <xf numFmtId="0" fontId="7421" fillId="0" borderId="7421" xfId="0" applyFont="1" applyBorder="1" applyAlignment="1"/>
    <xf numFmtId="0" fontId="7422" fillId="0" borderId="7422" xfId="0" applyFont="1" applyBorder="1" applyAlignment="1"/>
    <xf numFmtId="0" fontId="7423" fillId="0" borderId="7423" xfId="0" applyFont="1" applyBorder="1" applyAlignment="1"/>
    <xf numFmtId="0" fontId="7424" fillId="0" borderId="7424" xfId="0" applyFont="1" applyBorder="1" applyAlignment="1"/>
    <xf numFmtId="0" fontId="7425" fillId="0" borderId="7425" xfId="0" applyFont="1" applyBorder="1" applyAlignment="1"/>
    <xf numFmtId="0" fontId="7426" fillId="0" borderId="7426" xfId="0" applyFont="1" applyBorder="1" applyAlignment="1"/>
    <xf numFmtId="0" fontId="7427" fillId="0" borderId="7427" xfId="0" applyFont="1" applyBorder="1" applyAlignment="1"/>
    <xf numFmtId="0" fontId="7428" fillId="0" borderId="7428" xfId="0" applyFont="1" applyBorder="1" applyAlignment="1"/>
    <xf numFmtId="0" fontId="7429" fillId="0" borderId="7429" xfId="0" applyFont="1" applyBorder="1" applyAlignment="1"/>
    <xf numFmtId="0" fontId="7430" fillId="0" borderId="7430" xfId="0" applyFont="1" applyBorder="1" applyAlignment="1"/>
    <xf numFmtId="0" fontId="7431" fillId="0" borderId="7431" xfId="0" applyFont="1" applyBorder="1" applyAlignment="1"/>
    <xf numFmtId="0" fontId="7432" fillId="0" borderId="7432" xfId="0" applyFont="1" applyBorder="1" applyAlignment="1"/>
    <xf numFmtId="0" fontId="7433" fillId="0" borderId="7433" xfId="0" applyFont="1" applyBorder="1" applyAlignment="1"/>
    <xf numFmtId="0" fontId="7434" fillId="0" borderId="7434" xfId="0" applyFont="1" applyBorder="1" applyAlignment="1"/>
    <xf numFmtId="0" fontId="7435" fillId="0" borderId="7435" xfId="0" applyFont="1" applyBorder="1" applyAlignment="1"/>
    <xf numFmtId="0" fontId="7436" fillId="0" borderId="7436" xfId="0" applyFont="1" applyBorder="1" applyAlignment="1"/>
    <xf numFmtId="0" fontId="7437" fillId="0" borderId="7437" xfId="0" applyFont="1" applyBorder="1" applyAlignment="1"/>
    <xf numFmtId="0" fontId="7438" fillId="0" borderId="7438" xfId="0" applyFont="1" applyBorder="1" applyAlignment="1"/>
    <xf numFmtId="0" fontId="7439" fillId="0" borderId="7439" xfId="0" applyFont="1" applyBorder="1" applyAlignment="1"/>
    <xf numFmtId="0" fontId="7440" fillId="0" borderId="7440" xfId="0" applyFont="1" applyBorder="1" applyAlignment="1"/>
    <xf numFmtId="0" fontId="7441" fillId="0" borderId="7441" xfId="0" applyFont="1" applyBorder="1" applyAlignment="1"/>
    <xf numFmtId="0" fontId="7442" fillId="0" borderId="7442" xfId="0" applyFont="1" applyBorder="1" applyAlignment="1"/>
    <xf numFmtId="0" fontId="7443" fillId="0" borderId="7443" xfId="0" applyFont="1" applyBorder="1" applyAlignment="1"/>
    <xf numFmtId="0" fontId="7444" fillId="0" borderId="7444" xfId="0" applyFont="1" applyBorder="1" applyAlignment="1"/>
    <xf numFmtId="0" fontId="7445" fillId="0" borderId="7445" xfId="0" applyFont="1" applyBorder="1" applyAlignment="1"/>
    <xf numFmtId="0" fontId="7446" fillId="0" borderId="7446" xfId="0" applyFont="1" applyBorder="1" applyAlignment="1"/>
    <xf numFmtId="0" fontId="7447" fillId="0" borderId="7447" xfId="0" applyFont="1" applyBorder="1" applyAlignment="1"/>
    <xf numFmtId="0" fontId="7448" fillId="0" borderId="7448" xfId="0" applyFont="1" applyBorder="1" applyAlignment="1"/>
    <xf numFmtId="0" fontId="7449" fillId="0" borderId="7449" xfId="0" applyFont="1" applyBorder="1" applyAlignment="1"/>
    <xf numFmtId="0" fontId="7450" fillId="0" borderId="7450" xfId="0" applyFont="1" applyBorder="1" applyAlignment="1"/>
    <xf numFmtId="0" fontId="7451" fillId="0" borderId="7451" xfId="0" applyFont="1" applyBorder="1" applyAlignment="1"/>
    <xf numFmtId="0" fontId="7452" fillId="0" borderId="7452" xfId="0" applyFont="1" applyBorder="1" applyAlignment="1"/>
    <xf numFmtId="0" fontId="7453" fillId="0" borderId="7453" xfId="0" applyFont="1" applyBorder="1" applyAlignment="1"/>
    <xf numFmtId="0" fontId="7454" fillId="0" borderId="7454" xfId="0" applyFont="1" applyBorder="1" applyAlignment="1"/>
    <xf numFmtId="0" fontId="7455" fillId="0" borderId="7455" xfId="0" applyFont="1" applyBorder="1" applyAlignment="1"/>
    <xf numFmtId="0" fontId="7456" fillId="0" borderId="7456" xfId="0" applyFont="1" applyBorder="1" applyAlignment="1"/>
    <xf numFmtId="0" fontId="7457" fillId="0" borderId="7457" xfId="0" applyFont="1" applyBorder="1" applyAlignment="1"/>
    <xf numFmtId="0" fontId="7458" fillId="0" borderId="7458" xfId="0" applyFont="1" applyBorder="1" applyAlignment="1"/>
    <xf numFmtId="0" fontId="7459" fillId="0" borderId="7459" xfId="0" applyFont="1" applyBorder="1" applyAlignment="1"/>
    <xf numFmtId="0" fontId="7460" fillId="0" borderId="7460" xfId="0" applyFont="1" applyBorder="1" applyAlignment="1"/>
    <xf numFmtId="0" fontId="7461" fillId="0" borderId="7461" xfId="0" applyFont="1" applyBorder="1" applyAlignment="1"/>
    <xf numFmtId="0" fontId="7462" fillId="0" borderId="7462" xfId="0" applyFont="1" applyBorder="1" applyAlignment="1"/>
    <xf numFmtId="0" fontId="7463" fillId="0" borderId="7463" xfId="0" applyFont="1" applyBorder="1" applyAlignment="1"/>
    <xf numFmtId="0" fontId="7464" fillId="0" borderId="7464" xfId="0" applyFont="1" applyBorder="1" applyAlignment="1"/>
    <xf numFmtId="0" fontId="7465" fillId="0" borderId="7465" xfId="0" applyFont="1" applyBorder="1" applyAlignment="1"/>
    <xf numFmtId="0" fontId="7466" fillId="0" borderId="7466" xfId="0" applyFont="1" applyBorder="1" applyAlignment="1"/>
    <xf numFmtId="0" fontId="7467" fillId="0" borderId="7467" xfId="0" applyFont="1" applyBorder="1" applyAlignment="1"/>
    <xf numFmtId="0" fontId="7468" fillId="0" borderId="7468" xfId="0" applyFont="1" applyBorder="1" applyAlignment="1"/>
    <xf numFmtId="0" fontId="7469" fillId="0" borderId="7469" xfId="0" applyFont="1" applyBorder="1" applyAlignment="1"/>
    <xf numFmtId="0" fontId="7470" fillId="0" borderId="7470" xfId="0" applyFont="1" applyBorder="1" applyAlignment="1"/>
    <xf numFmtId="0" fontId="7471" fillId="0" borderId="7471" xfId="0" applyFont="1" applyBorder="1" applyAlignment="1"/>
    <xf numFmtId="0" fontId="7472" fillId="0" borderId="7472" xfId="0" applyFont="1" applyBorder="1" applyAlignment="1"/>
    <xf numFmtId="0" fontId="7473" fillId="0" borderId="7473" xfId="0" applyFont="1" applyBorder="1" applyAlignment="1"/>
    <xf numFmtId="0" fontId="7474" fillId="0" borderId="7474" xfId="0" applyFont="1" applyBorder="1" applyAlignment="1"/>
    <xf numFmtId="0" fontId="7475" fillId="0" borderId="7475" xfId="0" applyFont="1" applyBorder="1" applyAlignment="1"/>
    <xf numFmtId="0" fontId="7476" fillId="0" borderId="7476" xfId="0" applyFont="1" applyBorder="1" applyAlignment="1"/>
    <xf numFmtId="0" fontId="7477" fillId="0" borderId="7477" xfId="0" applyFont="1" applyBorder="1" applyAlignment="1"/>
    <xf numFmtId="0" fontId="7478" fillId="0" borderId="7478" xfId="0" applyFont="1" applyBorder="1" applyAlignment="1"/>
    <xf numFmtId="0" fontId="7479" fillId="0" borderId="7479" xfId="0" applyFont="1" applyBorder="1" applyAlignment="1"/>
    <xf numFmtId="0" fontId="7480" fillId="0" borderId="7480" xfId="0" applyFont="1" applyBorder="1" applyAlignment="1"/>
    <xf numFmtId="0" fontId="7481" fillId="0" borderId="7481" xfId="0" applyFont="1" applyBorder="1" applyAlignment="1"/>
    <xf numFmtId="0" fontId="7482" fillId="0" borderId="7482" xfId="0" applyFont="1" applyBorder="1" applyAlignment="1"/>
    <xf numFmtId="0" fontId="7483" fillId="0" borderId="7483" xfId="0" applyFont="1" applyBorder="1" applyAlignment="1"/>
    <xf numFmtId="0" fontId="7484" fillId="0" borderId="7484" xfId="0" applyFont="1" applyBorder="1" applyAlignment="1"/>
    <xf numFmtId="0" fontId="7485" fillId="0" borderId="7485" xfId="0" applyFont="1" applyBorder="1" applyAlignment="1"/>
    <xf numFmtId="0" fontId="7486" fillId="0" borderId="7486" xfId="0" applyFont="1" applyBorder="1" applyAlignment="1"/>
    <xf numFmtId="0" fontId="7487" fillId="0" borderId="7487" xfId="0" applyFont="1" applyBorder="1" applyAlignment="1"/>
    <xf numFmtId="0" fontId="7488" fillId="0" borderId="7488" xfId="0" applyFont="1" applyBorder="1" applyAlignment="1"/>
    <xf numFmtId="0" fontId="7489" fillId="0" borderId="7489" xfId="0" applyFont="1" applyBorder="1" applyAlignment="1"/>
    <xf numFmtId="0" fontId="7490" fillId="0" borderId="7490" xfId="0" applyFont="1" applyBorder="1" applyAlignment="1"/>
    <xf numFmtId="0" fontId="7491" fillId="0" borderId="7491" xfId="0" applyFont="1" applyBorder="1" applyAlignment="1"/>
    <xf numFmtId="0" fontId="7492" fillId="0" borderId="7492" xfId="0" applyFont="1" applyBorder="1" applyAlignment="1"/>
    <xf numFmtId="0" fontId="7493" fillId="0" borderId="7493" xfId="0" applyFont="1" applyBorder="1" applyAlignment="1"/>
    <xf numFmtId="0" fontId="7494" fillId="0" borderId="7494" xfId="0" applyFont="1" applyBorder="1" applyAlignment="1"/>
    <xf numFmtId="0" fontId="7495" fillId="0" borderId="7495" xfId="0" applyFont="1" applyBorder="1" applyAlignment="1"/>
    <xf numFmtId="0" fontId="7496" fillId="0" borderId="7496" xfId="0" applyFont="1" applyBorder="1" applyAlignment="1"/>
    <xf numFmtId="0" fontId="7497" fillId="0" borderId="7497" xfId="0" applyFont="1" applyBorder="1" applyAlignment="1"/>
    <xf numFmtId="0" fontId="7498" fillId="0" borderId="7498" xfId="0" applyFont="1" applyBorder="1" applyAlignment="1"/>
    <xf numFmtId="0" fontId="7499" fillId="0" borderId="7499" xfId="0" applyFont="1" applyBorder="1" applyAlignment="1"/>
    <xf numFmtId="0" fontId="7500" fillId="0" borderId="7500" xfId="0" applyFont="1" applyBorder="1" applyAlignment="1"/>
    <xf numFmtId="0" fontId="7501" fillId="0" borderId="7501" xfId="0" applyFont="1" applyBorder="1" applyAlignment="1"/>
    <xf numFmtId="0" fontId="7502" fillId="0" borderId="7502" xfId="0" applyFont="1" applyBorder="1" applyAlignment="1"/>
    <xf numFmtId="0" fontId="7503" fillId="0" borderId="7503" xfId="0" applyFont="1" applyBorder="1" applyAlignment="1"/>
    <xf numFmtId="0" fontId="7504" fillId="0" borderId="7504" xfId="0" applyFont="1" applyBorder="1" applyAlignment="1"/>
    <xf numFmtId="0" fontId="7505" fillId="0" borderId="7505" xfId="0" applyFont="1" applyBorder="1" applyAlignment="1"/>
    <xf numFmtId="0" fontId="7506" fillId="0" borderId="7506" xfId="0" applyFont="1" applyBorder="1" applyAlignment="1"/>
    <xf numFmtId="0" fontId="7507" fillId="0" borderId="7507" xfId="0" applyFont="1" applyBorder="1" applyAlignment="1"/>
    <xf numFmtId="0" fontId="7508" fillId="0" borderId="7508" xfId="0" applyFont="1" applyBorder="1" applyAlignment="1"/>
    <xf numFmtId="0" fontId="7509" fillId="0" borderId="7509" xfId="0" applyFont="1" applyBorder="1" applyAlignment="1"/>
    <xf numFmtId="0" fontId="7510" fillId="0" borderId="7510" xfId="0" applyFont="1" applyBorder="1" applyAlignment="1"/>
    <xf numFmtId="0" fontId="7511" fillId="0" borderId="7511" xfId="0" applyFont="1" applyBorder="1" applyAlignment="1"/>
    <xf numFmtId="0" fontId="7512" fillId="0" borderId="7512" xfId="0" applyFont="1" applyBorder="1" applyAlignment="1"/>
    <xf numFmtId="0" fontId="7513" fillId="0" borderId="7513" xfId="0" applyFont="1" applyBorder="1" applyAlignment="1"/>
    <xf numFmtId="0" fontId="7514" fillId="0" borderId="7514" xfId="0" applyFont="1" applyBorder="1" applyAlignment="1"/>
    <xf numFmtId="0" fontId="7515" fillId="0" borderId="7515" xfId="0" applyFont="1" applyBorder="1" applyAlignment="1"/>
    <xf numFmtId="0" fontId="7516" fillId="0" borderId="7516" xfId="0" applyFont="1" applyBorder="1" applyAlignment="1"/>
    <xf numFmtId="0" fontId="7517" fillId="0" borderId="7517" xfId="0" applyFont="1" applyBorder="1" applyAlignment="1"/>
    <xf numFmtId="0" fontId="7518" fillId="0" borderId="7518" xfId="0" applyFont="1" applyBorder="1" applyAlignment="1"/>
    <xf numFmtId="0" fontId="7519" fillId="0" borderId="7519" xfId="0" applyFont="1" applyBorder="1" applyAlignment="1"/>
    <xf numFmtId="0" fontId="7520" fillId="0" borderId="7520" xfId="0" applyFont="1" applyBorder="1" applyAlignment="1"/>
    <xf numFmtId="0" fontId="7521" fillId="0" borderId="7521" xfId="0" applyFont="1" applyBorder="1" applyAlignment="1"/>
    <xf numFmtId="0" fontId="7522" fillId="0" borderId="7522" xfId="0" applyFont="1" applyBorder="1" applyAlignment="1"/>
    <xf numFmtId="0" fontId="7523" fillId="0" borderId="7523" xfId="0" applyFont="1" applyBorder="1" applyAlignment="1"/>
    <xf numFmtId="0" fontId="7524" fillId="0" borderId="7524" xfId="0" applyFont="1" applyBorder="1" applyAlignment="1"/>
    <xf numFmtId="0" fontId="7525" fillId="0" borderId="7525" xfId="0" applyFont="1" applyBorder="1" applyAlignment="1"/>
    <xf numFmtId="0" fontId="7526" fillId="0" borderId="7526" xfId="0" applyFont="1" applyBorder="1" applyAlignment="1"/>
    <xf numFmtId="0" fontId="7527" fillId="0" borderId="7527" xfId="0" applyFont="1" applyBorder="1" applyAlignment="1"/>
    <xf numFmtId="0" fontId="7528" fillId="0" borderId="7528" xfId="0" applyFont="1" applyBorder="1" applyAlignment="1"/>
    <xf numFmtId="0" fontId="7529" fillId="0" borderId="7529" xfId="0" applyFont="1" applyBorder="1" applyAlignment="1"/>
    <xf numFmtId="0" fontId="7530" fillId="0" borderId="7530" xfId="0" applyFont="1" applyBorder="1" applyAlignment="1"/>
    <xf numFmtId="0" fontId="7531" fillId="0" borderId="7531" xfId="0" applyFont="1" applyBorder="1" applyAlignment="1"/>
    <xf numFmtId="0" fontId="7532" fillId="0" borderId="7532" xfId="0" applyFont="1" applyBorder="1" applyAlignment="1"/>
    <xf numFmtId="0" fontId="7533" fillId="0" borderId="7533" xfId="0" applyFont="1" applyBorder="1" applyAlignment="1"/>
    <xf numFmtId="0" fontId="7534" fillId="0" borderId="7534" xfId="0" applyFont="1" applyBorder="1" applyAlignment="1"/>
    <xf numFmtId="0" fontId="7535" fillId="0" borderId="7535" xfId="0" applyFont="1" applyBorder="1" applyAlignment="1"/>
    <xf numFmtId="0" fontId="7536" fillId="0" borderId="7536" xfId="0" applyFont="1" applyBorder="1" applyAlignment="1"/>
    <xf numFmtId="0" fontId="7537" fillId="0" borderId="7537" xfId="0" applyFont="1" applyBorder="1" applyAlignment="1"/>
    <xf numFmtId="0" fontId="7538" fillId="0" borderId="7538" xfId="0" applyFont="1" applyBorder="1" applyAlignment="1"/>
    <xf numFmtId="0" fontId="7539" fillId="0" borderId="7539" xfId="0" applyFont="1" applyBorder="1" applyAlignment="1"/>
    <xf numFmtId="0" fontId="7540" fillId="0" borderId="7540" xfId="0" applyFont="1" applyBorder="1" applyAlignment="1"/>
    <xf numFmtId="0" fontId="7541" fillId="0" borderId="7541" xfId="0" applyFont="1" applyBorder="1" applyAlignment="1"/>
    <xf numFmtId="0" fontId="7542" fillId="0" borderId="7542" xfId="0" applyFont="1" applyBorder="1" applyAlignment="1"/>
    <xf numFmtId="0" fontId="7543" fillId="0" borderId="7543" xfId="0" applyFont="1" applyBorder="1" applyAlignment="1"/>
    <xf numFmtId="0" fontId="7544" fillId="0" borderId="7544" xfId="0" applyFont="1" applyBorder="1" applyAlignment="1"/>
    <xf numFmtId="0" fontId="7545" fillId="0" borderId="7545" xfId="0" applyFont="1" applyBorder="1" applyAlignment="1"/>
    <xf numFmtId="0" fontId="7546" fillId="0" borderId="7546" xfId="0" applyFont="1" applyBorder="1" applyAlignment="1"/>
    <xf numFmtId="0" fontId="7547" fillId="0" borderId="7547" xfId="0" applyFont="1" applyBorder="1" applyAlignment="1"/>
    <xf numFmtId="0" fontId="7548" fillId="0" borderId="7548" xfId="0" applyFont="1" applyBorder="1" applyAlignment="1"/>
    <xf numFmtId="0" fontId="7549" fillId="0" borderId="7549" xfId="0" applyFont="1" applyBorder="1" applyAlignment="1"/>
    <xf numFmtId="0" fontId="7550" fillId="0" borderId="7550" xfId="0" applyFont="1" applyBorder="1" applyAlignment="1"/>
    <xf numFmtId="0" fontId="7551" fillId="0" borderId="7551" xfId="0" applyFont="1" applyBorder="1" applyAlignment="1"/>
    <xf numFmtId="0" fontId="7552" fillId="0" borderId="7552" xfId="0" applyFont="1" applyBorder="1" applyAlignment="1"/>
    <xf numFmtId="0" fontId="7553" fillId="0" borderId="7553" xfId="0" applyFont="1" applyBorder="1" applyAlignment="1"/>
    <xf numFmtId="0" fontId="7554" fillId="0" borderId="7554" xfId="0" applyFont="1" applyBorder="1" applyAlignment="1"/>
    <xf numFmtId="0" fontId="7555" fillId="0" borderId="7555" xfId="0" applyFont="1" applyBorder="1" applyAlignment="1"/>
    <xf numFmtId="0" fontId="7556" fillId="0" borderId="7556" xfId="0" applyFont="1" applyBorder="1" applyAlignment="1"/>
    <xf numFmtId="0" fontId="7557" fillId="0" borderId="7557" xfId="0" applyFont="1" applyBorder="1" applyAlignment="1"/>
    <xf numFmtId="0" fontId="7558" fillId="0" borderId="7558" xfId="0" applyFont="1" applyBorder="1" applyAlignment="1"/>
    <xf numFmtId="0" fontId="7559" fillId="0" borderId="7559" xfId="0" applyFont="1" applyBorder="1" applyAlignment="1"/>
    <xf numFmtId="0" fontId="7560" fillId="0" borderId="7560" xfId="0" applyFont="1" applyBorder="1" applyAlignment="1"/>
    <xf numFmtId="0" fontId="7561" fillId="0" borderId="7561" xfId="0" applyFont="1" applyBorder="1" applyAlignment="1"/>
    <xf numFmtId="0" fontId="7562" fillId="0" borderId="7562" xfId="0" applyFont="1" applyBorder="1" applyAlignment="1"/>
    <xf numFmtId="0" fontId="7563" fillId="0" borderId="7563" xfId="0" applyFont="1" applyBorder="1" applyAlignment="1"/>
    <xf numFmtId="0" fontId="7564" fillId="0" borderId="7564" xfId="0" applyFont="1" applyBorder="1" applyAlignment="1"/>
    <xf numFmtId="0" fontId="7565" fillId="0" borderId="7565" xfId="0" applyFont="1" applyBorder="1" applyAlignment="1"/>
    <xf numFmtId="0" fontId="7566" fillId="0" borderId="7566" xfId="0" applyFont="1" applyBorder="1" applyAlignment="1"/>
    <xf numFmtId="0" fontId="7567" fillId="0" borderId="7567" xfId="0" applyFont="1" applyBorder="1" applyAlignment="1"/>
    <xf numFmtId="0" fontId="7568" fillId="0" borderId="7568" xfId="0" applyFont="1" applyBorder="1" applyAlignment="1"/>
    <xf numFmtId="0" fontId="7569" fillId="0" borderId="7569" xfId="0" applyFont="1" applyBorder="1" applyAlignment="1"/>
    <xf numFmtId="0" fontId="7570" fillId="0" borderId="7570" xfId="0" applyFont="1" applyBorder="1" applyAlignment="1"/>
    <xf numFmtId="0" fontId="7571" fillId="0" borderId="7571" xfId="0" applyFont="1" applyBorder="1" applyAlignment="1"/>
    <xf numFmtId="0" fontId="7572" fillId="0" borderId="7572" xfId="0" applyFont="1" applyBorder="1" applyAlignment="1"/>
    <xf numFmtId="0" fontId="7573" fillId="0" borderId="7573" xfId="0" applyFont="1" applyBorder="1" applyAlignment="1"/>
    <xf numFmtId="0" fontId="7574" fillId="0" borderId="7574" xfId="0" applyFont="1" applyBorder="1" applyAlignment="1"/>
    <xf numFmtId="0" fontId="7575" fillId="0" borderId="7575" xfId="0" applyFont="1" applyBorder="1" applyAlignment="1"/>
    <xf numFmtId="0" fontId="7576" fillId="0" borderId="7576" xfId="0" applyFont="1" applyBorder="1" applyAlignment="1"/>
    <xf numFmtId="0" fontId="7577" fillId="0" borderId="7577" xfId="0" applyFont="1" applyBorder="1" applyAlignment="1"/>
    <xf numFmtId="0" fontId="7578" fillId="0" borderId="7578" xfId="0" applyFont="1" applyBorder="1" applyAlignment="1"/>
    <xf numFmtId="0" fontId="7579" fillId="0" borderId="7579" xfId="0" applyFont="1" applyBorder="1" applyAlignment="1"/>
    <xf numFmtId="0" fontId="7580" fillId="0" borderId="7580" xfId="0" applyFont="1" applyBorder="1" applyAlignment="1"/>
    <xf numFmtId="0" fontId="7581" fillId="0" borderId="7581" xfId="0" applyFont="1" applyBorder="1" applyAlignment="1"/>
    <xf numFmtId="0" fontId="7582" fillId="0" borderId="7582" xfId="0" applyFont="1" applyBorder="1" applyAlignment="1"/>
    <xf numFmtId="0" fontId="7583" fillId="0" borderId="7583" xfId="0" applyFont="1" applyBorder="1" applyAlignment="1"/>
    <xf numFmtId="0" fontId="7584" fillId="0" borderId="7584" xfId="0" applyFont="1" applyBorder="1" applyAlignment="1"/>
    <xf numFmtId="0" fontId="7585" fillId="0" borderId="7585" xfId="0" applyFont="1" applyBorder="1" applyAlignment="1"/>
    <xf numFmtId="0" fontId="7586" fillId="0" borderId="7586" xfId="0" applyFont="1" applyBorder="1" applyAlignment="1"/>
    <xf numFmtId="0" fontId="7587" fillId="0" borderId="7587" xfId="0" applyFont="1" applyBorder="1" applyAlignment="1"/>
    <xf numFmtId="0" fontId="7588" fillId="0" borderId="7588" xfId="0" applyFont="1" applyBorder="1" applyAlignment="1"/>
    <xf numFmtId="0" fontId="7589" fillId="0" borderId="7589" xfId="0" applyFont="1" applyBorder="1" applyAlignment="1"/>
    <xf numFmtId="0" fontId="7590" fillId="0" borderId="7590" xfId="0" applyFont="1" applyBorder="1" applyAlignment="1"/>
    <xf numFmtId="0" fontId="7591" fillId="0" borderId="7591" xfId="0" applyFont="1" applyBorder="1" applyAlignment="1"/>
    <xf numFmtId="0" fontId="7592" fillId="0" borderId="7592" xfId="0" applyFont="1" applyBorder="1" applyAlignment="1"/>
    <xf numFmtId="0" fontId="7593" fillId="0" borderId="7593" xfId="0" applyFont="1" applyBorder="1" applyAlignment="1"/>
    <xf numFmtId="0" fontId="7594" fillId="0" borderId="7594" xfId="0" applyFont="1" applyBorder="1" applyAlignment="1"/>
    <xf numFmtId="0" fontId="7595" fillId="0" borderId="7595" xfId="0" applyFont="1" applyBorder="1" applyAlignment="1"/>
    <xf numFmtId="0" fontId="7596" fillId="0" borderId="7596" xfId="0" applyFont="1" applyBorder="1" applyAlignment="1"/>
    <xf numFmtId="0" fontId="7597" fillId="0" borderId="7597" xfId="0" applyFont="1" applyBorder="1" applyAlignment="1"/>
    <xf numFmtId="0" fontId="7598" fillId="0" borderId="7598" xfId="0" applyFont="1" applyBorder="1" applyAlignment="1"/>
    <xf numFmtId="0" fontId="7599" fillId="0" borderId="7599" xfId="0" applyFont="1" applyBorder="1" applyAlignment="1"/>
    <xf numFmtId="0" fontId="7600" fillId="0" borderId="7600" xfId="0" applyFont="1" applyBorder="1" applyAlignment="1"/>
    <xf numFmtId="0" fontId="7601" fillId="0" borderId="7601" xfId="0" applyFont="1" applyBorder="1" applyAlignment="1"/>
    <xf numFmtId="0" fontId="7602" fillId="0" borderId="7602" xfId="0" applyFont="1" applyBorder="1" applyAlignment="1"/>
    <xf numFmtId="0" fontId="7603" fillId="0" borderId="7603" xfId="0" applyFont="1" applyBorder="1" applyAlignment="1"/>
    <xf numFmtId="0" fontId="7604" fillId="0" borderId="7604" xfId="0" applyFont="1" applyBorder="1" applyAlignment="1"/>
    <xf numFmtId="0" fontId="7605" fillId="0" borderId="7605" xfId="0" applyFont="1" applyBorder="1" applyAlignment="1"/>
    <xf numFmtId="0" fontId="7606" fillId="0" borderId="7606" xfId="0" applyFont="1" applyBorder="1" applyAlignment="1"/>
    <xf numFmtId="0" fontId="7607" fillId="0" borderId="7607" xfId="0" applyFont="1" applyBorder="1" applyAlignment="1"/>
    <xf numFmtId="0" fontId="7608" fillId="0" borderId="7608" xfId="0" applyFont="1" applyBorder="1" applyAlignment="1"/>
    <xf numFmtId="0" fontId="7609" fillId="0" borderId="7609" xfId="0" applyFont="1" applyBorder="1" applyAlignment="1"/>
    <xf numFmtId="0" fontId="7610" fillId="0" borderId="7610" xfId="0" applyFont="1" applyBorder="1" applyAlignment="1"/>
    <xf numFmtId="0" fontId="7611" fillId="0" borderId="7611" xfId="0" applyFont="1" applyBorder="1" applyAlignment="1"/>
    <xf numFmtId="0" fontId="7612" fillId="0" borderId="7612" xfId="0" applyFont="1" applyBorder="1" applyAlignment="1"/>
    <xf numFmtId="0" fontId="7613" fillId="0" borderId="7613" xfId="0" applyFont="1" applyBorder="1" applyAlignment="1"/>
    <xf numFmtId="0" fontId="7614" fillId="0" borderId="7614" xfId="0" applyFont="1" applyBorder="1" applyAlignment="1"/>
    <xf numFmtId="0" fontId="7615" fillId="0" borderId="7615" xfId="0" applyFont="1" applyBorder="1" applyAlignment="1"/>
    <xf numFmtId="0" fontId="7616" fillId="0" borderId="7616" xfId="0" applyFont="1" applyBorder="1" applyAlignment="1"/>
    <xf numFmtId="0" fontId="7617" fillId="0" borderId="7617" xfId="0" applyFont="1" applyBorder="1" applyAlignment="1"/>
    <xf numFmtId="0" fontId="7618" fillId="0" borderId="7618" xfId="0" applyFont="1" applyBorder="1" applyAlignment="1"/>
    <xf numFmtId="0" fontId="7619" fillId="0" borderId="7619" xfId="0" applyFont="1" applyBorder="1" applyAlignment="1"/>
    <xf numFmtId="0" fontId="7620" fillId="0" borderId="7620" xfId="0" applyFont="1" applyBorder="1" applyAlignment="1"/>
    <xf numFmtId="0" fontId="7621" fillId="0" borderId="7621" xfId="0" applyFont="1" applyBorder="1" applyAlignment="1"/>
    <xf numFmtId="0" fontId="7622" fillId="0" borderId="7622" xfId="0" applyFont="1" applyBorder="1" applyAlignment="1"/>
    <xf numFmtId="0" fontId="7623" fillId="0" borderId="7623" xfId="0" applyFont="1" applyBorder="1" applyAlignment="1"/>
    <xf numFmtId="0" fontId="7624" fillId="0" borderId="7624" xfId="0" applyFont="1" applyBorder="1" applyAlignment="1"/>
    <xf numFmtId="0" fontId="7625" fillId="0" borderId="7625" xfId="0" applyFont="1" applyBorder="1" applyAlignment="1"/>
    <xf numFmtId="0" fontId="7626" fillId="0" borderId="7626" xfId="0" applyFont="1" applyBorder="1" applyAlignment="1"/>
    <xf numFmtId="0" fontId="7627" fillId="0" borderId="7627" xfId="0" applyFont="1" applyBorder="1" applyAlignment="1"/>
    <xf numFmtId="0" fontId="7628" fillId="0" borderId="7628" xfId="0" applyFont="1" applyBorder="1" applyAlignment="1"/>
    <xf numFmtId="0" fontId="7629" fillId="0" borderId="7629" xfId="0" applyFont="1" applyBorder="1" applyAlignment="1"/>
    <xf numFmtId="0" fontId="7630" fillId="0" borderId="7630" xfId="0" applyFont="1" applyBorder="1" applyAlignment="1"/>
    <xf numFmtId="0" fontId="7631" fillId="0" borderId="7631" xfId="0" applyFont="1" applyBorder="1" applyAlignment="1"/>
    <xf numFmtId="0" fontId="7632" fillId="0" borderId="7632" xfId="0" applyFont="1" applyBorder="1" applyAlignment="1"/>
    <xf numFmtId="0" fontId="7633" fillId="0" borderId="7633" xfId="0" applyFont="1" applyBorder="1" applyAlignment="1"/>
    <xf numFmtId="0" fontId="7634" fillId="0" borderId="7634" xfId="0" applyFont="1" applyBorder="1" applyAlignment="1"/>
    <xf numFmtId="0" fontId="7635" fillId="0" borderId="7635" xfId="0" applyFont="1" applyBorder="1" applyAlignment="1"/>
    <xf numFmtId="0" fontId="7636" fillId="0" borderId="7636" xfId="0" applyFont="1" applyBorder="1" applyAlignment="1"/>
    <xf numFmtId="0" fontId="7637" fillId="0" borderId="7637" xfId="0" applyFont="1" applyBorder="1" applyAlignment="1"/>
    <xf numFmtId="0" fontId="7638" fillId="0" borderId="7638" xfId="0" applyFont="1" applyBorder="1" applyAlignment="1"/>
    <xf numFmtId="0" fontId="7639" fillId="0" borderId="7639" xfId="0" applyFont="1" applyBorder="1" applyAlignment="1"/>
    <xf numFmtId="0" fontId="7640" fillId="0" borderId="7640" xfId="0" applyFont="1" applyBorder="1" applyAlignment="1"/>
    <xf numFmtId="0" fontId="7641" fillId="0" borderId="7641" xfId="0" applyFont="1" applyBorder="1" applyAlignment="1"/>
    <xf numFmtId="0" fontId="7642" fillId="0" borderId="7642" xfId="0" applyFont="1" applyBorder="1" applyAlignment="1"/>
    <xf numFmtId="0" fontId="7643" fillId="0" borderId="7643" xfId="0" applyFont="1" applyBorder="1" applyAlignment="1"/>
    <xf numFmtId="0" fontId="7644" fillId="0" borderId="7644" xfId="0" applyFont="1" applyBorder="1" applyAlignment="1"/>
    <xf numFmtId="0" fontId="7645" fillId="0" borderId="7645" xfId="0" applyFont="1" applyBorder="1" applyAlignment="1"/>
    <xf numFmtId="0" fontId="7646" fillId="0" borderId="7646" xfId="0" applyFont="1" applyBorder="1" applyAlignment="1"/>
    <xf numFmtId="0" fontId="7647" fillId="0" borderId="7647" xfId="0" applyFont="1" applyBorder="1" applyAlignment="1"/>
    <xf numFmtId="0" fontId="7648" fillId="0" borderId="7648" xfId="0" applyFont="1" applyBorder="1" applyAlignment="1"/>
    <xf numFmtId="0" fontId="7649" fillId="0" borderId="7649" xfId="0" applyFont="1" applyBorder="1" applyAlignment="1"/>
    <xf numFmtId="0" fontId="7650" fillId="0" borderId="7650" xfId="0" applyFont="1" applyBorder="1" applyAlignment="1"/>
    <xf numFmtId="0" fontId="7651" fillId="0" borderId="7651" xfId="0" applyFont="1" applyBorder="1" applyAlignment="1"/>
    <xf numFmtId="0" fontId="7652" fillId="0" borderId="7652" xfId="0" applyFont="1" applyBorder="1" applyAlignment="1"/>
    <xf numFmtId="0" fontId="7653" fillId="0" borderId="7653" xfId="0" applyFont="1" applyBorder="1" applyAlignment="1"/>
    <xf numFmtId="0" fontId="7654" fillId="0" borderId="7654" xfId="0" applyFont="1" applyBorder="1" applyAlignment="1"/>
    <xf numFmtId="0" fontId="7655" fillId="0" borderId="7655" xfId="0" applyFont="1" applyBorder="1" applyAlignment="1"/>
    <xf numFmtId="0" fontId="7656" fillId="0" borderId="7656" xfId="0" applyFont="1" applyBorder="1" applyAlignment="1"/>
    <xf numFmtId="0" fontId="7657" fillId="0" borderId="7657" xfId="0" applyFont="1" applyBorder="1" applyAlignment="1"/>
    <xf numFmtId="0" fontId="7658" fillId="0" borderId="7658" xfId="0" applyFont="1" applyBorder="1" applyAlignment="1"/>
    <xf numFmtId="0" fontId="7659" fillId="0" borderId="7659" xfId="0" applyFont="1" applyBorder="1" applyAlignment="1"/>
    <xf numFmtId="0" fontId="7660" fillId="0" borderId="7660" xfId="0" applyFont="1" applyBorder="1" applyAlignment="1"/>
    <xf numFmtId="0" fontId="7661" fillId="0" borderId="7661" xfId="0" applyFont="1" applyBorder="1" applyAlignment="1"/>
    <xf numFmtId="0" fontId="7662" fillId="0" borderId="7662" xfId="0" applyFont="1" applyBorder="1" applyAlignment="1"/>
    <xf numFmtId="0" fontId="7663" fillId="0" borderId="7663" xfId="0" applyFont="1" applyBorder="1" applyAlignment="1"/>
    <xf numFmtId="0" fontId="7664" fillId="0" borderId="7664" xfId="0" applyFont="1" applyBorder="1" applyAlignment="1"/>
    <xf numFmtId="0" fontId="7665" fillId="0" borderId="7665" xfId="0" applyFont="1" applyBorder="1" applyAlignment="1"/>
    <xf numFmtId="0" fontId="7666" fillId="0" borderId="7666" xfId="0" applyFont="1" applyBorder="1" applyAlignment="1"/>
    <xf numFmtId="0" fontId="7667" fillId="0" borderId="7667" xfId="0" applyFont="1" applyBorder="1" applyAlignment="1"/>
    <xf numFmtId="0" fontId="7668" fillId="0" borderId="7668" xfId="0" applyFont="1" applyBorder="1" applyAlignment="1"/>
    <xf numFmtId="0" fontId="7669" fillId="0" borderId="7669" xfId="0" applyFont="1" applyBorder="1" applyAlignment="1"/>
    <xf numFmtId="0" fontId="7670" fillId="0" borderId="7670" xfId="0" applyFont="1" applyBorder="1" applyAlignment="1"/>
    <xf numFmtId="0" fontId="7671" fillId="0" borderId="7671" xfId="0" applyFont="1" applyBorder="1" applyAlignment="1"/>
    <xf numFmtId="0" fontId="7672" fillId="0" borderId="7672" xfId="0" applyFont="1" applyBorder="1" applyAlignment="1"/>
    <xf numFmtId="0" fontId="7673" fillId="0" borderId="7673" xfId="0" applyFont="1" applyBorder="1" applyAlignment="1"/>
    <xf numFmtId="0" fontId="7674" fillId="0" borderId="7674" xfId="0" applyFont="1" applyBorder="1" applyAlignment="1"/>
    <xf numFmtId="0" fontId="7675" fillId="0" borderId="7675" xfId="0" applyFont="1" applyBorder="1" applyAlignment="1"/>
    <xf numFmtId="0" fontId="7676" fillId="0" borderId="7676" xfId="0" applyFont="1" applyBorder="1" applyAlignment="1"/>
    <xf numFmtId="0" fontId="7677" fillId="0" borderId="7677" xfId="0" applyFont="1" applyBorder="1" applyAlignment="1"/>
    <xf numFmtId="0" fontId="7678" fillId="0" borderId="7678" xfId="0" applyFont="1" applyBorder="1" applyAlignment="1"/>
    <xf numFmtId="0" fontId="7679" fillId="0" borderId="7679" xfId="0" applyFont="1" applyBorder="1" applyAlignment="1"/>
    <xf numFmtId="0" fontId="7680" fillId="0" borderId="7680" xfId="0" applyFont="1" applyBorder="1" applyAlignment="1"/>
    <xf numFmtId="0" fontId="7681" fillId="0" borderId="7681" xfId="0" applyFont="1" applyBorder="1" applyAlignment="1"/>
    <xf numFmtId="0" fontId="7682" fillId="0" borderId="7682" xfId="0" applyFont="1" applyBorder="1" applyAlignment="1"/>
    <xf numFmtId="0" fontId="7683" fillId="0" borderId="7683" xfId="0" applyFont="1" applyBorder="1" applyAlignment="1"/>
    <xf numFmtId="0" fontId="7684" fillId="0" borderId="7684" xfId="0" applyFont="1" applyBorder="1" applyAlignment="1"/>
    <xf numFmtId="0" fontId="7685" fillId="0" borderId="7685" xfId="0" applyFont="1" applyBorder="1" applyAlignment="1"/>
    <xf numFmtId="0" fontId="7686" fillId="0" borderId="7686" xfId="0" applyFont="1" applyBorder="1" applyAlignment="1"/>
    <xf numFmtId="0" fontId="7687" fillId="0" borderId="7687" xfId="0" applyFont="1" applyBorder="1" applyAlignment="1"/>
    <xf numFmtId="0" fontId="7688" fillId="0" borderId="7688" xfId="0" applyFont="1" applyBorder="1" applyAlignment="1"/>
    <xf numFmtId="0" fontId="7689" fillId="0" borderId="7689" xfId="0" applyFont="1" applyBorder="1" applyAlignment="1"/>
    <xf numFmtId="0" fontId="7690" fillId="0" borderId="7690" xfId="0" applyFont="1" applyBorder="1" applyAlignment="1"/>
    <xf numFmtId="0" fontId="7691" fillId="0" borderId="7691" xfId="0" applyFont="1" applyBorder="1" applyAlignment="1"/>
    <xf numFmtId="0" fontId="7692" fillId="0" borderId="7692" xfId="0" applyFont="1" applyBorder="1" applyAlignment="1"/>
    <xf numFmtId="0" fontId="7693" fillId="0" borderId="7693" xfId="0" applyFont="1" applyBorder="1" applyAlignment="1"/>
    <xf numFmtId="0" fontId="7694" fillId="0" borderId="7694" xfId="0" applyFont="1" applyBorder="1" applyAlignment="1"/>
    <xf numFmtId="0" fontId="7695" fillId="0" borderId="7695" xfId="0" applyFont="1" applyBorder="1" applyAlignment="1"/>
    <xf numFmtId="0" fontId="7696" fillId="0" borderId="7696" xfId="0" applyFont="1" applyBorder="1" applyAlignment="1"/>
    <xf numFmtId="0" fontId="7697" fillId="0" borderId="7697" xfId="0" applyFont="1" applyBorder="1" applyAlignment="1"/>
    <xf numFmtId="0" fontId="7698" fillId="0" borderId="7698" xfId="0" applyFont="1" applyBorder="1" applyAlignment="1"/>
    <xf numFmtId="0" fontId="7699" fillId="0" borderId="7699" xfId="0" applyFont="1" applyBorder="1" applyAlignment="1"/>
    <xf numFmtId="0" fontId="7700" fillId="0" borderId="7700" xfId="0" applyFont="1" applyBorder="1" applyAlignment="1"/>
    <xf numFmtId="0" fontId="7701" fillId="0" borderId="7701" xfId="0" applyFont="1" applyBorder="1" applyAlignment="1"/>
    <xf numFmtId="0" fontId="7702" fillId="0" borderId="7702" xfId="0" applyFont="1" applyBorder="1" applyAlignment="1"/>
    <xf numFmtId="0" fontId="7703" fillId="0" borderId="7703" xfId="0" applyFont="1" applyBorder="1" applyAlignment="1"/>
    <xf numFmtId="0" fontId="7704" fillId="0" borderId="7704" xfId="0" applyFont="1" applyBorder="1" applyAlignment="1"/>
    <xf numFmtId="0" fontId="7705" fillId="0" borderId="7705" xfId="0" applyFont="1" applyBorder="1" applyAlignment="1"/>
    <xf numFmtId="0" fontId="7706" fillId="0" borderId="7706" xfId="0" applyFont="1" applyBorder="1" applyAlignment="1"/>
    <xf numFmtId="0" fontId="7707" fillId="0" borderId="7707" xfId="0" applyFont="1" applyBorder="1" applyAlignment="1"/>
    <xf numFmtId="0" fontId="7708" fillId="0" borderId="7708" xfId="0" applyFont="1" applyBorder="1" applyAlignment="1"/>
    <xf numFmtId="0" fontId="7709" fillId="0" borderId="7709" xfId="0" applyFont="1" applyBorder="1" applyAlignment="1"/>
    <xf numFmtId="0" fontId="7710" fillId="0" borderId="7710" xfId="0" applyFont="1" applyBorder="1" applyAlignment="1"/>
    <xf numFmtId="0" fontId="7711" fillId="0" borderId="7711" xfId="0" applyFont="1" applyBorder="1" applyAlignment="1"/>
    <xf numFmtId="0" fontId="7712" fillId="0" borderId="7712" xfId="0" applyFont="1" applyBorder="1" applyAlignment="1"/>
    <xf numFmtId="0" fontId="7713" fillId="0" borderId="7713" xfId="0" applyFont="1" applyBorder="1" applyAlignment="1"/>
    <xf numFmtId="0" fontId="7714" fillId="0" borderId="7714" xfId="0" applyFont="1" applyBorder="1" applyAlignment="1"/>
    <xf numFmtId="0" fontId="7715" fillId="0" borderId="7715" xfId="0" applyFont="1" applyBorder="1" applyAlignment="1"/>
    <xf numFmtId="0" fontId="7716" fillId="0" borderId="7716" xfId="0" applyFont="1" applyBorder="1" applyAlignment="1"/>
    <xf numFmtId="0" fontId="7717" fillId="0" borderId="7717" xfId="0" applyFont="1" applyBorder="1" applyAlignment="1"/>
    <xf numFmtId="0" fontId="7718" fillId="0" borderId="7718" xfId="0" applyFont="1" applyBorder="1" applyAlignment="1"/>
    <xf numFmtId="0" fontId="7719" fillId="0" borderId="7719" xfId="0" applyFont="1" applyBorder="1" applyAlignment="1"/>
    <xf numFmtId="0" fontId="7720" fillId="0" borderId="7720" xfId="0" applyFont="1" applyBorder="1" applyAlignment="1"/>
    <xf numFmtId="0" fontId="7721" fillId="0" borderId="7721" xfId="0" applyFont="1" applyBorder="1" applyAlignment="1"/>
    <xf numFmtId="0" fontId="7722" fillId="0" borderId="7722" xfId="0" applyFont="1" applyBorder="1" applyAlignment="1"/>
    <xf numFmtId="0" fontId="7723" fillId="0" borderId="7723" xfId="0" applyFont="1" applyBorder="1" applyAlignment="1"/>
    <xf numFmtId="0" fontId="7724" fillId="0" borderId="7724" xfId="0" applyFont="1" applyBorder="1" applyAlignment="1"/>
    <xf numFmtId="0" fontId="7725" fillId="0" borderId="7725" xfId="0" applyFont="1" applyBorder="1" applyAlignment="1"/>
    <xf numFmtId="0" fontId="7726" fillId="0" borderId="7726" xfId="0" applyFont="1" applyBorder="1" applyAlignment="1"/>
    <xf numFmtId="0" fontId="7727" fillId="0" borderId="7727" xfId="0" applyFont="1" applyBorder="1" applyAlignment="1"/>
    <xf numFmtId="0" fontId="7728" fillId="0" borderId="7728" xfId="0" applyFont="1" applyBorder="1" applyAlignment="1"/>
    <xf numFmtId="0" fontId="7729" fillId="0" borderId="7729" xfId="0" applyFont="1" applyBorder="1" applyAlignment="1"/>
    <xf numFmtId="0" fontId="7730" fillId="0" borderId="7730" xfId="0" applyFont="1" applyBorder="1" applyAlignment="1"/>
    <xf numFmtId="0" fontId="7731" fillId="0" borderId="7731" xfId="0" applyFont="1" applyBorder="1" applyAlignment="1"/>
    <xf numFmtId="0" fontId="7732" fillId="0" borderId="7732" xfId="0" applyFont="1" applyBorder="1" applyAlignment="1"/>
    <xf numFmtId="0" fontId="7733" fillId="0" borderId="7733" xfId="0" applyFont="1" applyBorder="1" applyAlignment="1"/>
    <xf numFmtId="0" fontId="7734" fillId="0" borderId="7734" xfId="0" applyFont="1" applyBorder="1" applyAlignment="1"/>
    <xf numFmtId="0" fontId="7735" fillId="0" borderId="7735" xfId="0" applyFont="1" applyBorder="1" applyAlignment="1"/>
    <xf numFmtId="0" fontId="7736" fillId="0" borderId="7736" xfId="0" applyFont="1" applyBorder="1" applyAlignment="1"/>
    <xf numFmtId="0" fontId="7737" fillId="0" borderId="7737" xfId="0" applyFont="1" applyBorder="1" applyAlignment="1"/>
    <xf numFmtId="0" fontId="7738" fillId="0" borderId="7738" xfId="0" applyFont="1" applyBorder="1" applyAlignment="1"/>
    <xf numFmtId="0" fontId="7739" fillId="0" borderId="7739" xfId="0" applyFont="1" applyBorder="1" applyAlignment="1"/>
    <xf numFmtId="0" fontId="7740" fillId="0" borderId="7740" xfId="0" applyFont="1" applyBorder="1" applyAlignment="1"/>
    <xf numFmtId="0" fontId="7741" fillId="0" borderId="7741" xfId="0" applyFont="1" applyBorder="1" applyAlignment="1"/>
    <xf numFmtId="0" fontId="7742" fillId="0" borderId="7742" xfId="0" applyFont="1" applyBorder="1" applyAlignment="1"/>
    <xf numFmtId="0" fontId="7743" fillId="0" borderId="7743" xfId="0" applyFont="1" applyBorder="1" applyAlignment="1"/>
    <xf numFmtId="0" fontId="7744" fillId="0" borderId="7744" xfId="0" applyFont="1" applyBorder="1" applyAlignment="1"/>
    <xf numFmtId="0" fontId="7745" fillId="0" borderId="7745" xfId="0" applyFont="1" applyBorder="1" applyAlignment="1"/>
    <xf numFmtId="0" fontId="7746" fillId="0" borderId="7746" xfId="0" applyFont="1" applyBorder="1" applyAlignment="1"/>
    <xf numFmtId="0" fontId="7747" fillId="0" borderId="7747" xfId="0" applyFont="1" applyBorder="1" applyAlignment="1"/>
    <xf numFmtId="0" fontId="7748" fillId="0" borderId="7748" xfId="0" applyFont="1" applyBorder="1" applyAlignment="1"/>
    <xf numFmtId="0" fontId="7749" fillId="0" borderId="7749" xfId="0" applyFont="1" applyBorder="1" applyAlignment="1"/>
    <xf numFmtId="0" fontId="7750" fillId="0" borderId="7750" xfId="0" applyFont="1" applyBorder="1" applyAlignment="1"/>
    <xf numFmtId="0" fontId="7751" fillId="0" borderId="7751" xfId="0" applyFont="1" applyBorder="1" applyAlignment="1"/>
    <xf numFmtId="0" fontId="7752" fillId="0" borderId="7752" xfId="0" applyFont="1" applyBorder="1" applyAlignment="1"/>
    <xf numFmtId="0" fontId="7753" fillId="0" borderId="7753" xfId="0" applyFont="1" applyBorder="1" applyAlignment="1"/>
    <xf numFmtId="0" fontId="7754" fillId="0" borderId="7754" xfId="0" applyFont="1" applyBorder="1" applyAlignment="1"/>
    <xf numFmtId="0" fontId="7755" fillId="0" borderId="7755" xfId="0" applyFont="1" applyBorder="1" applyAlignment="1"/>
    <xf numFmtId="0" fontId="7756" fillId="0" borderId="7756" xfId="0" applyFont="1" applyBorder="1" applyAlignment="1"/>
    <xf numFmtId="0" fontId="7757" fillId="0" borderId="7757" xfId="0" applyFont="1" applyBorder="1" applyAlignment="1"/>
    <xf numFmtId="0" fontId="7758" fillId="0" borderId="7758" xfId="0" applyFont="1" applyBorder="1" applyAlignment="1"/>
    <xf numFmtId="0" fontId="7759" fillId="0" borderId="7759" xfId="0" applyFont="1" applyBorder="1" applyAlignment="1"/>
    <xf numFmtId="0" fontId="7760" fillId="0" borderId="7760" xfId="0" applyFont="1" applyBorder="1" applyAlignment="1"/>
    <xf numFmtId="0" fontId="7761" fillId="0" borderId="7761" xfId="0" applyFont="1" applyBorder="1" applyAlignment="1"/>
    <xf numFmtId="0" fontId="7762" fillId="0" borderId="7762" xfId="0" applyFont="1" applyBorder="1" applyAlignment="1"/>
    <xf numFmtId="0" fontId="7763" fillId="0" borderId="7763" xfId="0" applyFont="1" applyBorder="1" applyAlignment="1"/>
    <xf numFmtId="0" fontId="7764" fillId="0" borderId="7764" xfId="0" applyFont="1" applyBorder="1" applyAlignment="1"/>
    <xf numFmtId="0" fontId="7765" fillId="0" borderId="7765" xfId="0" applyFont="1" applyBorder="1" applyAlignment="1"/>
    <xf numFmtId="0" fontId="7766" fillId="0" borderId="7766" xfId="0" applyFont="1" applyBorder="1" applyAlignment="1"/>
    <xf numFmtId="0" fontId="7767" fillId="0" borderId="7767" xfId="0" applyFont="1" applyBorder="1" applyAlignment="1"/>
    <xf numFmtId="0" fontId="7768" fillId="0" borderId="7768" xfId="0" applyFont="1" applyBorder="1" applyAlignment="1"/>
    <xf numFmtId="0" fontId="7769" fillId="0" borderId="7769" xfId="0" applyFont="1" applyBorder="1" applyAlignment="1"/>
    <xf numFmtId="0" fontId="7770" fillId="0" borderId="7770" xfId="0" applyFont="1" applyBorder="1" applyAlignment="1"/>
    <xf numFmtId="0" fontId="7771" fillId="0" borderId="7771" xfId="0" applyFont="1" applyBorder="1" applyAlignment="1"/>
    <xf numFmtId="0" fontId="7772" fillId="0" borderId="7772" xfId="0" applyFont="1" applyBorder="1" applyAlignment="1"/>
    <xf numFmtId="0" fontId="7773" fillId="0" borderId="7773" xfId="0" applyFont="1" applyBorder="1" applyAlignment="1"/>
    <xf numFmtId="0" fontId="7774" fillId="0" borderId="7774" xfId="0" applyFont="1" applyBorder="1" applyAlignment="1"/>
    <xf numFmtId="0" fontId="7775" fillId="0" borderId="7775" xfId="0" applyFont="1" applyBorder="1" applyAlignment="1"/>
    <xf numFmtId="0" fontId="7776" fillId="0" borderId="7776" xfId="0" applyFont="1" applyBorder="1" applyAlignment="1"/>
    <xf numFmtId="0" fontId="7777" fillId="0" borderId="7777" xfId="0" applyFont="1" applyBorder="1" applyAlignment="1"/>
    <xf numFmtId="0" fontId="7778" fillId="0" borderId="7778" xfId="0" applyFont="1" applyBorder="1" applyAlignment="1"/>
    <xf numFmtId="0" fontId="7779" fillId="0" borderId="7779" xfId="0" applyFont="1" applyBorder="1" applyAlignment="1"/>
    <xf numFmtId="0" fontId="7780" fillId="0" borderId="7780" xfId="0" applyFont="1" applyBorder="1" applyAlignment="1"/>
    <xf numFmtId="0" fontId="7781" fillId="0" borderId="7781" xfId="0" applyFont="1" applyBorder="1" applyAlignment="1"/>
    <xf numFmtId="0" fontId="7782" fillId="0" borderId="7782" xfId="0" applyFont="1" applyBorder="1" applyAlignment="1"/>
    <xf numFmtId="0" fontId="7783" fillId="0" borderId="7783" xfId="0" applyFont="1" applyBorder="1" applyAlignment="1"/>
    <xf numFmtId="0" fontId="7784" fillId="0" borderId="7784" xfId="0" applyFont="1" applyBorder="1" applyAlignment="1"/>
    <xf numFmtId="0" fontId="7785" fillId="0" borderId="7785" xfId="0" applyFont="1" applyBorder="1" applyAlignment="1"/>
    <xf numFmtId="0" fontId="7786" fillId="0" borderId="7786" xfId="0" applyFont="1" applyBorder="1" applyAlignment="1"/>
    <xf numFmtId="0" fontId="7787" fillId="0" borderId="7787" xfId="0" applyFont="1" applyBorder="1" applyAlignment="1"/>
    <xf numFmtId="0" fontId="7788" fillId="0" borderId="7788" xfId="0" applyFont="1" applyBorder="1" applyAlignment="1"/>
    <xf numFmtId="0" fontId="7789" fillId="0" borderId="7789" xfId="0" applyFont="1" applyBorder="1" applyAlignment="1"/>
    <xf numFmtId="0" fontId="7790" fillId="0" borderId="7790" xfId="0" applyFont="1" applyBorder="1" applyAlignment="1"/>
    <xf numFmtId="0" fontId="7791" fillId="0" borderId="7791" xfId="0" applyFont="1" applyBorder="1" applyAlignment="1"/>
    <xf numFmtId="0" fontId="7792" fillId="0" borderId="7792" xfId="0" applyFont="1" applyBorder="1" applyAlignment="1"/>
    <xf numFmtId="0" fontId="7793" fillId="0" borderId="7793" xfId="0" applyFont="1" applyBorder="1" applyAlignment="1"/>
    <xf numFmtId="0" fontId="7794" fillId="0" borderId="7794" xfId="0" applyFont="1" applyBorder="1" applyAlignment="1"/>
    <xf numFmtId="0" fontId="7795" fillId="0" borderId="7795" xfId="0" applyFont="1" applyBorder="1" applyAlignment="1"/>
    <xf numFmtId="0" fontId="7796" fillId="0" borderId="7796" xfId="0" applyFont="1" applyBorder="1" applyAlignment="1"/>
    <xf numFmtId="0" fontId="7797" fillId="0" borderId="7797" xfId="0" applyFont="1" applyBorder="1" applyAlignment="1"/>
    <xf numFmtId="0" fontId="7798" fillId="0" borderId="7798" xfId="0" applyFont="1" applyBorder="1" applyAlignment="1"/>
    <xf numFmtId="0" fontId="7799" fillId="0" borderId="7799" xfId="0" applyFont="1" applyBorder="1" applyAlignment="1"/>
    <xf numFmtId="0" fontId="7800" fillId="0" borderId="7800" xfId="0" applyFont="1" applyBorder="1" applyAlignment="1"/>
    <xf numFmtId="0" fontId="7801" fillId="0" borderId="7801" xfId="0" applyFont="1" applyBorder="1" applyAlignment="1"/>
    <xf numFmtId="0" fontId="7802" fillId="0" borderId="7802" xfId="0" applyFont="1" applyBorder="1" applyAlignment="1"/>
    <xf numFmtId="0" fontId="7803" fillId="0" borderId="7803" xfId="0" applyFont="1" applyBorder="1" applyAlignment="1"/>
    <xf numFmtId="0" fontId="7804" fillId="0" borderId="7804" xfId="0" applyFont="1" applyBorder="1" applyAlignment="1"/>
    <xf numFmtId="0" fontId="7805" fillId="0" borderId="7805" xfId="0" applyFont="1" applyBorder="1" applyAlignment="1"/>
    <xf numFmtId="0" fontId="7806" fillId="0" borderId="7806" xfId="0" applyFont="1" applyBorder="1" applyAlignment="1"/>
    <xf numFmtId="0" fontId="7807" fillId="0" borderId="7807" xfId="0" applyFont="1" applyBorder="1" applyAlignment="1"/>
    <xf numFmtId="0" fontId="7808" fillId="0" borderId="7808" xfId="0" applyFont="1" applyBorder="1" applyAlignment="1"/>
    <xf numFmtId="0" fontId="7809" fillId="0" borderId="7809" xfId="0" applyFont="1" applyBorder="1" applyAlignment="1"/>
    <xf numFmtId="0" fontId="7810" fillId="0" borderId="7810" xfId="0" applyFont="1" applyBorder="1" applyAlignment="1"/>
    <xf numFmtId="0" fontId="7811" fillId="0" borderId="7811" xfId="0" applyFont="1" applyBorder="1" applyAlignment="1"/>
    <xf numFmtId="0" fontId="7812" fillId="0" borderId="7812" xfId="0" applyFont="1" applyBorder="1" applyAlignment="1"/>
    <xf numFmtId="0" fontId="7813" fillId="0" borderId="7813" xfId="0" applyFont="1" applyBorder="1" applyAlignment="1"/>
    <xf numFmtId="0" fontId="7814" fillId="0" borderId="7814" xfId="0" applyFont="1" applyBorder="1" applyAlignment="1"/>
    <xf numFmtId="0" fontId="7815" fillId="0" borderId="7815" xfId="0" applyFont="1" applyBorder="1" applyAlignment="1"/>
    <xf numFmtId="0" fontId="7816" fillId="0" borderId="7816" xfId="0" applyFont="1" applyBorder="1" applyAlignment="1"/>
    <xf numFmtId="0" fontId="7817" fillId="0" borderId="7817" xfId="0" applyFont="1" applyBorder="1" applyAlignment="1"/>
    <xf numFmtId="0" fontId="7818" fillId="0" borderId="7818" xfId="0" applyFont="1" applyBorder="1" applyAlignment="1"/>
    <xf numFmtId="0" fontId="7819" fillId="0" borderId="7819" xfId="0" applyFont="1" applyBorder="1" applyAlignment="1"/>
    <xf numFmtId="0" fontId="7820" fillId="0" borderId="7820" xfId="0" applyFont="1" applyBorder="1" applyAlignment="1"/>
    <xf numFmtId="0" fontId="7821" fillId="0" borderId="7821" xfId="0" applyFont="1" applyBorder="1" applyAlignment="1"/>
    <xf numFmtId="0" fontId="7822" fillId="0" borderId="7822" xfId="0" applyFont="1" applyBorder="1" applyAlignment="1"/>
    <xf numFmtId="0" fontId="7823" fillId="0" borderId="7823" xfId="0" applyFont="1" applyBorder="1" applyAlignment="1"/>
    <xf numFmtId="0" fontId="7824" fillId="0" borderId="7824" xfId="0" applyFont="1" applyBorder="1" applyAlignment="1"/>
    <xf numFmtId="0" fontId="7825" fillId="0" borderId="7825" xfId="0" applyFont="1" applyBorder="1" applyAlignment="1"/>
    <xf numFmtId="0" fontId="7826" fillId="0" borderId="7826" xfId="0" applyFont="1" applyBorder="1" applyAlignment="1"/>
    <xf numFmtId="0" fontId="7827" fillId="0" borderId="7827" xfId="0" applyFont="1" applyBorder="1" applyAlignment="1"/>
    <xf numFmtId="0" fontId="7828" fillId="0" borderId="7828" xfId="0" applyFont="1" applyBorder="1" applyAlignment="1"/>
    <xf numFmtId="0" fontId="7829" fillId="0" borderId="7829" xfId="0" applyFont="1" applyBorder="1" applyAlignment="1"/>
    <xf numFmtId="0" fontId="7830" fillId="0" borderId="7830" xfId="0" applyFont="1" applyBorder="1" applyAlignment="1"/>
    <xf numFmtId="0" fontId="7831" fillId="0" borderId="7831" xfId="0" applyFont="1" applyBorder="1" applyAlignment="1"/>
    <xf numFmtId="0" fontId="7832" fillId="0" borderId="7832" xfId="0" applyFont="1" applyBorder="1" applyAlignment="1"/>
    <xf numFmtId="0" fontId="7833" fillId="0" borderId="7833" xfId="0" applyFont="1" applyBorder="1" applyAlignment="1"/>
    <xf numFmtId="0" fontId="7834" fillId="0" borderId="7834" xfId="0" applyFont="1" applyBorder="1" applyAlignment="1"/>
    <xf numFmtId="0" fontId="7835" fillId="0" borderId="7835" xfId="0" applyFont="1" applyBorder="1" applyAlignment="1"/>
    <xf numFmtId="0" fontId="7836" fillId="0" borderId="7836" xfId="0" applyFont="1" applyBorder="1" applyAlignment="1"/>
    <xf numFmtId="0" fontId="7837" fillId="0" borderId="7837" xfId="0" applyFont="1" applyBorder="1" applyAlignment="1"/>
    <xf numFmtId="0" fontId="7838" fillId="0" borderId="7838" xfId="0" applyFont="1" applyBorder="1" applyAlignment="1"/>
    <xf numFmtId="0" fontId="7839" fillId="0" borderId="7839" xfId="0" applyFont="1" applyBorder="1" applyAlignment="1"/>
    <xf numFmtId="0" fontId="7840" fillId="0" borderId="7840" xfId="0" applyFont="1" applyBorder="1" applyAlignment="1"/>
    <xf numFmtId="0" fontId="7841" fillId="0" borderId="7841" xfId="0" applyFont="1" applyBorder="1" applyAlignment="1"/>
    <xf numFmtId="0" fontId="7842" fillId="0" borderId="7842" xfId="0" applyFont="1" applyBorder="1" applyAlignment="1"/>
    <xf numFmtId="0" fontId="7843" fillId="0" borderId="7843" xfId="0" applyFont="1" applyBorder="1" applyAlignment="1"/>
    <xf numFmtId="0" fontId="7844" fillId="0" borderId="7844" xfId="0" applyFont="1" applyBorder="1" applyAlignment="1"/>
    <xf numFmtId="0" fontId="7845" fillId="0" borderId="7845" xfId="0" applyFont="1" applyBorder="1" applyAlignment="1"/>
    <xf numFmtId="0" fontId="7846" fillId="0" borderId="7846" xfId="0" applyFont="1" applyBorder="1" applyAlignment="1"/>
    <xf numFmtId="0" fontId="7847" fillId="0" borderId="7847" xfId="0" applyFont="1" applyBorder="1" applyAlignment="1"/>
    <xf numFmtId="0" fontId="7848" fillId="0" borderId="7848" xfId="0" applyFont="1" applyBorder="1" applyAlignment="1"/>
    <xf numFmtId="0" fontId="7849" fillId="0" borderId="7849" xfId="0" applyFont="1" applyBorder="1" applyAlignment="1"/>
    <xf numFmtId="0" fontId="7850" fillId="0" borderId="7850" xfId="0" applyFont="1" applyBorder="1" applyAlignment="1"/>
    <xf numFmtId="0" fontId="7851" fillId="0" borderId="7851" xfId="0" applyFont="1" applyBorder="1" applyAlignment="1"/>
    <xf numFmtId="0" fontId="7852" fillId="0" borderId="7852" xfId="0" applyFont="1" applyBorder="1" applyAlignment="1"/>
    <xf numFmtId="0" fontId="7853" fillId="0" borderId="7853" xfId="0" applyFont="1" applyBorder="1" applyAlignment="1"/>
    <xf numFmtId="0" fontId="7854" fillId="0" borderId="7854" xfId="0" applyFont="1" applyBorder="1" applyAlignment="1"/>
    <xf numFmtId="0" fontId="7855" fillId="0" borderId="7855" xfId="0" applyFont="1" applyBorder="1" applyAlignment="1"/>
    <xf numFmtId="0" fontId="7856" fillId="0" borderId="7856" xfId="0" applyFont="1" applyBorder="1" applyAlignment="1"/>
    <xf numFmtId="0" fontId="7857" fillId="0" borderId="7857" xfId="0" applyFont="1" applyBorder="1" applyAlignment="1"/>
    <xf numFmtId="0" fontId="7858" fillId="0" borderId="7858" xfId="0" applyFont="1" applyBorder="1" applyAlignment="1"/>
    <xf numFmtId="0" fontId="7859" fillId="0" borderId="7859" xfId="0" applyFont="1" applyBorder="1" applyAlignment="1"/>
    <xf numFmtId="0" fontId="7860" fillId="0" borderId="7860" xfId="0" applyFont="1" applyBorder="1" applyAlignment="1"/>
    <xf numFmtId="0" fontId="7861" fillId="0" borderId="7861" xfId="0" applyFont="1" applyBorder="1" applyAlignment="1"/>
    <xf numFmtId="0" fontId="7862" fillId="0" borderId="7862" xfId="0" applyFont="1" applyBorder="1" applyAlignment="1"/>
    <xf numFmtId="0" fontId="7863" fillId="0" borderId="7863" xfId="0" applyFont="1" applyBorder="1" applyAlignment="1"/>
    <xf numFmtId="0" fontId="7864" fillId="0" borderId="7864" xfId="0" applyFont="1" applyBorder="1" applyAlignment="1"/>
    <xf numFmtId="0" fontId="7865" fillId="0" borderId="7865" xfId="0" applyFont="1" applyBorder="1" applyAlignment="1"/>
    <xf numFmtId="0" fontId="7866" fillId="0" borderId="7866" xfId="0" applyFont="1" applyBorder="1" applyAlignment="1"/>
    <xf numFmtId="0" fontId="7867" fillId="0" borderId="7867" xfId="0" applyFont="1" applyBorder="1" applyAlignment="1"/>
    <xf numFmtId="0" fontId="7868" fillId="0" borderId="7868" xfId="0" applyFont="1" applyBorder="1" applyAlignment="1"/>
    <xf numFmtId="0" fontId="7869" fillId="0" borderId="7869" xfId="0" applyFont="1" applyBorder="1" applyAlignment="1"/>
    <xf numFmtId="0" fontId="7870" fillId="0" borderId="7870" xfId="0" applyFont="1" applyBorder="1" applyAlignment="1"/>
    <xf numFmtId="0" fontId="7871" fillId="0" borderId="7871" xfId="0" applyFont="1" applyBorder="1" applyAlignment="1"/>
    <xf numFmtId="0" fontId="7872" fillId="0" borderId="7872" xfId="0" applyFont="1" applyBorder="1" applyAlignment="1"/>
    <xf numFmtId="0" fontId="7873" fillId="0" borderId="7873" xfId="0" applyFont="1" applyBorder="1" applyAlignment="1"/>
    <xf numFmtId="0" fontId="7874" fillId="0" borderId="7874" xfId="0" applyFont="1" applyBorder="1" applyAlignment="1"/>
    <xf numFmtId="0" fontId="7875" fillId="0" borderId="7875" xfId="0" applyFont="1" applyBorder="1" applyAlignment="1"/>
    <xf numFmtId="0" fontId="7876" fillId="0" borderId="7876" xfId="0" applyFont="1" applyBorder="1" applyAlignment="1"/>
    <xf numFmtId="0" fontId="7877" fillId="0" borderId="7877" xfId="0" applyFont="1" applyBorder="1" applyAlignment="1"/>
    <xf numFmtId="0" fontId="7878" fillId="0" borderId="7878" xfId="0" applyFont="1" applyBorder="1" applyAlignment="1"/>
    <xf numFmtId="0" fontId="7879" fillId="0" borderId="7879" xfId="0" applyFont="1" applyBorder="1" applyAlignment="1"/>
    <xf numFmtId="0" fontId="7880" fillId="0" borderId="7880" xfId="0" applyFont="1" applyBorder="1" applyAlignment="1"/>
    <xf numFmtId="0" fontId="7881" fillId="0" borderId="7881" xfId="0" applyFont="1" applyBorder="1" applyAlignment="1"/>
    <xf numFmtId="0" fontId="7882" fillId="0" borderId="7882" xfId="0" applyFont="1" applyBorder="1" applyAlignment="1"/>
    <xf numFmtId="0" fontId="7883" fillId="0" borderId="7883" xfId="0" applyFont="1" applyBorder="1" applyAlignment="1"/>
    <xf numFmtId="0" fontId="7884" fillId="0" borderId="7884" xfId="0" applyFont="1" applyBorder="1" applyAlignment="1"/>
    <xf numFmtId="0" fontId="7885" fillId="0" borderId="7885" xfId="0" applyFont="1" applyBorder="1" applyAlignment="1"/>
    <xf numFmtId="0" fontId="7886" fillId="0" borderId="7886" xfId="0" applyFont="1" applyBorder="1" applyAlignment="1"/>
    <xf numFmtId="0" fontId="7887" fillId="0" borderId="7887" xfId="0" applyFont="1" applyBorder="1" applyAlignment="1"/>
    <xf numFmtId="0" fontId="7888" fillId="0" borderId="7888" xfId="0" applyFont="1" applyBorder="1" applyAlignment="1"/>
    <xf numFmtId="0" fontId="7889" fillId="0" borderId="7889" xfId="0" applyFont="1" applyBorder="1" applyAlignment="1"/>
    <xf numFmtId="0" fontId="7890" fillId="0" borderId="7890" xfId="0" applyFont="1" applyBorder="1" applyAlignment="1"/>
    <xf numFmtId="0" fontId="7891" fillId="0" borderId="7891" xfId="0" applyFont="1" applyBorder="1" applyAlignment="1"/>
    <xf numFmtId="0" fontId="7892" fillId="0" borderId="7892" xfId="0" applyFont="1" applyBorder="1" applyAlignment="1"/>
    <xf numFmtId="0" fontId="7893" fillId="0" borderId="7893" xfId="0" applyFont="1" applyBorder="1" applyAlignment="1"/>
    <xf numFmtId="0" fontId="7894" fillId="0" borderId="7894" xfId="0" applyFont="1" applyBorder="1" applyAlignment="1"/>
    <xf numFmtId="0" fontId="7895" fillId="0" borderId="7895" xfId="0" applyFont="1" applyBorder="1" applyAlignment="1"/>
    <xf numFmtId="0" fontId="7896" fillId="0" borderId="7896" xfId="0" applyFont="1" applyBorder="1" applyAlignment="1"/>
    <xf numFmtId="0" fontId="7897" fillId="0" borderId="7897" xfId="0" applyFont="1" applyBorder="1" applyAlignment="1"/>
    <xf numFmtId="0" fontId="7898" fillId="0" borderId="7898" xfId="0" applyFont="1" applyBorder="1" applyAlignment="1"/>
    <xf numFmtId="0" fontId="7899" fillId="0" borderId="7899" xfId="0" applyFont="1" applyBorder="1" applyAlignment="1"/>
    <xf numFmtId="0" fontId="7900" fillId="0" borderId="7900" xfId="0" applyFont="1" applyBorder="1" applyAlignment="1"/>
    <xf numFmtId="0" fontId="7901" fillId="0" borderId="7901" xfId="0" applyFont="1" applyBorder="1" applyAlignment="1"/>
    <xf numFmtId="0" fontId="7902" fillId="0" borderId="7902" xfId="0" applyFont="1" applyBorder="1" applyAlignment="1"/>
    <xf numFmtId="0" fontId="7903" fillId="0" borderId="7903" xfId="0" applyFont="1" applyBorder="1" applyAlignment="1"/>
    <xf numFmtId="0" fontId="7904" fillId="0" borderId="7904" xfId="0" applyFont="1" applyBorder="1" applyAlignment="1"/>
    <xf numFmtId="0" fontId="7905" fillId="0" borderId="7905" xfId="0" applyFont="1" applyBorder="1" applyAlignment="1"/>
    <xf numFmtId="0" fontId="7906" fillId="0" borderId="7906" xfId="0" applyFont="1" applyBorder="1" applyAlignment="1"/>
    <xf numFmtId="0" fontId="7907" fillId="0" borderId="7907" xfId="0" applyFont="1" applyBorder="1" applyAlignment="1"/>
    <xf numFmtId="0" fontId="7908" fillId="0" borderId="7908" xfId="0" applyFont="1" applyBorder="1" applyAlignment="1"/>
    <xf numFmtId="0" fontId="7909" fillId="0" borderId="7909" xfId="0" applyFont="1" applyBorder="1" applyAlignment="1"/>
    <xf numFmtId="0" fontId="7910" fillId="0" borderId="7910" xfId="0" applyFont="1" applyBorder="1" applyAlignment="1"/>
    <xf numFmtId="0" fontId="7911" fillId="0" borderId="7911" xfId="0" applyFont="1" applyBorder="1" applyAlignment="1"/>
    <xf numFmtId="0" fontId="7912" fillId="0" borderId="7912" xfId="0" applyFont="1" applyBorder="1" applyAlignment="1"/>
    <xf numFmtId="0" fontId="7913" fillId="0" borderId="7913" xfId="0" applyFont="1" applyBorder="1" applyAlignment="1"/>
    <xf numFmtId="0" fontId="7914" fillId="0" borderId="7914" xfId="0" applyFont="1" applyBorder="1" applyAlignment="1"/>
    <xf numFmtId="0" fontId="7915" fillId="0" borderId="7915" xfId="0" applyFont="1" applyBorder="1" applyAlignment="1"/>
    <xf numFmtId="0" fontId="7916" fillId="0" borderId="7916" xfId="0" applyFont="1" applyBorder="1" applyAlignment="1"/>
    <xf numFmtId="0" fontId="7917" fillId="0" borderId="7917" xfId="0" applyFont="1" applyBorder="1" applyAlignment="1"/>
    <xf numFmtId="0" fontId="7918" fillId="0" borderId="7918" xfId="0" applyFont="1" applyBorder="1" applyAlignment="1"/>
    <xf numFmtId="0" fontId="7919" fillId="0" borderId="7919" xfId="0" applyFont="1" applyBorder="1" applyAlignment="1"/>
    <xf numFmtId="0" fontId="7920" fillId="0" borderId="7920" xfId="0" applyFont="1" applyBorder="1" applyAlignment="1"/>
    <xf numFmtId="0" fontId="7921" fillId="0" borderId="7921" xfId="0" applyFont="1" applyBorder="1" applyAlignment="1"/>
    <xf numFmtId="0" fontId="7922" fillId="0" borderId="7922" xfId="0" applyFont="1" applyBorder="1" applyAlignment="1"/>
    <xf numFmtId="0" fontId="7923" fillId="0" borderId="7923" xfId="0" applyFont="1" applyBorder="1" applyAlignment="1"/>
    <xf numFmtId="0" fontId="7924" fillId="0" borderId="7924" xfId="0" applyFont="1" applyBorder="1" applyAlignment="1"/>
    <xf numFmtId="0" fontId="7925" fillId="0" borderId="7925" xfId="0" applyFont="1" applyBorder="1" applyAlignment="1"/>
    <xf numFmtId="0" fontId="7926" fillId="0" borderId="7926" xfId="0" applyFont="1" applyBorder="1" applyAlignment="1"/>
    <xf numFmtId="0" fontId="7927" fillId="0" borderId="7927" xfId="0" applyFont="1" applyBorder="1" applyAlignment="1"/>
    <xf numFmtId="0" fontId="7928" fillId="0" borderId="7928" xfId="0" applyFont="1" applyBorder="1" applyAlignment="1"/>
    <xf numFmtId="0" fontId="7929" fillId="0" borderId="7929" xfId="0" applyFont="1" applyBorder="1" applyAlignment="1"/>
    <xf numFmtId="0" fontId="7930" fillId="0" borderId="7930" xfId="0" applyFont="1" applyBorder="1" applyAlignment="1"/>
    <xf numFmtId="0" fontId="7931" fillId="0" borderId="7931" xfId="0" applyFont="1" applyBorder="1" applyAlignment="1"/>
    <xf numFmtId="0" fontId="7932" fillId="0" borderId="7932" xfId="0" applyFont="1" applyBorder="1" applyAlignment="1"/>
    <xf numFmtId="0" fontId="7933" fillId="0" borderId="7933" xfId="0" applyFont="1" applyBorder="1" applyAlignment="1"/>
    <xf numFmtId="0" fontId="7934" fillId="0" borderId="7934" xfId="0" applyFont="1" applyBorder="1" applyAlignment="1"/>
    <xf numFmtId="0" fontId="7935" fillId="0" borderId="7935" xfId="0" applyFont="1" applyBorder="1" applyAlignment="1"/>
    <xf numFmtId="0" fontId="7936" fillId="0" borderId="7936" xfId="0" applyFont="1" applyBorder="1" applyAlignment="1"/>
    <xf numFmtId="0" fontId="7937" fillId="0" borderId="7937" xfId="0" applyFont="1" applyBorder="1" applyAlignment="1"/>
    <xf numFmtId="0" fontId="7938" fillId="0" borderId="7938" xfId="0" applyFont="1" applyBorder="1" applyAlignment="1"/>
    <xf numFmtId="0" fontId="7939" fillId="0" borderId="7939" xfId="0" applyFont="1" applyBorder="1" applyAlignment="1"/>
    <xf numFmtId="0" fontId="7940" fillId="0" borderId="7940" xfId="0" applyFont="1" applyBorder="1" applyAlignment="1"/>
    <xf numFmtId="0" fontId="7941" fillId="0" borderId="7941" xfId="0" applyFont="1" applyBorder="1" applyAlignment="1"/>
    <xf numFmtId="0" fontId="7942" fillId="0" borderId="7942" xfId="0" applyFont="1" applyBorder="1" applyAlignment="1"/>
    <xf numFmtId="0" fontId="7943" fillId="0" borderId="7943" xfId="0" applyFont="1" applyBorder="1" applyAlignment="1"/>
    <xf numFmtId="0" fontId="7944" fillId="0" borderId="7944" xfId="0" applyFont="1" applyBorder="1" applyAlignment="1"/>
    <xf numFmtId="0" fontId="7945" fillId="0" borderId="7945" xfId="0" applyFont="1" applyBorder="1" applyAlignment="1"/>
    <xf numFmtId="0" fontId="7946" fillId="0" borderId="7946" xfId="0" applyFont="1" applyBorder="1" applyAlignment="1"/>
    <xf numFmtId="0" fontId="7947" fillId="0" borderId="7947" xfId="0" applyFont="1" applyBorder="1" applyAlignment="1"/>
    <xf numFmtId="0" fontId="7948" fillId="0" borderId="7948" xfId="0" applyFont="1" applyBorder="1" applyAlignment="1"/>
    <xf numFmtId="0" fontId="7949" fillId="0" borderId="7949" xfId="0" applyFont="1" applyBorder="1" applyAlignment="1"/>
    <xf numFmtId="0" fontId="7950" fillId="0" borderId="7950" xfId="0" applyFont="1" applyBorder="1" applyAlignment="1"/>
    <xf numFmtId="0" fontId="7951" fillId="0" borderId="7951" xfId="0" applyFont="1" applyBorder="1" applyAlignment="1"/>
    <xf numFmtId="0" fontId="7952" fillId="0" borderId="7952" xfId="0" applyFont="1" applyBorder="1" applyAlignment="1"/>
    <xf numFmtId="0" fontId="7953" fillId="0" borderId="7953" xfId="0" applyFont="1" applyBorder="1" applyAlignment="1"/>
    <xf numFmtId="0" fontId="7954" fillId="0" borderId="7954" xfId="0" applyFont="1" applyBorder="1" applyAlignment="1"/>
    <xf numFmtId="0" fontId="7955" fillId="0" borderId="7955" xfId="0" applyFont="1" applyBorder="1" applyAlignment="1"/>
    <xf numFmtId="0" fontId="7956" fillId="0" borderId="7956" xfId="0" applyFont="1" applyBorder="1" applyAlignment="1"/>
    <xf numFmtId="0" fontId="7957" fillId="0" borderId="7957" xfId="0" applyFont="1" applyBorder="1" applyAlignment="1"/>
    <xf numFmtId="0" fontId="7958" fillId="0" borderId="7958" xfId="0" applyFont="1" applyBorder="1" applyAlignment="1"/>
    <xf numFmtId="0" fontId="7959" fillId="0" borderId="7959" xfId="0" applyFont="1" applyBorder="1" applyAlignment="1"/>
    <xf numFmtId="0" fontId="7960" fillId="0" borderId="7960" xfId="0" applyFont="1" applyBorder="1" applyAlignment="1"/>
    <xf numFmtId="0" fontId="7961" fillId="0" borderId="7961" xfId="0" applyFont="1" applyBorder="1" applyAlignment="1"/>
    <xf numFmtId="0" fontId="7962" fillId="0" borderId="7962" xfId="0" applyFont="1" applyBorder="1" applyAlignment="1"/>
    <xf numFmtId="0" fontId="7963" fillId="0" borderId="7963" xfId="0" applyFont="1" applyBorder="1" applyAlignment="1"/>
    <xf numFmtId="0" fontId="7964" fillId="0" borderId="7964" xfId="0" applyFont="1" applyBorder="1" applyAlignment="1"/>
    <xf numFmtId="0" fontId="7965" fillId="0" borderId="7965" xfId="0" applyFont="1" applyBorder="1" applyAlignment="1"/>
    <xf numFmtId="0" fontId="7966" fillId="0" borderId="7966" xfId="0" applyFont="1" applyBorder="1" applyAlignment="1"/>
    <xf numFmtId="0" fontId="7967" fillId="0" borderId="7967" xfId="0" applyFont="1" applyBorder="1" applyAlignment="1"/>
    <xf numFmtId="0" fontId="7968" fillId="0" borderId="7968" xfId="0" applyFont="1" applyBorder="1" applyAlignment="1"/>
    <xf numFmtId="0" fontId="7969" fillId="0" borderId="7969" xfId="0" applyFont="1" applyBorder="1" applyAlignment="1"/>
    <xf numFmtId="0" fontId="7970" fillId="0" borderId="7970" xfId="0" applyFont="1" applyBorder="1" applyAlignment="1"/>
    <xf numFmtId="0" fontId="7971" fillId="0" borderId="7971" xfId="0" applyFont="1" applyBorder="1" applyAlignment="1"/>
    <xf numFmtId="0" fontId="7972" fillId="0" borderId="7972" xfId="0" applyFont="1" applyBorder="1" applyAlignment="1"/>
    <xf numFmtId="0" fontId="7973" fillId="0" borderId="7973" xfId="0" applyFont="1" applyBorder="1" applyAlignment="1"/>
    <xf numFmtId="0" fontId="7974" fillId="0" borderId="7974" xfId="0" applyFont="1" applyBorder="1" applyAlignment="1"/>
    <xf numFmtId="0" fontId="7975" fillId="0" borderId="7975" xfId="0" applyFont="1" applyBorder="1" applyAlignment="1"/>
    <xf numFmtId="0" fontId="7976" fillId="0" borderId="7976" xfId="0" applyFont="1" applyBorder="1" applyAlignment="1"/>
    <xf numFmtId="0" fontId="7977" fillId="0" borderId="7977" xfId="0" applyFont="1" applyBorder="1" applyAlignment="1"/>
    <xf numFmtId="0" fontId="7978" fillId="0" borderId="7978" xfId="0" applyFont="1" applyBorder="1" applyAlignment="1"/>
    <xf numFmtId="0" fontId="7979" fillId="0" borderId="7979" xfId="0" applyFont="1" applyBorder="1" applyAlignment="1"/>
    <xf numFmtId="0" fontId="7980" fillId="0" borderId="7980" xfId="0" applyFont="1" applyBorder="1" applyAlignment="1"/>
    <xf numFmtId="0" fontId="7981" fillId="0" borderId="7981" xfId="0" applyFont="1" applyBorder="1" applyAlignment="1"/>
    <xf numFmtId="0" fontId="7982" fillId="0" borderId="7982" xfId="0" applyFont="1" applyBorder="1" applyAlignment="1"/>
    <xf numFmtId="0" fontId="7983" fillId="0" borderId="7983" xfId="0" applyFont="1" applyBorder="1" applyAlignment="1"/>
    <xf numFmtId="0" fontId="7984" fillId="0" borderId="7984" xfId="0" applyFont="1" applyBorder="1" applyAlignment="1"/>
    <xf numFmtId="0" fontId="7985" fillId="0" borderId="7985" xfId="0" applyFont="1" applyBorder="1" applyAlignment="1"/>
    <xf numFmtId="0" fontId="7986" fillId="0" borderId="7986" xfId="0" applyFont="1" applyBorder="1" applyAlignment="1"/>
    <xf numFmtId="0" fontId="7987" fillId="0" borderId="7987" xfId="0" applyFont="1" applyBorder="1" applyAlignment="1"/>
    <xf numFmtId="0" fontId="7988" fillId="0" borderId="7988" xfId="0" applyFont="1" applyBorder="1" applyAlignment="1"/>
    <xf numFmtId="0" fontId="7989" fillId="0" borderId="7989" xfId="0" applyFont="1" applyBorder="1" applyAlignment="1"/>
    <xf numFmtId="0" fontId="7990" fillId="0" borderId="7990" xfId="0" applyFont="1" applyBorder="1" applyAlignment="1"/>
    <xf numFmtId="0" fontId="7991" fillId="0" borderId="7991" xfId="0" applyFont="1" applyBorder="1" applyAlignment="1"/>
    <xf numFmtId="0" fontId="7992" fillId="0" borderId="7992" xfId="0" applyFont="1" applyBorder="1" applyAlignment="1"/>
    <xf numFmtId="0" fontId="7993" fillId="0" borderId="7993" xfId="0" applyFont="1" applyBorder="1" applyAlignment="1"/>
    <xf numFmtId="0" fontId="7994" fillId="0" borderId="7994" xfId="0" applyFont="1" applyBorder="1" applyAlignment="1"/>
    <xf numFmtId="0" fontId="7995" fillId="0" borderId="7995" xfId="0" applyFont="1" applyBorder="1" applyAlignment="1"/>
    <xf numFmtId="0" fontId="7996" fillId="0" borderId="7996" xfId="0" applyFont="1" applyBorder="1" applyAlignment="1"/>
    <xf numFmtId="0" fontId="7997" fillId="0" borderId="7997" xfId="0" applyFont="1" applyBorder="1" applyAlignment="1"/>
    <xf numFmtId="0" fontId="7998" fillId="0" borderId="7998" xfId="0" applyFont="1" applyBorder="1" applyAlignment="1"/>
    <xf numFmtId="0" fontId="7999" fillId="0" borderId="7999" xfId="0" applyFont="1" applyBorder="1" applyAlignment="1"/>
    <xf numFmtId="0" fontId="8000" fillId="0" borderId="8000" xfId="0" applyFont="1" applyBorder="1" applyAlignment="1"/>
    <xf numFmtId="0" fontId="8001" fillId="0" borderId="8001" xfId="0" applyFont="1" applyBorder="1" applyAlignment="1"/>
    <xf numFmtId="0" fontId="8002" fillId="0" borderId="8002" xfId="0" applyFont="1" applyBorder="1" applyAlignment="1"/>
    <xf numFmtId="0" fontId="8003" fillId="0" borderId="8003" xfId="0" applyFont="1" applyBorder="1" applyAlignment="1"/>
    <xf numFmtId="0" fontId="8004" fillId="0" borderId="8004" xfId="0" applyFont="1" applyBorder="1" applyAlignment="1"/>
    <xf numFmtId="0" fontId="8005" fillId="0" borderId="8005" xfId="0" applyFont="1" applyBorder="1" applyAlignment="1"/>
    <xf numFmtId="0" fontId="8006" fillId="0" borderId="8006" xfId="0" applyFont="1" applyBorder="1" applyAlignment="1"/>
    <xf numFmtId="0" fontId="8007" fillId="0" borderId="8007" xfId="0" applyFont="1" applyBorder="1" applyAlignment="1"/>
    <xf numFmtId="0" fontId="8008" fillId="0" borderId="8008" xfId="0" applyFont="1" applyBorder="1" applyAlignment="1"/>
    <xf numFmtId="0" fontId="8009" fillId="0" borderId="8009" xfId="0" applyFont="1" applyBorder="1" applyAlignment="1"/>
    <xf numFmtId="0" fontId="8010" fillId="0" borderId="8010" xfId="0" applyFont="1" applyBorder="1" applyAlignment="1"/>
    <xf numFmtId="0" fontId="8011" fillId="0" borderId="8011" xfId="0" applyFont="1" applyBorder="1" applyAlignment="1"/>
    <xf numFmtId="0" fontId="8012" fillId="0" borderId="8012" xfId="0" applyFont="1" applyBorder="1" applyAlignment="1"/>
    <xf numFmtId="0" fontId="8013" fillId="0" borderId="8013" xfId="0" applyFont="1" applyBorder="1" applyAlignment="1"/>
    <xf numFmtId="0" fontId="8014" fillId="0" borderId="8014" xfId="0" applyFont="1" applyBorder="1" applyAlignment="1"/>
    <xf numFmtId="0" fontId="8015" fillId="0" borderId="8015" xfId="0" applyFont="1" applyBorder="1" applyAlignment="1"/>
    <xf numFmtId="0" fontId="8016" fillId="0" borderId="8016" xfId="0" applyFont="1" applyBorder="1" applyAlignment="1"/>
    <xf numFmtId="0" fontId="8017" fillId="0" borderId="8017" xfId="0" applyFont="1" applyBorder="1" applyAlignment="1"/>
    <xf numFmtId="0" fontId="8018" fillId="0" borderId="8018" xfId="0" applyFont="1" applyBorder="1" applyAlignment="1"/>
    <xf numFmtId="0" fontId="8019" fillId="0" borderId="8019" xfId="0" applyFont="1" applyBorder="1" applyAlignment="1"/>
    <xf numFmtId="0" fontId="8020" fillId="0" borderId="8020" xfId="0" applyFont="1" applyBorder="1" applyAlignment="1"/>
    <xf numFmtId="0" fontId="8021" fillId="0" borderId="8021" xfId="0" applyFont="1" applyBorder="1" applyAlignment="1"/>
    <xf numFmtId="0" fontId="8022" fillId="0" borderId="8022" xfId="0" applyFont="1" applyBorder="1" applyAlignment="1"/>
    <xf numFmtId="0" fontId="8023" fillId="0" borderId="8023" xfId="0" applyFont="1" applyBorder="1" applyAlignment="1"/>
    <xf numFmtId="0" fontId="8024" fillId="0" borderId="8024" xfId="0" applyFont="1" applyBorder="1" applyAlignment="1"/>
    <xf numFmtId="0" fontId="8025" fillId="0" borderId="8025" xfId="0" applyFont="1" applyBorder="1" applyAlignment="1"/>
    <xf numFmtId="0" fontId="8026" fillId="0" borderId="8026" xfId="0" applyFont="1" applyBorder="1" applyAlignment="1"/>
    <xf numFmtId="0" fontId="8027" fillId="0" borderId="8027" xfId="0" applyFont="1" applyBorder="1" applyAlignment="1"/>
    <xf numFmtId="0" fontId="8028" fillId="0" borderId="8028" xfId="0" applyFont="1" applyBorder="1" applyAlignment="1"/>
    <xf numFmtId="0" fontId="8029" fillId="0" borderId="8029" xfId="0" applyFont="1" applyBorder="1" applyAlignment="1"/>
    <xf numFmtId="0" fontId="8030" fillId="0" borderId="8030" xfId="0" applyFont="1" applyBorder="1" applyAlignment="1"/>
    <xf numFmtId="0" fontId="8031" fillId="0" borderId="8031" xfId="0" applyFont="1" applyBorder="1" applyAlignment="1"/>
    <xf numFmtId="0" fontId="8032" fillId="0" borderId="8032" xfId="0" applyFont="1" applyBorder="1" applyAlignment="1"/>
    <xf numFmtId="0" fontId="8033" fillId="0" borderId="8033" xfId="0" applyFont="1" applyBorder="1" applyAlignment="1"/>
    <xf numFmtId="0" fontId="8034" fillId="0" borderId="8034" xfId="0" applyFont="1" applyBorder="1" applyAlignment="1"/>
    <xf numFmtId="0" fontId="8035" fillId="0" borderId="8035" xfId="0" applyFont="1" applyBorder="1" applyAlignment="1"/>
    <xf numFmtId="0" fontId="8036" fillId="0" borderId="8036" xfId="0" applyFont="1" applyBorder="1" applyAlignment="1"/>
    <xf numFmtId="0" fontId="8037" fillId="0" borderId="8037" xfId="0" applyFont="1" applyBorder="1" applyAlignment="1"/>
    <xf numFmtId="0" fontId="8038" fillId="0" borderId="8038" xfId="0" applyFont="1" applyBorder="1" applyAlignment="1"/>
    <xf numFmtId="0" fontId="8039" fillId="0" borderId="8039" xfId="0" applyFont="1" applyBorder="1" applyAlignment="1"/>
    <xf numFmtId="0" fontId="8040" fillId="0" borderId="8040" xfId="0" applyFont="1" applyBorder="1" applyAlignment="1"/>
    <xf numFmtId="0" fontId="8041" fillId="0" borderId="8041" xfId="0" applyFont="1" applyBorder="1" applyAlignment="1"/>
    <xf numFmtId="0" fontId="8042" fillId="0" borderId="8042" xfId="0" applyFont="1" applyBorder="1" applyAlignment="1"/>
    <xf numFmtId="0" fontId="8043" fillId="0" borderId="8043" xfId="0" applyFont="1" applyBorder="1" applyAlignment="1"/>
    <xf numFmtId="0" fontId="8044" fillId="0" borderId="8044" xfId="0" applyFont="1" applyBorder="1" applyAlignment="1"/>
    <xf numFmtId="0" fontId="8045" fillId="0" borderId="8045" xfId="0" applyFont="1" applyBorder="1" applyAlignment="1"/>
    <xf numFmtId="0" fontId="8046" fillId="0" borderId="8046" xfId="0" applyFont="1" applyBorder="1" applyAlignment="1"/>
    <xf numFmtId="0" fontId="8047" fillId="0" borderId="8047" xfId="0" applyFont="1" applyBorder="1" applyAlignment="1"/>
    <xf numFmtId="0" fontId="8048" fillId="0" borderId="8048" xfId="0" applyFont="1" applyBorder="1" applyAlignment="1"/>
    <xf numFmtId="0" fontId="8049" fillId="0" borderId="8049" xfId="0" applyFont="1" applyBorder="1" applyAlignment="1"/>
    <xf numFmtId="0" fontId="8050" fillId="0" borderId="8050" xfId="0" applyFont="1" applyBorder="1" applyAlignment="1"/>
    <xf numFmtId="0" fontId="8051" fillId="0" borderId="8051" xfId="0" applyFont="1" applyBorder="1" applyAlignment="1"/>
    <xf numFmtId="0" fontId="8052" fillId="0" borderId="8052" xfId="0" applyFont="1" applyBorder="1" applyAlignment="1"/>
    <xf numFmtId="0" fontId="8053" fillId="0" borderId="8053" xfId="0" applyFont="1" applyBorder="1" applyAlignment="1"/>
    <xf numFmtId="0" fontId="8054" fillId="0" borderId="8054" xfId="0" applyFont="1" applyBorder="1" applyAlignment="1"/>
    <xf numFmtId="0" fontId="8055" fillId="0" borderId="8055" xfId="0" applyFont="1" applyBorder="1" applyAlignment="1"/>
    <xf numFmtId="0" fontId="8056" fillId="0" borderId="8056" xfId="0" applyFont="1" applyBorder="1" applyAlignment="1"/>
    <xf numFmtId="0" fontId="8057" fillId="0" borderId="8057" xfId="0" applyFont="1" applyBorder="1" applyAlignment="1"/>
    <xf numFmtId="0" fontId="8058" fillId="0" borderId="8058" xfId="0" applyFont="1" applyBorder="1" applyAlignment="1"/>
    <xf numFmtId="0" fontId="8059" fillId="0" borderId="8059" xfId="0" applyFont="1" applyBorder="1" applyAlignment="1"/>
    <xf numFmtId="0" fontId="8060" fillId="0" borderId="8060" xfId="0" applyFont="1" applyBorder="1" applyAlignment="1"/>
    <xf numFmtId="0" fontId="8061" fillId="0" borderId="8061" xfId="0" applyFont="1" applyBorder="1" applyAlignment="1"/>
    <xf numFmtId="0" fontId="8062" fillId="0" borderId="8062" xfId="0" applyFont="1" applyBorder="1" applyAlignment="1"/>
    <xf numFmtId="0" fontId="8063" fillId="0" borderId="8063" xfId="0" applyFont="1" applyBorder="1" applyAlignment="1"/>
    <xf numFmtId="0" fontId="8064" fillId="0" borderId="8064" xfId="0" applyFont="1" applyBorder="1" applyAlignment="1"/>
    <xf numFmtId="0" fontId="8065" fillId="0" borderId="8065" xfId="0" applyFont="1" applyBorder="1" applyAlignment="1"/>
    <xf numFmtId="0" fontId="8066" fillId="0" borderId="8066" xfId="0" applyFont="1" applyBorder="1" applyAlignment="1"/>
    <xf numFmtId="0" fontId="8067" fillId="0" borderId="8067" xfId="0" applyFont="1" applyBorder="1" applyAlignment="1"/>
    <xf numFmtId="0" fontId="8068" fillId="0" borderId="8068" xfId="0" applyFont="1" applyBorder="1" applyAlignment="1"/>
    <xf numFmtId="0" fontId="8069" fillId="0" borderId="8069" xfId="0" applyFont="1" applyBorder="1" applyAlignment="1"/>
    <xf numFmtId="0" fontId="8070" fillId="0" borderId="8070" xfId="0" applyFont="1" applyBorder="1" applyAlignment="1"/>
    <xf numFmtId="0" fontId="8071" fillId="0" borderId="8071" xfId="0" applyFont="1" applyBorder="1" applyAlignment="1"/>
    <xf numFmtId="0" fontId="8072" fillId="0" borderId="8072" xfId="0" applyFont="1" applyBorder="1" applyAlignment="1"/>
    <xf numFmtId="0" fontId="8073" fillId="0" borderId="8073" xfId="0" applyFont="1" applyBorder="1" applyAlignment="1"/>
    <xf numFmtId="0" fontId="8074" fillId="0" borderId="8074" xfId="0" applyFont="1" applyBorder="1" applyAlignment="1"/>
    <xf numFmtId="0" fontId="8075" fillId="0" borderId="8075" xfId="0" applyFont="1" applyBorder="1" applyAlignment="1"/>
    <xf numFmtId="0" fontId="8076" fillId="0" borderId="8076" xfId="0" applyFont="1" applyBorder="1" applyAlignment="1"/>
    <xf numFmtId="0" fontId="8077" fillId="0" borderId="8077" xfId="0" applyFont="1" applyBorder="1" applyAlignment="1"/>
    <xf numFmtId="0" fontId="8078" fillId="0" borderId="8078" xfId="0" applyFont="1" applyBorder="1" applyAlignment="1"/>
    <xf numFmtId="0" fontId="8079" fillId="0" borderId="8079" xfId="0" applyFont="1" applyBorder="1" applyAlignment="1"/>
    <xf numFmtId="0" fontId="8080" fillId="0" borderId="8080" xfId="0" applyFont="1" applyBorder="1" applyAlignment="1"/>
    <xf numFmtId="0" fontId="8081" fillId="0" borderId="8081" xfId="0" applyFont="1" applyBorder="1" applyAlignment="1"/>
    <xf numFmtId="0" fontId="8082" fillId="0" borderId="8082" xfId="0" applyFont="1" applyBorder="1" applyAlignment="1"/>
    <xf numFmtId="0" fontId="8083" fillId="0" borderId="8083" xfId="0" applyFont="1" applyBorder="1" applyAlignment="1"/>
    <xf numFmtId="0" fontId="8084" fillId="0" borderId="8084" xfId="0" applyFont="1" applyBorder="1" applyAlignment="1"/>
    <xf numFmtId="0" fontId="8085" fillId="0" borderId="8085" xfId="0" applyFont="1" applyBorder="1" applyAlignment="1"/>
    <xf numFmtId="0" fontId="8086" fillId="0" borderId="8086" xfId="0" applyFont="1" applyBorder="1" applyAlignment="1"/>
    <xf numFmtId="0" fontId="8087" fillId="0" borderId="8087" xfId="0" applyFont="1" applyBorder="1" applyAlignment="1"/>
    <xf numFmtId="0" fontId="8088" fillId="0" borderId="8088" xfId="0" applyFont="1" applyBorder="1" applyAlignment="1"/>
    <xf numFmtId="0" fontId="8089" fillId="0" borderId="8089" xfId="0" applyFont="1" applyBorder="1" applyAlignment="1"/>
    <xf numFmtId="0" fontId="8090" fillId="0" borderId="8090" xfId="0" applyFont="1" applyBorder="1" applyAlignment="1"/>
    <xf numFmtId="0" fontId="8091" fillId="0" borderId="8091" xfId="0" applyFont="1" applyBorder="1" applyAlignment="1"/>
    <xf numFmtId="0" fontId="8092" fillId="0" borderId="8092" xfId="0" applyFont="1" applyBorder="1" applyAlignment="1"/>
    <xf numFmtId="0" fontId="8093" fillId="0" borderId="8093" xfId="0" applyFont="1" applyBorder="1" applyAlignment="1"/>
    <xf numFmtId="0" fontId="8094" fillId="0" borderId="8094" xfId="0" applyFont="1" applyBorder="1" applyAlignment="1"/>
    <xf numFmtId="0" fontId="8095" fillId="0" borderId="8095" xfId="0" applyFont="1" applyBorder="1" applyAlignment="1"/>
    <xf numFmtId="0" fontId="8096" fillId="0" borderId="8096" xfId="0" applyFont="1" applyBorder="1" applyAlignment="1"/>
    <xf numFmtId="0" fontId="8097" fillId="0" borderId="8097" xfId="0" applyFont="1" applyBorder="1" applyAlignment="1"/>
    <xf numFmtId="0" fontId="8098" fillId="0" borderId="8098" xfId="0" applyFont="1" applyBorder="1" applyAlignment="1"/>
    <xf numFmtId="0" fontId="8099" fillId="0" borderId="8099" xfId="0" applyFont="1" applyBorder="1" applyAlignment="1"/>
    <xf numFmtId="0" fontId="8100" fillId="0" borderId="8100" xfId="0" applyFont="1" applyBorder="1" applyAlignment="1"/>
    <xf numFmtId="0" fontId="8101" fillId="0" borderId="8101" xfId="0" applyFont="1" applyBorder="1" applyAlignment="1"/>
    <xf numFmtId="0" fontId="8102" fillId="0" borderId="8102" xfId="0" applyFont="1" applyBorder="1" applyAlignment="1"/>
    <xf numFmtId="0" fontId="8103" fillId="0" borderId="8103" xfId="0" applyFont="1" applyBorder="1" applyAlignment="1"/>
    <xf numFmtId="0" fontId="8104" fillId="0" borderId="8104" xfId="0" applyFont="1" applyBorder="1" applyAlignment="1"/>
    <xf numFmtId="0" fontId="8105" fillId="0" borderId="8105" xfId="0" applyFont="1" applyBorder="1" applyAlignment="1"/>
    <xf numFmtId="0" fontId="8106" fillId="0" borderId="8106" xfId="0" applyFont="1" applyBorder="1" applyAlignment="1"/>
    <xf numFmtId="0" fontId="8107" fillId="0" borderId="8107" xfId="0" applyFont="1" applyBorder="1" applyAlignment="1"/>
    <xf numFmtId="0" fontId="8108" fillId="0" borderId="8108" xfId="0" applyFont="1" applyBorder="1" applyAlignment="1"/>
    <xf numFmtId="0" fontId="8109" fillId="0" borderId="8109" xfId="0" applyFont="1" applyBorder="1" applyAlignment="1"/>
    <xf numFmtId="0" fontId="8110" fillId="0" borderId="8110" xfId="0" applyFont="1" applyBorder="1" applyAlignment="1"/>
    <xf numFmtId="0" fontId="8111" fillId="0" borderId="8111" xfId="0" applyFont="1" applyBorder="1" applyAlignment="1"/>
    <xf numFmtId="0" fontId="8112" fillId="0" borderId="8112" xfId="0" applyFont="1" applyBorder="1" applyAlignment="1"/>
    <xf numFmtId="0" fontId="8113" fillId="0" borderId="8113" xfId="0" applyFont="1" applyBorder="1" applyAlignment="1"/>
    <xf numFmtId="0" fontId="8114" fillId="0" borderId="8114" xfId="0" applyFont="1" applyBorder="1" applyAlignment="1"/>
    <xf numFmtId="0" fontId="8115" fillId="0" borderId="8115" xfId="0" applyFont="1" applyBorder="1" applyAlignment="1"/>
    <xf numFmtId="0" fontId="8116" fillId="0" borderId="8116" xfId="0" applyFont="1" applyBorder="1" applyAlignment="1"/>
    <xf numFmtId="0" fontId="8117" fillId="0" borderId="8117" xfId="0" applyFont="1" applyBorder="1" applyAlignment="1"/>
    <xf numFmtId="0" fontId="8118" fillId="0" borderId="8118" xfId="0" applyFont="1" applyBorder="1" applyAlignment="1"/>
    <xf numFmtId="0" fontId="8119" fillId="0" borderId="8119" xfId="0" applyFont="1" applyBorder="1" applyAlignment="1"/>
    <xf numFmtId="0" fontId="8120" fillId="0" borderId="8120" xfId="0" applyFont="1" applyBorder="1" applyAlignment="1"/>
    <xf numFmtId="0" fontId="8121" fillId="0" borderId="8121" xfId="0" applyFont="1" applyBorder="1" applyAlignment="1"/>
    <xf numFmtId="0" fontId="8122" fillId="0" borderId="8122" xfId="0" applyFont="1" applyBorder="1" applyAlignment="1"/>
    <xf numFmtId="0" fontId="8123" fillId="0" borderId="8123" xfId="0" applyFont="1" applyBorder="1" applyAlignment="1"/>
    <xf numFmtId="0" fontId="8124" fillId="0" borderId="8124" xfId="0" applyFont="1" applyBorder="1" applyAlignment="1"/>
    <xf numFmtId="0" fontId="8125" fillId="0" borderId="8125" xfId="0" applyFont="1" applyBorder="1" applyAlignment="1"/>
    <xf numFmtId="0" fontId="8126" fillId="0" borderId="8126" xfId="0" applyFont="1" applyBorder="1" applyAlignment="1"/>
    <xf numFmtId="0" fontId="8127" fillId="0" borderId="8127" xfId="0" applyFont="1" applyBorder="1" applyAlignment="1"/>
    <xf numFmtId="0" fontId="8128" fillId="0" borderId="8128" xfId="0" applyFont="1" applyBorder="1" applyAlignment="1"/>
    <xf numFmtId="0" fontId="8129" fillId="0" borderId="8129" xfId="0" applyFont="1" applyBorder="1" applyAlignment="1"/>
    <xf numFmtId="0" fontId="8130" fillId="0" borderId="8130" xfId="0" applyFont="1" applyBorder="1" applyAlignment="1"/>
    <xf numFmtId="0" fontId="8131" fillId="0" borderId="8131" xfId="0" applyFont="1" applyBorder="1" applyAlignment="1"/>
    <xf numFmtId="0" fontId="8132" fillId="0" borderId="8132" xfId="0" applyFont="1" applyBorder="1" applyAlignment="1"/>
    <xf numFmtId="0" fontId="8133" fillId="0" borderId="8133" xfId="0" applyFont="1" applyBorder="1" applyAlignment="1"/>
    <xf numFmtId="0" fontId="8134" fillId="0" borderId="8134" xfId="0" applyFont="1" applyBorder="1" applyAlignment="1"/>
    <xf numFmtId="0" fontId="8135" fillId="0" borderId="8135" xfId="0" applyFont="1" applyBorder="1" applyAlignment="1"/>
    <xf numFmtId="0" fontId="8136" fillId="0" borderId="8136" xfId="0" applyFont="1" applyBorder="1" applyAlignment="1"/>
    <xf numFmtId="0" fontId="8137" fillId="0" borderId="8137" xfId="0" applyFont="1" applyBorder="1" applyAlignment="1"/>
    <xf numFmtId="0" fontId="8138" fillId="0" borderId="8138" xfId="0" applyFont="1" applyBorder="1" applyAlignment="1"/>
    <xf numFmtId="0" fontId="8139" fillId="0" borderId="8139" xfId="0" applyFont="1" applyBorder="1" applyAlignment="1"/>
    <xf numFmtId="0" fontId="8140" fillId="0" borderId="8140" xfId="0" applyFont="1" applyBorder="1" applyAlignment="1"/>
    <xf numFmtId="0" fontId="8141" fillId="0" borderId="8141" xfId="0" applyFont="1" applyBorder="1" applyAlignment="1"/>
    <xf numFmtId="0" fontId="8142" fillId="0" borderId="8142" xfId="0" applyFont="1" applyBorder="1" applyAlignment="1"/>
    <xf numFmtId="0" fontId="8143" fillId="0" borderId="8143" xfId="0" applyFont="1" applyBorder="1" applyAlignment="1"/>
    <xf numFmtId="0" fontId="8144" fillId="0" borderId="8144" xfId="0" applyFont="1" applyBorder="1" applyAlignment="1"/>
    <xf numFmtId="0" fontId="8145" fillId="0" borderId="8145" xfId="0" applyFont="1" applyBorder="1" applyAlignment="1"/>
    <xf numFmtId="0" fontId="8146" fillId="0" borderId="8146" xfId="0" applyFont="1" applyBorder="1" applyAlignment="1"/>
    <xf numFmtId="0" fontId="8147" fillId="0" borderId="8147" xfId="0" applyFont="1" applyBorder="1" applyAlignment="1"/>
    <xf numFmtId="0" fontId="8148" fillId="0" borderId="8148" xfId="0" applyFont="1" applyBorder="1" applyAlignment="1"/>
    <xf numFmtId="0" fontId="8149" fillId="0" borderId="8149" xfId="0" applyFont="1" applyBorder="1" applyAlignment="1"/>
    <xf numFmtId="0" fontId="8150" fillId="0" borderId="8150" xfId="0" applyFont="1" applyBorder="1" applyAlignment="1"/>
    <xf numFmtId="0" fontId="8151" fillId="0" borderId="8151" xfId="0" applyFont="1" applyBorder="1" applyAlignment="1"/>
    <xf numFmtId="0" fontId="8152" fillId="0" borderId="8152" xfId="0" applyFont="1" applyBorder="1" applyAlignment="1"/>
    <xf numFmtId="0" fontId="8153" fillId="0" borderId="8153" xfId="0" applyFont="1" applyBorder="1" applyAlignment="1"/>
    <xf numFmtId="0" fontId="8154" fillId="0" borderId="8154" xfId="0" applyFont="1" applyBorder="1" applyAlignment="1"/>
    <xf numFmtId="0" fontId="8155" fillId="0" borderId="8155" xfId="0" applyFont="1" applyBorder="1" applyAlignment="1"/>
    <xf numFmtId="0" fontId="8156" fillId="0" borderId="8156" xfId="0" applyFont="1" applyBorder="1" applyAlignment="1"/>
    <xf numFmtId="0" fontId="8157" fillId="0" borderId="8157" xfId="0" applyFont="1" applyBorder="1" applyAlignment="1"/>
    <xf numFmtId="0" fontId="8158" fillId="0" borderId="8158" xfId="0" applyFont="1" applyBorder="1" applyAlignment="1"/>
    <xf numFmtId="0" fontId="8159" fillId="0" borderId="8159" xfId="0" applyFont="1" applyBorder="1" applyAlignment="1"/>
    <xf numFmtId="0" fontId="8160" fillId="0" borderId="8160" xfId="0" applyFont="1" applyBorder="1" applyAlignment="1"/>
    <xf numFmtId="0" fontId="8161" fillId="0" borderId="8161" xfId="0" applyFont="1" applyBorder="1" applyAlignment="1"/>
    <xf numFmtId="0" fontId="8162" fillId="0" borderId="8162" xfId="0" applyFont="1" applyBorder="1" applyAlignment="1"/>
    <xf numFmtId="0" fontId="8163" fillId="0" borderId="8163" xfId="0" applyFont="1" applyBorder="1" applyAlignment="1"/>
    <xf numFmtId="0" fontId="8164" fillId="0" borderId="8164" xfId="0" applyFont="1" applyBorder="1" applyAlignment="1"/>
    <xf numFmtId="0" fontId="8165" fillId="0" borderId="8165" xfId="0" applyFont="1" applyBorder="1" applyAlignment="1"/>
    <xf numFmtId="0" fontId="8166" fillId="0" borderId="8166" xfId="0" applyFont="1" applyBorder="1" applyAlignment="1"/>
    <xf numFmtId="0" fontId="8167" fillId="0" borderId="8167" xfId="0" applyFont="1" applyBorder="1" applyAlignment="1"/>
    <xf numFmtId="0" fontId="8168" fillId="0" borderId="8168" xfId="0" applyFont="1" applyBorder="1" applyAlignment="1"/>
    <xf numFmtId="0" fontId="8169" fillId="0" borderId="8169" xfId="0" applyFont="1" applyBorder="1" applyAlignment="1"/>
    <xf numFmtId="0" fontId="8170" fillId="0" borderId="8170" xfId="0" applyFont="1" applyBorder="1" applyAlignment="1"/>
    <xf numFmtId="0" fontId="8171" fillId="0" borderId="8171" xfId="0" applyFont="1" applyBorder="1" applyAlignment="1"/>
    <xf numFmtId="0" fontId="8172" fillId="0" borderId="8172" xfId="0" applyFont="1" applyBorder="1" applyAlignment="1"/>
    <xf numFmtId="0" fontId="8173" fillId="0" borderId="8173" xfId="0" applyFont="1" applyBorder="1" applyAlignment="1"/>
    <xf numFmtId="0" fontId="8174" fillId="0" borderId="8174" xfId="0" applyFont="1" applyBorder="1" applyAlignment="1"/>
    <xf numFmtId="0" fontId="8175" fillId="0" borderId="8175" xfId="0" applyFont="1" applyBorder="1" applyAlignment="1"/>
    <xf numFmtId="0" fontId="8176" fillId="0" borderId="8176" xfId="0" applyFont="1" applyBorder="1" applyAlignment="1"/>
    <xf numFmtId="0" fontId="8177" fillId="0" borderId="8177" xfId="0" applyFont="1" applyBorder="1" applyAlignment="1"/>
    <xf numFmtId="0" fontId="8178" fillId="0" borderId="8178" xfId="0" applyFont="1" applyBorder="1" applyAlignment="1"/>
    <xf numFmtId="0" fontId="8179" fillId="0" borderId="8179" xfId="0" applyFont="1" applyBorder="1" applyAlignment="1"/>
    <xf numFmtId="0" fontId="8180" fillId="0" borderId="8180" xfId="0" applyFont="1" applyBorder="1" applyAlignment="1"/>
    <xf numFmtId="0" fontId="8181" fillId="0" borderId="8181" xfId="0" applyFont="1" applyBorder="1" applyAlignment="1"/>
    <xf numFmtId="0" fontId="8182" fillId="0" borderId="8182" xfId="0" applyFont="1" applyBorder="1" applyAlignment="1"/>
    <xf numFmtId="0" fontId="8183" fillId="0" borderId="8183" xfId="0" applyFont="1" applyBorder="1" applyAlignment="1"/>
    <xf numFmtId="0" fontId="8184" fillId="0" borderId="8184" xfId="0" applyFont="1" applyBorder="1" applyAlignment="1"/>
    <xf numFmtId="0" fontId="8185" fillId="0" borderId="8185" xfId="0" applyFont="1" applyBorder="1" applyAlignment="1"/>
    <xf numFmtId="0" fontId="8186" fillId="0" borderId="8186" xfId="0" applyFont="1" applyBorder="1" applyAlignment="1"/>
    <xf numFmtId="0" fontId="8187" fillId="0" borderId="8187" xfId="0" applyFont="1" applyBorder="1" applyAlignment="1"/>
    <xf numFmtId="0" fontId="8188" fillId="0" borderId="8188" xfId="0" applyFont="1" applyBorder="1" applyAlignment="1"/>
    <xf numFmtId="0" fontId="8189" fillId="0" borderId="8189" xfId="0" applyFont="1" applyBorder="1" applyAlignment="1"/>
    <xf numFmtId="0" fontId="8190" fillId="0" borderId="8190" xfId="0" applyFont="1" applyBorder="1" applyAlignment="1"/>
    <xf numFmtId="0" fontId="8191" fillId="0" borderId="8191" xfId="0" applyFont="1" applyBorder="1" applyAlignment="1"/>
    <xf numFmtId="0" fontId="8192" fillId="0" borderId="8192" xfId="0" applyFont="1" applyBorder="1" applyAlignment="1"/>
    <xf numFmtId="0" fontId="8193" fillId="0" borderId="8193" xfId="0" applyFont="1" applyBorder="1" applyAlignment="1"/>
    <xf numFmtId="0" fontId="8194" fillId="0" borderId="8194" xfId="0" applyFont="1" applyBorder="1" applyAlignment="1"/>
    <xf numFmtId="0" fontId="8195" fillId="0" borderId="8195" xfId="0" applyFont="1" applyBorder="1" applyAlignment="1"/>
    <xf numFmtId="0" fontId="8196" fillId="0" borderId="8196" xfId="0" applyFont="1" applyBorder="1" applyAlignment="1"/>
    <xf numFmtId="0" fontId="8197" fillId="0" borderId="8197" xfId="0" applyFont="1" applyBorder="1" applyAlignment="1"/>
    <xf numFmtId="0" fontId="8198" fillId="0" borderId="8198" xfId="0" applyFont="1" applyBorder="1" applyAlignment="1"/>
    <xf numFmtId="0" fontId="8199" fillId="0" borderId="8199" xfId="0" applyFont="1" applyBorder="1" applyAlignment="1"/>
    <xf numFmtId="0" fontId="8200" fillId="0" borderId="8200" xfId="0" applyFont="1" applyBorder="1" applyAlignment="1"/>
    <xf numFmtId="0" fontId="8201" fillId="0" borderId="8201" xfId="0" applyFont="1" applyBorder="1" applyAlignment="1"/>
    <xf numFmtId="0" fontId="8202" fillId="0" borderId="8202" xfId="0" applyFont="1" applyBorder="1" applyAlignment="1"/>
    <xf numFmtId="0" fontId="8203" fillId="0" borderId="8203" xfId="0" applyFont="1" applyBorder="1" applyAlignment="1"/>
    <xf numFmtId="0" fontId="8204" fillId="0" borderId="8204" xfId="0" applyFont="1" applyBorder="1" applyAlignment="1"/>
    <xf numFmtId="0" fontId="8205" fillId="0" borderId="8205" xfId="0" applyFont="1" applyBorder="1" applyAlignment="1"/>
    <xf numFmtId="0" fontId="8206" fillId="0" borderId="8206" xfId="0" applyFont="1" applyBorder="1" applyAlignment="1"/>
    <xf numFmtId="0" fontId="8207" fillId="0" borderId="8207" xfId="0" applyFont="1" applyBorder="1" applyAlignment="1"/>
    <xf numFmtId="0" fontId="8208" fillId="0" borderId="8208" xfId="0" applyFont="1" applyBorder="1" applyAlignment="1"/>
    <xf numFmtId="0" fontId="8209" fillId="0" borderId="8209" xfId="0" applyFont="1" applyBorder="1" applyAlignment="1"/>
    <xf numFmtId="0" fontId="8210" fillId="0" borderId="8210" xfId="0" applyFont="1" applyBorder="1" applyAlignment="1"/>
    <xf numFmtId="0" fontId="8211" fillId="0" borderId="8211" xfId="0" applyFont="1" applyBorder="1" applyAlignment="1"/>
    <xf numFmtId="0" fontId="8212" fillId="0" borderId="8212" xfId="0" applyFont="1" applyBorder="1" applyAlignment="1"/>
    <xf numFmtId="0" fontId="8213" fillId="0" borderId="8213" xfId="0" applyFont="1" applyBorder="1" applyAlignment="1"/>
    <xf numFmtId="0" fontId="8214" fillId="0" borderId="8214" xfId="0" applyFont="1" applyBorder="1" applyAlignment="1"/>
    <xf numFmtId="0" fontId="8215" fillId="0" borderId="8215" xfId="0" applyFont="1" applyBorder="1" applyAlignment="1"/>
    <xf numFmtId="0" fontId="8216" fillId="0" borderId="8216" xfId="0" applyFont="1" applyBorder="1" applyAlignment="1"/>
    <xf numFmtId="0" fontId="8217" fillId="0" borderId="8217" xfId="0" applyFont="1" applyBorder="1" applyAlignment="1"/>
    <xf numFmtId="0" fontId="8218" fillId="0" borderId="8218" xfId="0" applyFont="1" applyBorder="1" applyAlignment="1"/>
    <xf numFmtId="0" fontId="8219" fillId="0" borderId="8219" xfId="0" applyFont="1" applyBorder="1" applyAlignment="1"/>
    <xf numFmtId="0" fontId="8220" fillId="0" borderId="8220" xfId="0" applyFont="1" applyBorder="1" applyAlignment="1"/>
    <xf numFmtId="0" fontId="8221" fillId="0" borderId="8221" xfId="0" applyFont="1" applyBorder="1" applyAlignment="1"/>
    <xf numFmtId="0" fontId="8222" fillId="0" borderId="8222" xfId="0" applyFont="1" applyBorder="1" applyAlignment="1"/>
    <xf numFmtId="0" fontId="8223" fillId="0" borderId="8223" xfId="0" applyFont="1" applyBorder="1" applyAlignment="1"/>
    <xf numFmtId="0" fontId="8224" fillId="0" borderId="8224" xfId="0" applyFont="1" applyBorder="1" applyAlignment="1"/>
    <xf numFmtId="0" fontId="8225" fillId="0" borderId="8225" xfId="0" applyFont="1" applyBorder="1" applyAlignment="1"/>
    <xf numFmtId="0" fontId="8226" fillId="0" borderId="8226" xfId="0" applyFont="1" applyBorder="1" applyAlignment="1"/>
    <xf numFmtId="0" fontId="8227" fillId="0" borderId="8227" xfId="0" applyFont="1" applyBorder="1" applyAlignment="1"/>
    <xf numFmtId="0" fontId="8228" fillId="0" borderId="8228" xfId="0" applyFont="1" applyBorder="1" applyAlignment="1"/>
    <xf numFmtId="0" fontId="8229" fillId="0" borderId="8229" xfId="0" applyFont="1" applyBorder="1" applyAlignment="1"/>
    <xf numFmtId="0" fontId="8230" fillId="0" borderId="8230" xfId="0" applyFont="1" applyBorder="1" applyAlignment="1"/>
    <xf numFmtId="0" fontId="8231" fillId="0" borderId="8231" xfId="0" applyFont="1" applyBorder="1" applyAlignment="1"/>
    <xf numFmtId="0" fontId="8232" fillId="0" borderId="8232" xfId="0" applyFont="1" applyBorder="1" applyAlignment="1"/>
    <xf numFmtId="0" fontId="8233" fillId="0" borderId="8233" xfId="0" applyFont="1" applyBorder="1" applyAlignment="1"/>
    <xf numFmtId="0" fontId="8234" fillId="0" borderId="8234" xfId="0" applyFont="1" applyBorder="1" applyAlignment="1"/>
    <xf numFmtId="0" fontId="8235" fillId="0" borderId="8235" xfId="0" applyFont="1" applyBorder="1" applyAlignment="1"/>
    <xf numFmtId="0" fontId="8236" fillId="0" borderId="8236" xfId="0" applyFont="1" applyBorder="1" applyAlignment="1"/>
    <xf numFmtId="0" fontId="8237" fillId="0" borderId="8237" xfId="0" applyFont="1" applyBorder="1" applyAlignment="1"/>
    <xf numFmtId="0" fontId="8238" fillId="0" borderId="8238" xfId="0" applyFont="1" applyBorder="1" applyAlignment="1"/>
    <xf numFmtId="0" fontId="8239" fillId="0" borderId="8239" xfId="0" applyFont="1" applyBorder="1" applyAlignment="1"/>
    <xf numFmtId="0" fontId="8240" fillId="0" borderId="8240" xfId="0" applyFont="1" applyBorder="1" applyAlignment="1"/>
    <xf numFmtId="0" fontId="8241" fillId="0" borderId="8241" xfId="0" applyFont="1" applyBorder="1" applyAlignment="1"/>
    <xf numFmtId="0" fontId="8242" fillId="0" borderId="8242" xfId="0" applyFont="1" applyBorder="1" applyAlignment="1"/>
    <xf numFmtId="0" fontId="8243" fillId="0" borderId="8243" xfId="0" applyFont="1" applyBorder="1" applyAlignment="1"/>
    <xf numFmtId="0" fontId="8244" fillId="0" borderId="8244" xfId="0" applyFont="1" applyBorder="1" applyAlignment="1"/>
    <xf numFmtId="0" fontId="8245" fillId="0" borderId="8245" xfId="0" applyFont="1" applyBorder="1" applyAlignment="1"/>
    <xf numFmtId="0" fontId="8246" fillId="0" borderId="8246" xfId="0" applyFont="1" applyBorder="1" applyAlignment="1"/>
    <xf numFmtId="0" fontId="8247" fillId="0" borderId="8247" xfId="0" applyFont="1" applyBorder="1" applyAlignment="1"/>
    <xf numFmtId="0" fontId="8248" fillId="0" borderId="8248" xfId="0" applyFont="1" applyBorder="1" applyAlignment="1"/>
    <xf numFmtId="0" fontId="8249" fillId="0" borderId="8249" xfId="0" applyFont="1" applyBorder="1" applyAlignment="1"/>
    <xf numFmtId="0" fontId="8250" fillId="0" borderId="8250" xfId="0" applyFont="1" applyBorder="1" applyAlignment="1"/>
    <xf numFmtId="0" fontId="8251" fillId="0" borderId="8251" xfId="0" applyFont="1" applyBorder="1" applyAlignment="1"/>
    <xf numFmtId="0" fontId="8252" fillId="0" borderId="8252" xfId="0" applyFont="1" applyBorder="1" applyAlignment="1"/>
    <xf numFmtId="0" fontId="8253" fillId="0" borderId="8253" xfId="0" applyFont="1" applyBorder="1" applyAlignment="1"/>
    <xf numFmtId="0" fontId="8254" fillId="0" borderId="8254" xfId="0" applyFont="1" applyBorder="1" applyAlignment="1"/>
    <xf numFmtId="0" fontId="8255" fillId="0" borderId="8255" xfId="0" applyFont="1" applyBorder="1" applyAlignment="1"/>
    <xf numFmtId="0" fontId="8256" fillId="0" borderId="8256" xfId="0" applyFont="1" applyBorder="1" applyAlignment="1"/>
    <xf numFmtId="0" fontId="8257" fillId="0" borderId="8257" xfId="0" applyFont="1" applyBorder="1" applyAlignment="1"/>
    <xf numFmtId="0" fontId="8258" fillId="0" borderId="8258" xfId="0" applyFont="1" applyBorder="1" applyAlignment="1"/>
    <xf numFmtId="0" fontId="8259" fillId="0" borderId="8259" xfId="0" applyFont="1" applyBorder="1" applyAlignment="1"/>
    <xf numFmtId="0" fontId="8260" fillId="0" borderId="8260" xfId="0" applyFont="1" applyBorder="1" applyAlignment="1"/>
    <xf numFmtId="0" fontId="8261" fillId="0" borderId="8261" xfId="0" applyFont="1" applyBorder="1" applyAlignment="1"/>
    <xf numFmtId="0" fontId="8262" fillId="0" borderId="8262" xfId="0" applyFont="1" applyBorder="1" applyAlignment="1"/>
    <xf numFmtId="0" fontId="8263" fillId="0" borderId="8263" xfId="0" applyFont="1" applyBorder="1" applyAlignment="1"/>
    <xf numFmtId="0" fontId="8264" fillId="0" borderId="8264" xfId="0" applyFont="1" applyBorder="1" applyAlignment="1"/>
    <xf numFmtId="0" fontId="8265" fillId="0" borderId="8265" xfId="0" applyFont="1" applyBorder="1" applyAlignment="1"/>
    <xf numFmtId="0" fontId="8266" fillId="0" borderId="8266" xfId="0" applyFont="1" applyBorder="1" applyAlignment="1"/>
    <xf numFmtId="0" fontId="8267" fillId="0" borderId="8267" xfId="0" applyFont="1" applyBorder="1" applyAlignment="1"/>
    <xf numFmtId="0" fontId="8268" fillId="0" borderId="8268" xfId="0" applyFont="1" applyBorder="1" applyAlignment="1"/>
    <xf numFmtId="0" fontId="8269" fillId="0" borderId="8269" xfId="0" applyFont="1" applyBorder="1" applyAlignment="1"/>
    <xf numFmtId="0" fontId="8270" fillId="0" borderId="8270" xfId="0" applyFont="1" applyBorder="1" applyAlignment="1"/>
    <xf numFmtId="0" fontId="8271" fillId="0" borderId="8271" xfId="0" applyFont="1" applyBorder="1" applyAlignment="1"/>
    <xf numFmtId="0" fontId="8272" fillId="0" borderId="8272" xfId="0" applyFont="1" applyBorder="1" applyAlignment="1"/>
    <xf numFmtId="0" fontId="8273" fillId="0" borderId="8273" xfId="0" applyFont="1" applyBorder="1" applyAlignment="1"/>
    <xf numFmtId="0" fontId="8274" fillId="0" borderId="8274" xfId="0" applyFont="1" applyBorder="1" applyAlignment="1"/>
    <xf numFmtId="0" fontId="8275" fillId="0" borderId="8275" xfId="0" applyFont="1" applyBorder="1" applyAlignment="1"/>
    <xf numFmtId="0" fontId="8276" fillId="0" borderId="8276" xfId="0" applyFont="1" applyBorder="1" applyAlignment="1"/>
    <xf numFmtId="0" fontId="8277" fillId="0" borderId="8277" xfId="0" applyFont="1" applyBorder="1" applyAlignment="1"/>
    <xf numFmtId="0" fontId="8278" fillId="0" borderId="8278" xfId="0" applyFont="1" applyBorder="1" applyAlignment="1"/>
    <xf numFmtId="0" fontId="8279" fillId="0" borderId="8279" xfId="0" applyFont="1" applyBorder="1" applyAlignment="1"/>
    <xf numFmtId="0" fontId="8280" fillId="0" borderId="8280" xfId="0" applyFont="1" applyBorder="1" applyAlignment="1"/>
    <xf numFmtId="0" fontId="8281" fillId="0" borderId="8281" xfId="0" applyFont="1" applyBorder="1" applyAlignment="1"/>
    <xf numFmtId="0" fontId="8282" fillId="0" borderId="8282" xfId="0" applyFont="1" applyBorder="1" applyAlignment="1"/>
    <xf numFmtId="0" fontId="8283" fillId="0" borderId="8283" xfId="0" applyFont="1" applyBorder="1" applyAlignment="1"/>
    <xf numFmtId="0" fontId="8284" fillId="0" borderId="8284" xfId="0" applyFont="1" applyBorder="1" applyAlignment="1"/>
    <xf numFmtId="0" fontId="8285" fillId="0" borderId="8285" xfId="0" applyFont="1" applyBorder="1" applyAlignment="1"/>
    <xf numFmtId="0" fontId="8286" fillId="0" borderId="8286" xfId="0" applyFont="1" applyBorder="1" applyAlignment="1"/>
    <xf numFmtId="0" fontId="8287" fillId="0" borderId="8287" xfId="0" applyFont="1" applyBorder="1" applyAlignment="1"/>
    <xf numFmtId="0" fontId="8288" fillId="0" borderId="8288" xfId="0" applyFont="1" applyBorder="1" applyAlignment="1"/>
    <xf numFmtId="0" fontId="8289" fillId="0" borderId="8289" xfId="0" applyFont="1" applyBorder="1" applyAlignment="1"/>
    <xf numFmtId="0" fontId="8290" fillId="0" borderId="8290" xfId="0" applyFont="1" applyBorder="1" applyAlignment="1"/>
    <xf numFmtId="0" fontId="8291" fillId="0" borderId="8291" xfId="0" applyFont="1" applyBorder="1" applyAlignment="1"/>
    <xf numFmtId="0" fontId="8292" fillId="0" borderId="8292" xfId="0" applyFont="1" applyBorder="1" applyAlignment="1"/>
    <xf numFmtId="0" fontId="8293" fillId="0" borderId="8293" xfId="0" applyFont="1" applyBorder="1" applyAlignment="1"/>
    <xf numFmtId="0" fontId="8294" fillId="0" borderId="8294" xfId="0" applyFont="1" applyBorder="1" applyAlignment="1"/>
    <xf numFmtId="0" fontId="8295" fillId="0" borderId="8295" xfId="0" applyFont="1" applyBorder="1" applyAlignment="1"/>
    <xf numFmtId="0" fontId="8296" fillId="0" borderId="8296" xfId="0" applyFont="1" applyBorder="1" applyAlignment="1"/>
    <xf numFmtId="0" fontId="8297" fillId="0" borderId="8297" xfId="0" applyFont="1" applyBorder="1" applyAlignment="1"/>
    <xf numFmtId="0" fontId="8298" fillId="0" borderId="8298" xfId="0" applyFont="1" applyBorder="1" applyAlignment="1"/>
    <xf numFmtId="0" fontId="8299" fillId="0" borderId="8299" xfId="0" applyFont="1" applyBorder="1" applyAlignment="1"/>
    <xf numFmtId="0" fontId="8300" fillId="0" borderId="8300" xfId="0" applyFont="1" applyBorder="1" applyAlignment="1"/>
    <xf numFmtId="0" fontId="8301" fillId="0" borderId="8301" xfId="0" applyFont="1" applyBorder="1" applyAlignment="1"/>
    <xf numFmtId="0" fontId="8302" fillId="0" borderId="8302" xfId="0" applyFont="1" applyBorder="1" applyAlignment="1"/>
    <xf numFmtId="0" fontId="8303" fillId="0" borderId="8303" xfId="0" applyFont="1" applyBorder="1" applyAlignment="1"/>
    <xf numFmtId="0" fontId="8304" fillId="0" borderId="8304" xfId="0" applyFont="1" applyBorder="1" applyAlignment="1"/>
    <xf numFmtId="0" fontId="8305" fillId="0" borderId="8305" xfId="0" applyFont="1" applyBorder="1" applyAlignment="1"/>
    <xf numFmtId="0" fontId="8306" fillId="0" borderId="8306" xfId="0" applyFont="1" applyBorder="1" applyAlignment="1"/>
    <xf numFmtId="0" fontId="8307" fillId="0" borderId="8307" xfId="0" applyFont="1" applyBorder="1" applyAlignment="1"/>
    <xf numFmtId="0" fontId="8308" fillId="0" borderId="8308" xfId="0" applyFont="1" applyBorder="1" applyAlignment="1"/>
    <xf numFmtId="0" fontId="8309" fillId="0" borderId="8309" xfId="0" applyFont="1" applyBorder="1" applyAlignment="1"/>
    <xf numFmtId="0" fontId="8310" fillId="0" borderId="8310" xfId="0" applyFont="1" applyBorder="1" applyAlignment="1"/>
    <xf numFmtId="0" fontId="8311" fillId="0" borderId="8311" xfId="0" applyFont="1" applyBorder="1" applyAlignment="1"/>
    <xf numFmtId="0" fontId="8312" fillId="0" borderId="8312" xfId="0" applyFont="1" applyBorder="1" applyAlignment="1"/>
    <xf numFmtId="0" fontId="8313" fillId="0" borderId="8313" xfId="0" applyFont="1" applyBorder="1" applyAlignment="1"/>
    <xf numFmtId="0" fontId="8314" fillId="0" borderId="8314" xfId="0" applyFont="1" applyBorder="1" applyAlignment="1"/>
    <xf numFmtId="0" fontId="8315" fillId="0" borderId="8315" xfId="0" applyFont="1" applyBorder="1" applyAlignment="1"/>
    <xf numFmtId="0" fontId="8316" fillId="0" borderId="8316" xfId="0" applyFont="1" applyBorder="1" applyAlignment="1"/>
    <xf numFmtId="0" fontId="8317" fillId="0" borderId="8317" xfId="0" applyFont="1" applyBorder="1" applyAlignment="1"/>
    <xf numFmtId="0" fontId="8318" fillId="0" borderId="8318" xfId="0" applyFont="1" applyBorder="1" applyAlignment="1"/>
    <xf numFmtId="0" fontId="8319" fillId="0" borderId="8319" xfId="0" applyFont="1" applyBorder="1" applyAlignment="1"/>
    <xf numFmtId="0" fontId="8320" fillId="0" borderId="8320" xfId="0" applyFont="1" applyBorder="1" applyAlignment="1"/>
    <xf numFmtId="0" fontId="8321" fillId="0" borderId="8321" xfId="0" applyFont="1" applyBorder="1" applyAlignment="1"/>
    <xf numFmtId="0" fontId="8322" fillId="0" borderId="8322" xfId="0" applyFont="1" applyBorder="1" applyAlignment="1"/>
    <xf numFmtId="0" fontId="8323" fillId="0" borderId="8323" xfId="0" applyFont="1" applyBorder="1" applyAlignment="1"/>
    <xf numFmtId="0" fontId="8324" fillId="0" borderId="8324" xfId="0" applyFont="1" applyBorder="1" applyAlignment="1"/>
    <xf numFmtId="0" fontId="8325" fillId="0" borderId="8325" xfId="0" applyFont="1" applyBorder="1" applyAlignment="1"/>
    <xf numFmtId="0" fontId="8326" fillId="0" borderId="8326" xfId="0" applyFont="1" applyBorder="1" applyAlignment="1"/>
    <xf numFmtId="0" fontId="8327" fillId="0" borderId="8327" xfId="0" applyFont="1" applyBorder="1" applyAlignment="1"/>
    <xf numFmtId="0" fontId="8328" fillId="0" borderId="8328" xfId="0" applyFont="1" applyBorder="1" applyAlignment="1"/>
    <xf numFmtId="0" fontId="8329" fillId="0" borderId="8329" xfId="0" applyFont="1" applyBorder="1" applyAlignment="1"/>
    <xf numFmtId="0" fontId="8330" fillId="0" borderId="8330" xfId="0" applyFont="1" applyBorder="1" applyAlignment="1"/>
    <xf numFmtId="0" fontId="8331" fillId="0" borderId="8331" xfId="0" applyFont="1" applyBorder="1" applyAlignment="1"/>
    <xf numFmtId="0" fontId="8332" fillId="0" borderId="8332" xfId="0" applyFont="1" applyBorder="1" applyAlignment="1"/>
    <xf numFmtId="0" fontId="8333" fillId="0" borderId="8333" xfId="0" applyFont="1" applyBorder="1" applyAlignment="1"/>
    <xf numFmtId="0" fontId="8334" fillId="0" borderId="8334" xfId="0" applyFont="1" applyBorder="1" applyAlignment="1"/>
    <xf numFmtId="0" fontId="8335" fillId="0" borderId="8335" xfId="0" applyFont="1" applyBorder="1" applyAlignment="1"/>
    <xf numFmtId="0" fontId="8336" fillId="0" borderId="8336" xfId="0" applyFont="1" applyBorder="1" applyAlignment="1"/>
    <xf numFmtId="0" fontId="8337" fillId="0" borderId="8337" xfId="0" applyFont="1" applyBorder="1" applyAlignment="1"/>
    <xf numFmtId="0" fontId="8338" fillId="0" borderId="8338" xfId="0" applyFont="1" applyBorder="1" applyAlignment="1"/>
    <xf numFmtId="0" fontId="8339" fillId="0" borderId="8339" xfId="0" applyFont="1" applyBorder="1" applyAlignment="1"/>
    <xf numFmtId="0" fontId="8340" fillId="0" borderId="8340" xfId="0" applyFont="1" applyBorder="1" applyAlignment="1"/>
    <xf numFmtId="0" fontId="8341" fillId="0" borderId="8341" xfId="0" applyFont="1" applyBorder="1" applyAlignment="1"/>
    <xf numFmtId="0" fontId="8342" fillId="0" borderId="8342" xfId="0" applyFont="1" applyBorder="1" applyAlignment="1"/>
    <xf numFmtId="0" fontId="8343" fillId="0" borderId="8343" xfId="0" applyFont="1" applyBorder="1" applyAlignment="1"/>
    <xf numFmtId="0" fontId="8344" fillId="0" borderId="8344" xfId="0" applyFont="1" applyBorder="1" applyAlignment="1"/>
    <xf numFmtId="0" fontId="8345" fillId="0" borderId="8345" xfId="0" applyFont="1" applyBorder="1" applyAlignment="1"/>
    <xf numFmtId="0" fontId="8346" fillId="0" borderId="8346" xfId="0" applyFont="1" applyBorder="1" applyAlignment="1"/>
    <xf numFmtId="0" fontId="8347" fillId="0" borderId="8347" xfId="0" applyFont="1" applyBorder="1" applyAlignment="1"/>
    <xf numFmtId="0" fontId="8348" fillId="0" borderId="8348" xfId="0" applyFont="1" applyBorder="1" applyAlignment="1"/>
    <xf numFmtId="0" fontId="8349" fillId="0" borderId="8349" xfId="0" applyFont="1" applyBorder="1" applyAlignment="1"/>
    <xf numFmtId="0" fontId="8350" fillId="0" borderId="8350" xfId="0" applyFont="1" applyBorder="1" applyAlignment="1"/>
    <xf numFmtId="0" fontId="8351" fillId="0" borderId="8351" xfId="0" applyFont="1" applyBorder="1" applyAlignment="1"/>
    <xf numFmtId="0" fontId="8352" fillId="0" borderId="8352" xfId="0" applyFont="1" applyBorder="1" applyAlignment="1"/>
    <xf numFmtId="0" fontId="8353" fillId="0" borderId="8353" xfId="0" applyFont="1" applyBorder="1" applyAlignment="1"/>
    <xf numFmtId="0" fontId="8354" fillId="0" borderId="8354" xfId="0" applyFont="1" applyBorder="1" applyAlignment="1"/>
    <xf numFmtId="0" fontId="8355" fillId="0" borderId="8355" xfId="0" applyFont="1" applyBorder="1" applyAlignment="1"/>
    <xf numFmtId="0" fontId="8356" fillId="0" borderId="8356" xfId="0" applyFont="1" applyBorder="1" applyAlignment="1"/>
    <xf numFmtId="0" fontId="8357" fillId="0" borderId="8357" xfId="0" applyFont="1" applyBorder="1" applyAlignment="1"/>
    <xf numFmtId="0" fontId="8358" fillId="0" borderId="8358" xfId="0" applyFont="1" applyBorder="1" applyAlignment="1"/>
    <xf numFmtId="0" fontId="8359" fillId="0" borderId="8359" xfId="0" applyFont="1" applyBorder="1" applyAlignment="1"/>
    <xf numFmtId="0" fontId="8360" fillId="0" borderId="8360" xfId="0" applyFont="1" applyBorder="1" applyAlignment="1"/>
    <xf numFmtId="0" fontId="8361" fillId="0" borderId="8361" xfId="0" applyFont="1" applyBorder="1" applyAlignment="1"/>
    <xf numFmtId="0" fontId="8362" fillId="0" borderId="8362" xfId="0" applyFont="1" applyBorder="1" applyAlignment="1"/>
    <xf numFmtId="0" fontId="8363" fillId="0" borderId="8363" xfId="0" applyFont="1" applyBorder="1" applyAlignment="1"/>
    <xf numFmtId="0" fontId="8364" fillId="0" borderId="8364" xfId="0" applyFont="1" applyBorder="1" applyAlignment="1"/>
    <xf numFmtId="0" fontId="8365" fillId="0" borderId="8365" xfId="0" applyFont="1" applyBorder="1" applyAlignment="1"/>
    <xf numFmtId="0" fontId="8366" fillId="0" borderId="8366" xfId="0" applyFont="1" applyBorder="1" applyAlignment="1"/>
    <xf numFmtId="0" fontId="8367" fillId="0" borderId="8367" xfId="0" applyFont="1" applyBorder="1" applyAlignment="1"/>
    <xf numFmtId="0" fontId="8368" fillId="0" borderId="8368" xfId="0" applyFont="1" applyBorder="1" applyAlignment="1"/>
    <xf numFmtId="0" fontId="8369" fillId="0" borderId="8369" xfId="0" applyFont="1" applyBorder="1" applyAlignment="1"/>
    <xf numFmtId="0" fontId="8370" fillId="0" borderId="8370" xfId="0" applyFont="1" applyBorder="1" applyAlignment="1"/>
    <xf numFmtId="0" fontId="8371" fillId="0" borderId="8371" xfId="0" applyFont="1" applyBorder="1" applyAlignment="1"/>
    <xf numFmtId="0" fontId="8372" fillId="0" borderId="8372" xfId="0" applyFont="1" applyBorder="1" applyAlignment="1"/>
    <xf numFmtId="0" fontId="8373" fillId="0" borderId="8373" xfId="0" applyFont="1" applyBorder="1" applyAlignment="1"/>
    <xf numFmtId="0" fontId="8374" fillId="0" borderId="8374" xfId="0" applyFont="1" applyBorder="1" applyAlignment="1"/>
    <xf numFmtId="0" fontId="8375" fillId="0" borderId="8375" xfId="0" applyFont="1" applyBorder="1" applyAlignment="1"/>
    <xf numFmtId="0" fontId="8376" fillId="0" borderId="8376" xfId="0" applyFont="1" applyBorder="1" applyAlignment="1"/>
    <xf numFmtId="0" fontId="8377" fillId="0" borderId="8377" xfId="0" applyFont="1" applyBorder="1" applyAlignment="1"/>
    <xf numFmtId="0" fontId="8378" fillId="0" borderId="8378" xfId="0" applyFont="1" applyBorder="1" applyAlignment="1"/>
    <xf numFmtId="0" fontId="8379" fillId="0" borderId="8379" xfId="0" applyFont="1" applyBorder="1" applyAlignment="1"/>
    <xf numFmtId="0" fontId="8380" fillId="0" borderId="8380" xfId="0" applyFont="1" applyBorder="1" applyAlignment="1"/>
    <xf numFmtId="0" fontId="8381" fillId="0" borderId="8381" xfId="0" applyFont="1" applyBorder="1" applyAlignment="1"/>
    <xf numFmtId="0" fontId="8382" fillId="0" borderId="8382" xfId="0" applyFont="1" applyBorder="1" applyAlignment="1"/>
    <xf numFmtId="0" fontId="8383" fillId="0" borderId="8383" xfId="0" applyFont="1" applyBorder="1" applyAlignment="1"/>
    <xf numFmtId="0" fontId="8384" fillId="0" borderId="8384" xfId="0" applyFont="1" applyBorder="1" applyAlignment="1"/>
    <xf numFmtId="0" fontId="8385" fillId="0" borderId="8385" xfId="0" applyFont="1" applyBorder="1" applyAlignment="1"/>
    <xf numFmtId="0" fontId="8386" fillId="0" borderId="8386" xfId="0" applyFont="1" applyBorder="1" applyAlignment="1"/>
    <xf numFmtId="0" fontId="8387" fillId="0" borderId="8387" xfId="0" applyFont="1" applyBorder="1" applyAlignment="1"/>
    <xf numFmtId="0" fontId="8388" fillId="0" borderId="8388" xfId="0" applyFont="1" applyBorder="1" applyAlignment="1"/>
    <xf numFmtId="0" fontId="8389" fillId="0" borderId="8389" xfId="0" applyFont="1" applyBorder="1" applyAlignment="1"/>
    <xf numFmtId="0" fontId="8390" fillId="0" borderId="8390" xfId="0" applyFont="1" applyBorder="1" applyAlignment="1"/>
    <xf numFmtId="0" fontId="8391" fillId="0" borderId="8391" xfId="0" applyFont="1" applyBorder="1" applyAlignment="1"/>
    <xf numFmtId="0" fontId="8392" fillId="0" borderId="8392" xfId="0" applyFont="1" applyBorder="1" applyAlignment="1"/>
    <xf numFmtId="0" fontId="8393" fillId="0" borderId="8393" xfId="0" applyFont="1" applyBorder="1" applyAlignment="1"/>
    <xf numFmtId="0" fontId="8394" fillId="0" borderId="8394" xfId="0" applyFont="1" applyBorder="1" applyAlignment="1"/>
    <xf numFmtId="0" fontId="8395" fillId="0" borderId="8395" xfId="0" applyFont="1" applyBorder="1" applyAlignment="1"/>
    <xf numFmtId="0" fontId="8396" fillId="0" borderId="8396" xfId="0" applyFont="1" applyBorder="1" applyAlignment="1"/>
    <xf numFmtId="0" fontId="8397" fillId="0" borderId="8397" xfId="0" applyFont="1" applyBorder="1" applyAlignment="1"/>
    <xf numFmtId="0" fontId="8398" fillId="0" borderId="8398" xfId="0" applyFont="1" applyBorder="1" applyAlignment="1"/>
    <xf numFmtId="0" fontId="8399" fillId="0" borderId="8399" xfId="0" applyFont="1" applyBorder="1" applyAlignment="1"/>
    <xf numFmtId="0" fontId="8400" fillId="0" borderId="8400" xfId="0" applyFont="1" applyBorder="1" applyAlignment="1"/>
    <xf numFmtId="0" fontId="8401" fillId="0" borderId="8401" xfId="0" applyFont="1" applyBorder="1" applyAlignment="1"/>
    <xf numFmtId="0" fontId="8402" fillId="0" borderId="8402" xfId="0" applyFont="1" applyBorder="1" applyAlignment="1"/>
    <xf numFmtId="0" fontId="8403" fillId="0" borderId="8403" xfId="0" applyFont="1" applyBorder="1" applyAlignment="1"/>
    <xf numFmtId="0" fontId="8404" fillId="0" borderId="8404" xfId="0" applyFont="1" applyBorder="1" applyAlignment="1"/>
    <xf numFmtId="0" fontId="8405" fillId="0" borderId="8405" xfId="0" applyFont="1" applyBorder="1" applyAlignment="1"/>
    <xf numFmtId="0" fontId="8406" fillId="0" borderId="8406" xfId="0" applyFont="1" applyBorder="1" applyAlignment="1"/>
    <xf numFmtId="0" fontId="8407" fillId="0" borderId="8407" xfId="0" applyFont="1" applyBorder="1" applyAlignment="1"/>
    <xf numFmtId="0" fontId="8408" fillId="0" borderId="8408" xfId="0" applyFont="1" applyBorder="1" applyAlignment="1"/>
    <xf numFmtId="0" fontId="8409" fillId="0" borderId="8409" xfId="0" applyFont="1" applyBorder="1" applyAlignment="1"/>
    <xf numFmtId="0" fontId="8410" fillId="0" borderId="8410" xfId="0" applyFont="1" applyBorder="1" applyAlignment="1"/>
    <xf numFmtId="0" fontId="8411" fillId="0" borderId="8411" xfId="0" applyFont="1" applyBorder="1" applyAlignment="1"/>
    <xf numFmtId="0" fontId="8412" fillId="0" borderId="8412" xfId="0" applyFont="1" applyBorder="1" applyAlignment="1"/>
    <xf numFmtId="0" fontId="8413" fillId="0" borderId="8413" xfId="0" applyFont="1" applyBorder="1" applyAlignment="1"/>
    <xf numFmtId="0" fontId="8414" fillId="0" borderId="8414" xfId="0" applyFont="1" applyBorder="1" applyAlignment="1"/>
    <xf numFmtId="0" fontId="8415" fillId="0" borderId="8415" xfId="0" applyFont="1" applyBorder="1" applyAlignment="1"/>
    <xf numFmtId="0" fontId="8416" fillId="0" borderId="8416" xfId="0" applyFont="1" applyBorder="1" applyAlignment="1"/>
    <xf numFmtId="0" fontId="8417" fillId="0" borderId="8417" xfId="0" applyFont="1" applyBorder="1" applyAlignment="1"/>
    <xf numFmtId="0" fontId="8418" fillId="0" borderId="8418" xfId="0" applyFont="1" applyBorder="1" applyAlignment="1"/>
    <xf numFmtId="0" fontId="8419" fillId="0" borderId="8419" xfId="0" applyFont="1" applyBorder="1" applyAlignment="1"/>
    <xf numFmtId="0" fontId="8420" fillId="0" borderId="8420" xfId="0" applyFont="1" applyBorder="1" applyAlignment="1"/>
    <xf numFmtId="0" fontId="8421" fillId="0" borderId="8421" xfId="0" applyFont="1" applyBorder="1" applyAlignment="1"/>
    <xf numFmtId="0" fontId="8422" fillId="0" borderId="8422" xfId="0" applyFont="1" applyBorder="1" applyAlignment="1"/>
    <xf numFmtId="0" fontId="8423" fillId="0" borderId="8423" xfId="0" applyFont="1" applyBorder="1" applyAlignment="1"/>
    <xf numFmtId="0" fontId="8424" fillId="0" borderId="8424" xfId="0" applyFont="1" applyBorder="1" applyAlignment="1"/>
    <xf numFmtId="0" fontId="8425" fillId="0" borderId="8425" xfId="0" applyFont="1" applyBorder="1" applyAlignment="1"/>
    <xf numFmtId="0" fontId="8426" fillId="0" borderId="8426" xfId="0" applyFont="1" applyBorder="1" applyAlignment="1"/>
    <xf numFmtId="0" fontId="8427" fillId="0" borderId="8427" xfId="0" applyFont="1" applyBorder="1" applyAlignment="1"/>
    <xf numFmtId="0" fontId="8428" fillId="0" borderId="8428" xfId="0" applyFont="1" applyBorder="1" applyAlignment="1"/>
    <xf numFmtId="0" fontId="8429" fillId="0" borderId="8429" xfId="0" applyFont="1" applyBorder="1" applyAlignment="1"/>
    <xf numFmtId="0" fontId="8430" fillId="0" borderId="8430" xfId="0" applyFont="1" applyBorder="1" applyAlignment="1"/>
    <xf numFmtId="0" fontId="8431" fillId="0" borderId="8431" xfId="0" applyFont="1" applyBorder="1" applyAlignment="1"/>
    <xf numFmtId="0" fontId="8432" fillId="0" borderId="8432" xfId="0" applyFont="1" applyBorder="1" applyAlignment="1"/>
    <xf numFmtId="0" fontId="8433" fillId="0" borderId="8433" xfId="0" applyFont="1" applyBorder="1" applyAlignment="1"/>
    <xf numFmtId="0" fontId="8434" fillId="0" borderId="8434" xfId="0" applyFont="1" applyBorder="1" applyAlignment="1"/>
    <xf numFmtId="0" fontId="8435" fillId="0" borderId="8435" xfId="0" applyFont="1" applyBorder="1" applyAlignment="1"/>
    <xf numFmtId="0" fontId="8436" fillId="0" borderId="8436" xfId="0" applyFont="1" applyBorder="1" applyAlignment="1"/>
    <xf numFmtId="0" fontId="8437" fillId="0" borderId="8437" xfId="0" applyFont="1" applyBorder="1" applyAlignment="1"/>
    <xf numFmtId="0" fontId="8438" fillId="0" borderId="8438" xfId="0" applyFont="1" applyBorder="1" applyAlignment="1"/>
    <xf numFmtId="0" fontId="8439" fillId="0" borderId="8439" xfId="0" applyFont="1" applyBorder="1" applyAlignment="1"/>
    <xf numFmtId="0" fontId="8440" fillId="0" borderId="8440" xfId="0" applyFont="1" applyBorder="1" applyAlignment="1"/>
    <xf numFmtId="0" fontId="8441" fillId="0" borderId="8441" xfId="0" applyFont="1" applyBorder="1" applyAlignment="1"/>
    <xf numFmtId="0" fontId="8442" fillId="0" borderId="8442" xfId="0" applyFont="1" applyBorder="1" applyAlignment="1"/>
    <xf numFmtId="0" fontId="8443" fillId="0" borderId="8443" xfId="0" applyFont="1" applyBorder="1" applyAlignment="1"/>
    <xf numFmtId="0" fontId="8444" fillId="0" borderId="8444" xfId="0" applyFont="1" applyBorder="1" applyAlignment="1"/>
    <xf numFmtId="0" fontId="8445" fillId="0" borderId="8445" xfId="0" applyFont="1" applyBorder="1" applyAlignment="1"/>
    <xf numFmtId="0" fontId="8446" fillId="0" borderId="8446" xfId="0" applyFont="1" applyBorder="1" applyAlignment="1"/>
    <xf numFmtId="0" fontId="8447" fillId="0" borderId="8447" xfId="0" applyFont="1" applyBorder="1" applyAlignment="1"/>
    <xf numFmtId="0" fontId="8448" fillId="0" borderId="8448" xfId="0" applyFont="1" applyBorder="1" applyAlignment="1"/>
    <xf numFmtId="0" fontId="8449" fillId="0" borderId="8449" xfId="0" applyFont="1" applyBorder="1" applyAlignment="1"/>
    <xf numFmtId="0" fontId="8450" fillId="0" borderId="8450" xfId="0" applyFont="1" applyBorder="1" applyAlignment="1"/>
    <xf numFmtId="0" fontId="8451" fillId="0" borderId="8451" xfId="0" applyFont="1" applyBorder="1" applyAlignment="1"/>
    <xf numFmtId="0" fontId="8452" fillId="0" borderId="8452" xfId="0" applyFont="1" applyBorder="1" applyAlignment="1"/>
    <xf numFmtId="0" fontId="8453" fillId="0" borderId="8453" xfId="0" applyFont="1" applyBorder="1" applyAlignment="1"/>
    <xf numFmtId="0" fontId="8454" fillId="0" borderId="8454" xfId="0" applyFont="1" applyBorder="1" applyAlignment="1"/>
    <xf numFmtId="0" fontId="8455" fillId="0" borderId="8455" xfId="0" applyFont="1" applyBorder="1" applyAlignment="1"/>
    <xf numFmtId="0" fontId="8456" fillId="0" borderId="8456" xfId="0" applyFont="1" applyBorder="1" applyAlignment="1"/>
    <xf numFmtId="0" fontId="8457" fillId="0" borderId="8457" xfId="0" applyFont="1" applyBorder="1" applyAlignment="1"/>
    <xf numFmtId="0" fontId="8458" fillId="0" borderId="8458" xfId="0" applyFont="1" applyBorder="1" applyAlignment="1"/>
    <xf numFmtId="0" fontId="8459" fillId="0" borderId="8459" xfId="0" applyFont="1" applyBorder="1" applyAlignment="1"/>
    <xf numFmtId="0" fontId="8460" fillId="0" borderId="8460" xfId="0" applyFont="1" applyBorder="1" applyAlignment="1"/>
    <xf numFmtId="0" fontId="8461" fillId="0" borderId="8461" xfId="0" applyFont="1" applyBorder="1" applyAlignment="1"/>
    <xf numFmtId="0" fontId="8462" fillId="0" borderId="8462" xfId="0" applyFont="1" applyBorder="1" applyAlignment="1"/>
    <xf numFmtId="0" fontId="8463" fillId="0" borderId="8463" xfId="0" applyFont="1" applyBorder="1" applyAlignment="1"/>
    <xf numFmtId="0" fontId="8464" fillId="0" borderId="8464" xfId="0" applyFont="1" applyBorder="1" applyAlignment="1"/>
    <xf numFmtId="0" fontId="8465" fillId="0" borderId="8465" xfId="0" applyFont="1" applyBorder="1" applyAlignment="1"/>
    <xf numFmtId="0" fontId="8466" fillId="0" borderId="8466" xfId="0" applyFont="1" applyBorder="1" applyAlignment="1"/>
    <xf numFmtId="0" fontId="8467" fillId="0" borderId="8467" xfId="0" applyFont="1" applyBorder="1" applyAlignment="1"/>
    <xf numFmtId="0" fontId="8468" fillId="0" borderId="8468" xfId="0" applyFont="1" applyBorder="1" applyAlignment="1"/>
    <xf numFmtId="0" fontId="8469" fillId="0" borderId="8469" xfId="0" applyFont="1" applyBorder="1" applyAlignment="1"/>
    <xf numFmtId="0" fontId="8470" fillId="0" borderId="8470" xfId="0" applyFont="1" applyBorder="1" applyAlignment="1"/>
    <xf numFmtId="0" fontId="8471" fillId="0" borderId="8471" xfId="0" applyFont="1" applyBorder="1" applyAlignment="1"/>
    <xf numFmtId="0" fontId="8472" fillId="0" borderId="8472" xfId="0" applyFont="1" applyBorder="1" applyAlignment="1"/>
    <xf numFmtId="0" fontId="8473" fillId="0" borderId="8473" xfId="0" applyFont="1" applyBorder="1" applyAlignment="1"/>
    <xf numFmtId="0" fontId="8474" fillId="0" borderId="8474" xfId="0" applyFont="1" applyBorder="1" applyAlignment="1"/>
    <xf numFmtId="0" fontId="8475" fillId="0" borderId="8475" xfId="0" applyFont="1" applyBorder="1" applyAlignment="1"/>
    <xf numFmtId="0" fontId="8476" fillId="0" borderId="8476" xfId="0" applyFont="1" applyBorder="1" applyAlignment="1"/>
    <xf numFmtId="0" fontId="8477" fillId="0" borderId="8477" xfId="0" applyFont="1" applyBorder="1" applyAlignment="1"/>
    <xf numFmtId="0" fontId="8478" fillId="0" borderId="8478" xfId="0" applyFont="1" applyBorder="1" applyAlignment="1"/>
    <xf numFmtId="0" fontId="8479" fillId="0" borderId="8479" xfId="0" applyFont="1" applyBorder="1" applyAlignment="1"/>
    <xf numFmtId="0" fontId="8480" fillId="0" borderId="8480" xfId="0" applyFont="1" applyBorder="1" applyAlignment="1"/>
    <xf numFmtId="0" fontId="8481" fillId="0" borderId="8481" xfId="0" applyFont="1" applyBorder="1" applyAlignment="1"/>
    <xf numFmtId="0" fontId="8482" fillId="0" borderId="8482" xfId="0" applyFont="1" applyBorder="1" applyAlignment="1"/>
    <xf numFmtId="0" fontId="8483" fillId="0" borderId="8483" xfId="0" applyFont="1" applyBorder="1" applyAlignment="1"/>
    <xf numFmtId="0" fontId="8484" fillId="0" borderId="8484" xfId="0" applyFont="1" applyBorder="1" applyAlignment="1"/>
    <xf numFmtId="0" fontId="8485" fillId="0" borderId="8485" xfId="0" applyFont="1" applyBorder="1" applyAlignment="1"/>
    <xf numFmtId="0" fontId="8486" fillId="0" borderId="8486" xfId="0" applyFont="1" applyBorder="1" applyAlignment="1"/>
    <xf numFmtId="0" fontId="8487" fillId="0" borderId="8487" xfId="0" applyFont="1" applyBorder="1" applyAlignment="1"/>
    <xf numFmtId="0" fontId="8488" fillId="0" borderId="8488" xfId="0" applyFont="1" applyBorder="1" applyAlignment="1"/>
    <xf numFmtId="0" fontId="8489" fillId="0" borderId="8489" xfId="0" applyFont="1" applyBorder="1" applyAlignment="1"/>
    <xf numFmtId="0" fontId="8490" fillId="0" borderId="8490" xfId="0" applyFont="1" applyBorder="1" applyAlignment="1"/>
    <xf numFmtId="0" fontId="8491" fillId="0" borderId="8491" xfId="0" applyFont="1" applyBorder="1" applyAlignment="1"/>
    <xf numFmtId="0" fontId="8492" fillId="0" borderId="8492" xfId="0" applyFont="1" applyBorder="1" applyAlignment="1"/>
    <xf numFmtId="0" fontId="8493" fillId="0" borderId="8493" xfId="0" applyFont="1" applyBorder="1" applyAlignment="1"/>
    <xf numFmtId="0" fontId="8494" fillId="0" borderId="8494" xfId="0" applyFont="1" applyBorder="1" applyAlignment="1"/>
    <xf numFmtId="0" fontId="8495" fillId="0" borderId="8495" xfId="0" applyFont="1" applyBorder="1" applyAlignment="1"/>
    <xf numFmtId="0" fontId="8496" fillId="0" borderId="8496" xfId="0" applyFont="1" applyBorder="1" applyAlignment="1"/>
    <xf numFmtId="0" fontId="8497" fillId="0" borderId="8497" xfId="0" applyFont="1" applyBorder="1" applyAlignment="1"/>
    <xf numFmtId="0" fontId="8498" fillId="0" borderId="8498" xfId="0" applyFont="1" applyBorder="1" applyAlignment="1"/>
    <xf numFmtId="0" fontId="8499" fillId="0" borderId="8499" xfId="0" applyFont="1" applyBorder="1" applyAlignment="1"/>
    <xf numFmtId="0" fontId="8500" fillId="0" borderId="8500" xfId="0" applyFont="1" applyBorder="1" applyAlignment="1"/>
    <xf numFmtId="0" fontId="8501" fillId="0" borderId="8501" xfId="0" applyFont="1" applyBorder="1" applyAlignment="1"/>
    <xf numFmtId="0" fontId="8502" fillId="0" borderId="8502" xfId="0" applyFont="1" applyBorder="1" applyAlignment="1"/>
    <xf numFmtId="0" fontId="8503" fillId="0" borderId="8503" xfId="0" applyFont="1" applyBorder="1" applyAlignment="1"/>
    <xf numFmtId="0" fontId="8504" fillId="0" borderId="8504" xfId="0" applyFont="1" applyBorder="1" applyAlignment="1"/>
    <xf numFmtId="0" fontId="8505" fillId="0" borderId="8505" xfId="0" applyFont="1" applyBorder="1" applyAlignment="1"/>
    <xf numFmtId="0" fontId="8506" fillId="0" borderId="8506" xfId="0" applyFont="1" applyBorder="1" applyAlignment="1"/>
    <xf numFmtId="0" fontId="8507" fillId="0" borderId="8507" xfId="0" applyFont="1" applyBorder="1" applyAlignment="1"/>
    <xf numFmtId="0" fontId="8508" fillId="0" borderId="8508" xfId="0" applyFont="1" applyBorder="1" applyAlignment="1"/>
    <xf numFmtId="0" fontId="8509" fillId="0" borderId="8509" xfId="0" applyFont="1" applyBorder="1" applyAlignment="1"/>
    <xf numFmtId="0" fontId="8510" fillId="0" borderId="8510" xfId="0" applyFont="1" applyBorder="1" applyAlignment="1"/>
    <xf numFmtId="0" fontId="8511" fillId="0" borderId="8511" xfId="0" applyFont="1" applyBorder="1" applyAlignment="1"/>
    <xf numFmtId="0" fontId="8512" fillId="0" borderId="8512" xfId="0" applyFont="1" applyBorder="1" applyAlignment="1"/>
    <xf numFmtId="0" fontId="8513" fillId="0" borderId="8513" xfId="0" applyFont="1" applyBorder="1" applyAlignment="1"/>
    <xf numFmtId="0" fontId="8514" fillId="0" borderId="8514" xfId="0" applyFont="1" applyBorder="1" applyAlignment="1"/>
    <xf numFmtId="0" fontId="8515" fillId="0" borderId="8515" xfId="0" applyFont="1" applyBorder="1" applyAlignment="1"/>
    <xf numFmtId="0" fontId="8516" fillId="0" borderId="8516" xfId="0" applyFont="1" applyBorder="1" applyAlignment="1"/>
    <xf numFmtId="0" fontId="8517" fillId="0" borderId="8517" xfId="0" applyFont="1" applyBorder="1" applyAlignment="1"/>
    <xf numFmtId="0" fontId="8518" fillId="0" borderId="8518" xfId="0" applyFont="1" applyBorder="1" applyAlignment="1"/>
    <xf numFmtId="0" fontId="8519" fillId="0" borderId="8519" xfId="0" applyFont="1" applyBorder="1" applyAlignment="1"/>
    <xf numFmtId="0" fontId="8520" fillId="0" borderId="8520" xfId="0" applyFont="1" applyBorder="1" applyAlignment="1"/>
    <xf numFmtId="0" fontId="8521" fillId="0" borderId="8521" xfId="0" applyFont="1" applyBorder="1" applyAlignment="1"/>
    <xf numFmtId="0" fontId="8522" fillId="0" borderId="8522" xfId="0" applyFont="1" applyBorder="1" applyAlignment="1"/>
    <xf numFmtId="0" fontId="8523" fillId="0" borderId="8523" xfId="0" applyFont="1" applyBorder="1" applyAlignment="1"/>
    <xf numFmtId="0" fontId="8524" fillId="0" borderId="8524" xfId="0" applyFont="1" applyBorder="1" applyAlignment="1"/>
    <xf numFmtId="0" fontId="8525" fillId="0" borderId="8525" xfId="0" applyFont="1" applyBorder="1" applyAlignment="1"/>
    <xf numFmtId="0" fontId="8526" fillId="0" borderId="8526" xfId="0" applyFont="1" applyBorder="1" applyAlignment="1"/>
    <xf numFmtId="0" fontId="8527" fillId="0" borderId="8527" xfId="0" applyFont="1" applyBorder="1" applyAlignment="1"/>
    <xf numFmtId="0" fontId="8528" fillId="0" borderId="8528" xfId="0" applyFont="1" applyBorder="1" applyAlignment="1"/>
    <xf numFmtId="0" fontId="8529" fillId="0" borderId="8529" xfId="0" applyFont="1" applyBorder="1" applyAlignment="1"/>
    <xf numFmtId="0" fontId="8530" fillId="0" borderId="8530" xfId="0" applyFont="1" applyBorder="1" applyAlignment="1"/>
    <xf numFmtId="0" fontId="8531" fillId="0" borderId="8531" xfId="0" applyFont="1" applyBorder="1" applyAlignment="1"/>
    <xf numFmtId="0" fontId="8532" fillId="0" borderId="8532" xfId="0" applyFont="1" applyBorder="1" applyAlignment="1"/>
    <xf numFmtId="0" fontId="8533" fillId="0" borderId="8533" xfId="0" applyFont="1" applyBorder="1" applyAlignment="1"/>
    <xf numFmtId="0" fontId="8534" fillId="0" borderId="8534" xfId="0" applyFont="1" applyBorder="1" applyAlignment="1"/>
    <xf numFmtId="0" fontId="8535" fillId="0" borderId="8535" xfId="0" applyFont="1" applyBorder="1" applyAlignment="1"/>
    <xf numFmtId="0" fontId="8536" fillId="0" borderId="8536" xfId="0" applyFont="1" applyBorder="1" applyAlignment="1"/>
    <xf numFmtId="0" fontId="8537" fillId="0" borderId="8537" xfId="0" applyFont="1" applyBorder="1" applyAlignment="1"/>
    <xf numFmtId="0" fontId="8538" fillId="0" borderId="8538" xfId="0" applyFont="1" applyBorder="1" applyAlignment="1"/>
    <xf numFmtId="0" fontId="8539" fillId="0" borderId="8539" xfId="0" applyFont="1" applyBorder="1" applyAlignment="1"/>
    <xf numFmtId="0" fontId="8540" fillId="0" borderId="8540" xfId="0" applyFont="1" applyBorder="1" applyAlignment="1"/>
    <xf numFmtId="0" fontId="8541" fillId="0" borderId="8541" xfId="0" applyFont="1" applyBorder="1" applyAlignment="1"/>
    <xf numFmtId="0" fontId="8542" fillId="0" borderId="8542" xfId="0" applyFont="1" applyBorder="1" applyAlignment="1"/>
    <xf numFmtId="0" fontId="8543" fillId="0" borderId="8543" xfId="0" applyFont="1" applyBorder="1" applyAlignment="1"/>
    <xf numFmtId="0" fontId="8544" fillId="0" borderId="8544" xfId="0" applyFont="1" applyBorder="1" applyAlignment="1"/>
    <xf numFmtId="0" fontId="8545" fillId="0" borderId="8545" xfId="0" applyFont="1" applyBorder="1" applyAlignment="1"/>
    <xf numFmtId="0" fontId="8546" fillId="0" borderId="8546" xfId="0" applyFont="1" applyBorder="1" applyAlignment="1"/>
    <xf numFmtId="0" fontId="8547" fillId="0" borderId="8547" xfId="0" applyFont="1" applyBorder="1" applyAlignment="1"/>
    <xf numFmtId="0" fontId="8548" fillId="0" borderId="8548" xfId="0" applyFont="1" applyBorder="1" applyAlignment="1"/>
    <xf numFmtId="0" fontId="8549" fillId="0" borderId="8549" xfId="0" applyFont="1" applyBorder="1" applyAlignment="1"/>
    <xf numFmtId="0" fontId="8550" fillId="0" borderId="8550" xfId="0" applyFont="1" applyBorder="1" applyAlignment="1"/>
    <xf numFmtId="0" fontId="8551" fillId="0" borderId="8551" xfId="0" applyFont="1" applyBorder="1" applyAlignment="1"/>
    <xf numFmtId="0" fontId="8552" fillId="0" borderId="8552" xfId="0" applyFont="1" applyBorder="1" applyAlignment="1"/>
    <xf numFmtId="0" fontId="8553" fillId="0" borderId="8553" xfId="0" applyFont="1" applyBorder="1" applyAlignment="1"/>
    <xf numFmtId="0" fontId="8554" fillId="0" borderId="8554" xfId="0" applyFont="1" applyBorder="1" applyAlignment="1"/>
    <xf numFmtId="0" fontId="8555" fillId="0" borderId="8555" xfId="0" applyFont="1" applyBorder="1" applyAlignment="1"/>
    <xf numFmtId="0" fontId="8556" fillId="0" borderId="8556" xfId="0" applyFont="1" applyBorder="1" applyAlignment="1"/>
    <xf numFmtId="0" fontId="8557" fillId="0" borderId="8557" xfId="0" applyFont="1" applyBorder="1" applyAlignment="1"/>
    <xf numFmtId="0" fontId="8558" fillId="0" borderId="8558" xfId="0" applyFont="1" applyBorder="1" applyAlignment="1"/>
    <xf numFmtId="0" fontId="8559" fillId="0" borderId="8559" xfId="0" applyFont="1" applyBorder="1" applyAlignment="1"/>
    <xf numFmtId="0" fontId="8560" fillId="0" borderId="8560" xfId="0" applyFont="1" applyBorder="1" applyAlignment="1"/>
    <xf numFmtId="0" fontId="8561" fillId="0" borderId="8561" xfId="0" applyFont="1" applyBorder="1" applyAlignment="1"/>
    <xf numFmtId="0" fontId="8562" fillId="0" borderId="8562" xfId="0" applyFont="1" applyBorder="1" applyAlignment="1"/>
    <xf numFmtId="0" fontId="8563" fillId="0" borderId="8563" xfId="0" applyFont="1" applyBorder="1" applyAlignment="1"/>
    <xf numFmtId="0" fontId="8564" fillId="0" borderId="8564" xfId="0" applyFont="1" applyBorder="1" applyAlignment="1"/>
    <xf numFmtId="0" fontId="8565" fillId="0" borderId="8565" xfId="0" applyFont="1" applyBorder="1" applyAlignment="1"/>
    <xf numFmtId="0" fontId="8566" fillId="0" borderId="8566" xfId="0" applyFont="1" applyBorder="1" applyAlignment="1"/>
    <xf numFmtId="0" fontId="8567" fillId="0" borderId="8567" xfId="0" applyFont="1" applyBorder="1" applyAlignment="1"/>
    <xf numFmtId="0" fontId="8568" fillId="0" borderId="8568" xfId="0" applyFont="1" applyBorder="1" applyAlignment="1"/>
    <xf numFmtId="0" fontId="8569" fillId="0" borderId="8569" xfId="0" applyFont="1" applyBorder="1" applyAlignment="1"/>
    <xf numFmtId="0" fontId="8570" fillId="0" borderId="8570" xfId="0" applyFont="1" applyBorder="1" applyAlignment="1"/>
    <xf numFmtId="0" fontId="8571" fillId="0" borderId="8571" xfId="0" applyFont="1" applyBorder="1" applyAlignment="1"/>
    <xf numFmtId="0" fontId="8572" fillId="0" borderId="8572" xfId="0" applyFont="1" applyBorder="1" applyAlignment="1"/>
    <xf numFmtId="0" fontId="8573" fillId="0" borderId="8573" xfId="0" applyFont="1" applyBorder="1" applyAlignment="1"/>
    <xf numFmtId="0" fontId="8574" fillId="0" borderId="8574" xfId="0" applyFont="1" applyBorder="1" applyAlignment="1"/>
    <xf numFmtId="0" fontId="8575" fillId="0" borderId="8575" xfId="0" applyFont="1" applyBorder="1" applyAlignment="1"/>
    <xf numFmtId="0" fontId="8576" fillId="0" borderId="8576" xfId="0" applyFont="1" applyBorder="1" applyAlignment="1"/>
    <xf numFmtId="0" fontId="8577" fillId="0" borderId="8577" xfId="0" applyFont="1" applyBorder="1" applyAlignment="1"/>
    <xf numFmtId="0" fontId="8578" fillId="0" borderId="8578" xfId="0" applyFont="1" applyBorder="1" applyAlignment="1"/>
    <xf numFmtId="0" fontId="8579" fillId="0" borderId="8579" xfId="0" applyFont="1" applyBorder="1" applyAlignment="1"/>
    <xf numFmtId="0" fontId="8580" fillId="0" borderId="8580" xfId="0" applyFont="1" applyBorder="1" applyAlignment="1"/>
    <xf numFmtId="0" fontId="8581" fillId="0" borderId="8581" xfId="0" applyFont="1" applyBorder="1" applyAlignment="1"/>
    <xf numFmtId="0" fontId="8582" fillId="0" borderId="8582" xfId="0" applyFont="1" applyBorder="1" applyAlignment="1"/>
    <xf numFmtId="0" fontId="8583" fillId="0" borderId="8583" xfId="0" applyFont="1" applyBorder="1" applyAlignment="1"/>
    <xf numFmtId="0" fontId="8584" fillId="0" borderId="8584" xfId="0" applyFont="1" applyBorder="1" applyAlignment="1"/>
    <xf numFmtId="0" fontId="8585" fillId="0" borderId="8585" xfId="0" applyFont="1" applyBorder="1" applyAlignment="1"/>
    <xf numFmtId="0" fontId="8586" fillId="0" borderId="8586" xfId="0" applyFont="1" applyBorder="1" applyAlignment="1"/>
    <xf numFmtId="0" fontId="8587" fillId="0" borderId="8587" xfId="0" applyFont="1" applyBorder="1" applyAlignment="1"/>
    <xf numFmtId="0" fontId="8588" fillId="0" borderId="8588" xfId="0" applyFont="1" applyBorder="1" applyAlignment="1"/>
    <xf numFmtId="0" fontId="8589" fillId="0" borderId="8589" xfId="0" applyFont="1" applyBorder="1" applyAlignment="1"/>
    <xf numFmtId="0" fontId="8590" fillId="0" borderId="8590" xfId="0" applyFont="1" applyBorder="1" applyAlignment="1"/>
    <xf numFmtId="0" fontId="8591" fillId="0" borderId="8591" xfId="0" applyFont="1" applyBorder="1" applyAlignment="1"/>
    <xf numFmtId="0" fontId="8592" fillId="0" borderId="8592" xfId="0" applyFont="1" applyBorder="1" applyAlignment="1"/>
    <xf numFmtId="0" fontId="8593" fillId="0" borderId="8593" xfId="0" applyFont="1" applyBorder="1" applyAlignment="1"/>
    <xf numFmtId="0" fontId="8594" fillId="0" borderId="8594" xfId="0" applyFont="1" applyBorder="1" applyAlignment="1"/>
    <xf numFmtId="0" fontId="8595" fillId="0" borderId="8595" xfId="0" applyFont="1" applyBorder="1" applyAlignment="1"/>
    <xf numFmtId="0" fontId="8596" fillId="0" borderId="8596" xfId="0" applyFont="1" applyBorder="1" applyAlignment="1"/>
    <xf numFmtId="0" fontId="8597" fillId="0" borderId="8597" xfId="0" applyFont="1" applyBorder="1" applyAlignment="1"/>
    <xf numFmtId="0" fontId="8598" fillId="0" borderId="8598" xfId="0" applyFont="1" applyBorder="1" applyAlignment="1"/>
    <xf numFmtId="0" fontId="8599" fillId="0" borderId="8599" xfId="0" applyFont="1" applyBorder="1" applyAlignment="1"/>
    <xf numFmtId="0" fontId="8600" fillId="0" borderId="8600" xfId="0" applyFont="1" applyBorder="1" applyAlignment="1"/>
    <xf numFmtId="0" fontId="8601" fillId="0" borderId="8601" xfId="0" applyFont="1" applyBorder="1" applyAlignment="1"/>
    <xf numFmtId="0" fontId="8602" fillId="0" borderId="8602" xfId="0" applyFont="1" applyBorder="1" applyAlignment="1"/>
    <xf numFmtId="0" fontId="8603" fillId="0" borderId="8603" xfId="0" applyFont="1" applyBorder="1" applyAlignment="1"/>
    <xf numFmtId="0" fontId="8604" fillId="0" borderId="8604" xfId="0" applyFont="1" applyBorder="1" applyAlignment="1"/>
    <xf numFmtId="0" fontId="8605" fillId="0" borderId="8605" xfId="0" applyFont="1" applyBorder="1" applyAlignment="1"/>
    <xf numFmtId="0" fontId="8606" fillId="0" borderId="8606" xfId="0" applyFont="1" applyBorder="1" applyAlignment="1"/>
    <xf numFmtId="0" fontId="8607" fillId="0" borderId="8607" xfId="0" applyFont="1" applyBorder="1" applyAlignment="1"/>
    <xf numFmtId="0" fontId="8608" fillId="0" borderId="8608" xfId="0" applyFont="1" applyBorder="1" applyAlignment="1"/>
    <xf numFmtId="0" fontId="8609" fillId="0" borderId="8609" xfId="0" applyFont="1" applyBorder="1" applyAlignment="1"/>
    <xf numFmtId="0" fontId="8610" fillId="0" borderId="8610" xfId="0" applyFont="1" applyBorder="1" applyAlignment="1"/>
    <xf numFmtId="0" fontId="8611" fillId="0" borderId="8611" xfId="0" applyFont="1" applyBorder="1" applyAlignment="1"/>
    <xf numFmtId="0" fontId="8612" fillId="0" borderId="8612" xfId="0" applyFont="1" applyBorder="1" applyAlignment="1"/>
    <xf numFmtId="0" fontId="8613" fillId="0" borderId="8613" xfId="0" applyFont="1" applyBorder="1" applyAlignment="1"/>
    <xf numFmtId="0" fontId="8614" fillId="0" borderId="8614" xfId="0" applyFont="1" applyBorder="1" applyAlignment="1"/>
    <xf numFmtId="0" fontId="8615" fillId="0" borderId="8615" xfId="0" applyFont="1" applyBorder="1" applyAlignment="1"/>
    <xf numFmtId="0" fontId="8616" fillId="0" borderId="8616" xfId="0" applyFont="1" applyBorder="1" applyAlignment="1"/>
    <xf numFmtId="0" fontId="8617" fillId="0" borderId="8617" xfId="0" applyFont="1" applyBorder="1" applyAlignment="1"/>
    <xf numFmtId="0" fontId="8618" fillId="0" borderId="8618" xfId="0" applyFont="1" applyBorder="1" applyAlignment="1"/>
    <xf numFmtId="0" fontId="8619" fillId="0" borderId="8619" xfId="0" applyFont="1" applyBorder="1" applyAlignment="1"/>
    <xf numFmtId="0" fontId="8620" fillId="0" borderId="8620" xfId="0" applyFont="1" applyBorder="1" applyAlignment="1"/>
    <xf numFmtId="0" fontId="8621" fillId="0" borderId="8621" xfId="0" applyFont="1" applyBorder="1" applyAlignment="1"/>
    <xf numFmtId="0" fontId="8622" fillId="0" borderId="8622" xfId="0" applyFont="1" applyBorder="1" applyAlignment="1"/>
    <xf numFmtId="0" fontId="8623" fillId="0" borderId="8623" xfId="0" applyFont="1" applyBorder="1" applyAlignment="1"/>
    <xf numFmtId="0" fontId="8624" fillId="0" borderId="8624" xfId="0" applyFont="1" applyBorder="1" applyAlignment="1"/>
    <xf numFmtId="0" fontId="8625" fillId="0" borderId="8625" xfId="0" applyFont="1" applyBorder="1" applyAlignment="1"/>
    <xf numFmtId="0" fontId="8626" fillId="0" borderId="8626" xfId="0" applyFont="1" applyBorder="1" applyAlignment="1"/>
    <xf numFmtId="0" fontId="8627" fillId="0" borderId="8627" xfId="0" applyFont="1" applyBorder="1" applyAlignment="1"/>
    <xf numFmtId="0" fontId="8628" fillId="0" borderId="8628" xfId="0" applyFont="1" applyBorder="1" applyAlignment="1"/>
    <xf numFmtId="0" fontId="8629" fillId="0" borderId="8629" xfId="0" applyFont="1" applyBorder="1" applyAlignment="1"/>
    <xf numFmtId="0" fontId="8630" fillId="0" borderId="8630" xfId="0" applyFont="1" applyBorder="1" applyAlignment="1"/>
    <xf numFmtId="0" fontId="8631" fillId="0" borderId="8631" xfId="0" applyFont="1" applyBorder="1" applyAlignment="1"/>
    <xf numFmtId="0" fontId="8632" fillId="0" borderId="8632" xfId="0" applyFont="1" applyBorder="1" applyAlignment="1"/>
    <xf numFmtId="0" fontId="8633" fillId="0" borderId="8633" xfId="0" applyFont="1" applyBorder="1" applyAlignment="1"/>
    <xf numFmtId="0" fontId="8634" fillId="0" borderId="8634" xfId="0" applyFont="1" applyBorder="1" applyAlignment="1"/>
    <xf numFmtId="0" fontId="8635" fillId="0" borderId="8635" xfId="0" applyFont="1" applyBorder="1" applyAlignment="1"/>
    <xf numFmtId="0" fontId="8636" fillId="0" borderId="8636" xfId="0" applyFont="1" applyBorder="1" applyAlignment="1"/>
    <xf numFmtId="0" fontId="8637" fillId="0" borderId="8637" xfId="0" applyFont="1" applyBorder="1" applyAlignment="1"/>
    <xf numFmtId="0" fontId="8638" fillId="0" borderId="8638" xfId="0" applyFont="1" applyBorder="1" applyAlignment="1"/>
    <xf numFmtId="0" fontId="8639" fillId="0" borderId="8639" xfId="0" applyFont="1" applyBorder="1" applyAlignment="1"/>
    <xf numFmtId="0" fontId="8640" fillId="0" borderId="8640" xfId="0" applyFont="1" applyBorder="1" applyAlignment="1"/>
    <xf numFmtId="0" fontId="8641" fillId="0" borderId="8641" xfId="0" applyFont="1" applyBorder="1" applyAlignment="1"/>
    <xf numFmtId="0" fontId="8642" fillId="0" borderId="8642" xfId="0" applyFont="1" applyBorder="1" applyAlignment="1"/>
    <xf numFmtId="0" fontId="8643" fillId="0" borderId="8643" xfId="0" applyFont="1" applyBorder="1" applyAlignment="1"/>
    <xf numFmtId="0" fontId="8644" fillId="0" borderId="8644" xfId="0" applyFont="1" applyBorder="1" applyAlignment="1"/>
    <xf numFmtId="0" fontId="8645" fillId="0" borderId="8645" xfId="0" applyFont="1" applyBorder="1" applyAlignment="1"/>
    <xf numFmtId="0" fontId="8646" fillId="0" borderId="8646" xfId="0" applyFont="1" applyBorder="1" applyAlignment="1"/>
    <xf numFmtId="0" fontId="8647" fillId="0" borderId="8647" xfId="0" applyFont="1" applyBorder="1" applyAlignment="1"/>
    <xf numFmtId="0" fontId="8648" fillId="0" borderId="8648" xfId="0" applyFont="1" applyBorder="1" applyAlignment="1"/>
    <xf numFmtId="0" fontId="8649" fillId="0" borderId="8649" xfId="0" applyFont="1" applyBorder="1" applyAlignment="1"/>
    <xf numFmtId="0" fontId="8650" fillId="0" borderId="8650" xfId="0" applyFont="1" applyBorder="1" applyAlignment="1"/>
    <xf numFmtId="0" fontId="8651" fillId="0" borderId="8651" xfId="0" applyFont="1" applyBorder="1" applyAlignment="1"/>
    <xf numFmtId="0" fontId="8652" fillId="0" borderId="8652" xfId="0" applyFont="1" applyBorder="1" applyAlignment="1"/>
    <xf numFmtId="0" fontId="8653" fillId="0" borderId="8653" xfId="0" applyFont="1" applyBorder="1" applyAlignment="1"/>
    <xf numFmtId="0" fontId="8654" fillId="0" borderId="8654" xfId="0" applyFont="1" applyBorder="1" applyAlignment="1"/>
    <xf numFmtId="0" fontId="8655" fillId="0" borderId="8655" xfId="0" applyFont="1" applyBorder="1" applyAlignment="1"/>
    <xf numFmtId="0" fontId="8656" fillId="0" borderId="8656" xfId="0" applyFont="1" applyBorder="1" applyAlignment="1"/>
    <xf numFmtId="0" fontId="8657" fillId="0" borderId="8657" xfId="0" applyFont="1" applyBorder="1" applyAlignment="1"/>
    <xf numFmtId="0" fontId="8658" fillId="0" borderId="8658" xfId="0" applyFont="1" applyBorder="1" applyAlignment="1"/>
    <xf numFmtId="0" fontId="8659" fillId="0" borderId="8659" xfId="0" applyFont="1" applyBorder="1" applyAlignment="1"/>
    <xf numFmtId="0" fontId="8660" fillId="0" borderId="8660" xfId="0" applyFont="1" applyBorder="1" applyAlignment="1"/>
    <xf numFmtId="0" fontId="8661" fillId="0" borderId="8661" xfId="0" applyFont="1" applyBorder="1" applyAlignment="1"/>
    <xf numFmtId="0" fontId="8662" fillId="0" borderId="8662" xfId="0" applyFont="1" applyBorder="1" applyAlignment="1"/>
    <xf numFmtId="0" fontId="8663" fillId="0" borderId="8663" xfId="0" applyFont="1" applyBorder="1" applyAlignment="1"/>
    <xf numFmtId="0" fontId="8664" fillId="0" borderId="8664" xfId="0" applyFont="1" applyBorder="1" applyAlignment="1"/>
    <xf numFmtId="0" fontId="8665" fillId="0" borderId="8665" xfId="0" applyFont="1" applyBorder="1" applyAlignment="1"/>
    <xf numFmtId="0" fontId="8666" fillId="0" borderId="8666" xfId="0" applyFont="1" applyBorder="1" applyAlignment="1"/>
    <xf numFmtId="0" fontId="8667" fillId="0" borderId="8667" xfId="0" applyFont="1" applyBorder="1" applyAlignment="1"/>
    <xf numFmtId="0" fontId="8668" fillId="0" borderId="8668" xfId="0" applyFont="1" applyBorder="1" applyAlignment="1"/>
    <xf numFmtId="0" fontId="8669" fillId="0" borderId="8669" xfId="0" applyFont="1" applyBorder="1" applyAlignment="1"/>
    <xf numFmtId="0" fontId="8670" fillId="0" borderId="8670" xfId="0" applyFont="1" applyBorder="1" applyAlignment="1"/>
    <xf numFmtId="0" fontId="8671" fillId="0" borderId="8671" xfId="0" applyFont="1" applyBorder="1" applyAlignment="1"/>
    <xf numFmtId="0" fontId="8672" fillId="0" borderId="8672" xfId="0" applyFont="1" applyBorder="1" applyAlignment="1"/>
    <xf numFmtId="0" fontId="8673" fillId="0" borderId="8673" xfId="0" applyFont="1" applyBorder="1" applyAlignment="1"/>
    <xf numFmtId="0" fontId="8674" fillId="0" borderId="8674" xfId="0" applyFont="1" applyBorder="1" applyAlignment="1"/>
    <xf numFmtId="0" fontId="8675" fillId="0" borderId="8675" xfId="0" applyFont="1" applyBorder="1" applyAlignment="1"/>
    <xf numFmtId="0" fontId="8676" fillId="0" borderId="8676" xfId="0" applyFont="1" applyBorder="1" applyAlignment="1"/>
    <xf numFmtId="0" fontId="8677" fillId="0" borderId="8677" xfId="0" applyFont="1" applyBorder="1" applyAlignment="1"/>
    <xf numFmtId="0" fontId="8678" fillId="0" borderId="8678" xfId="0" applyFont="1" applyBorder="1" applyAlignment="1"/>
    <xf numFmtId="0" fontId="8679" fillId="0" borderId="8679" xfId="0" applyFont="1" applyBorder="1" applyAlignment="1"/>
    <xf numFmtId="0" fontId="8680" fillId="0" borderId="8680" xfId="0" applyFont="1" applyBorder="1" applyAlignment="1"/>
    <xf numFmtId="0" fontId="8681" fillId="0" borderId="8681" xfId="0" applyFont="1" applyBorder="1" applyAlignment="1"/>
    <xf numFmtId="0" fontId="8682" fillId="0" borderId="8682" xfId="0" applyFont="1" applyBorder="1" applyAlignment="1"/>
    <xf numFmtId="0" fontId="8683" fillId="0" borderId="8683" xfId="0" applyFont="1" applyBorder="1" applyAlignment="1"/>
    <xf numFmtId="0" fontId="8684" fillId="0" borderId="8684" xfId="0" applyFont="1" applyBorder="1" applyAlignment="1"/>
    <xf numFmtId="0" fontId="8685" fillId="0" borderId="8685" xfId="0" applyFont="1" applyBorder="1" applyAlignment="1"/>
    <xf numFmtId="0" fontId="8686" fillId="0" borderId="8686" xfId="0" applyFont="1" applyBorder="1" applyAlignment="1"/>
    <xf numFmtId="0" fontId="8687" fillId="0" borderId="8687" xfId="0" applyFont="1" applyBorder="1" applyAlignment="1"/>
    <xf numFmtId="0" fontId="8688" fillId="0" borderId="8688" xfId="0" applyFont="1" applyBorder="1" applyAlignment="1"/>
    <xf numFmtId="0" fontId="8689" fillId="0" borderId="8689" xfId="0" applyFont="1" applyBorder="1" applyAlignment="1"/>
    <xf numFmtId="0" fontId="8690" fillId="0" borderId="8690" xfId="0" applyFont="1" applyBorder="1" applyAlignment="1"/>
    <xf numFmtId="0" fontId="8691" fillId="0" borderId="8691" xfId="0" applyFont="1" applyBorder="1" applyAlignment="1"/>
    <xf numFmtId="0" fontId="8692" fillId="0" borderId="8692" xfId="0" applyFont="1" applyBorder="1" applyAlignment="1"/>
    <xf numFmtId="0" fontId="8693" fillId="0" borderId="8693" xfId="0" applyFont="1" applyBorder="1" applyAlignment="1"/>
    <xf numFmtId="0" fontId="8694" fillId="0" borderId="8694" xfId="0" applyFont="1" applyBorder="1" applyAlignment="1"/>
    <xf numFmtId="0" fontId="8695" fillId="0" borderId="8695" xfId="0" applyFont="1" applyBorder="1" applyAlignment="1"/>
    <xf numFmtId="0" fontId="8696" fillId="0" borderId="8696" xfId="0" applyFont="1" applyBorder="1" applyAlignment="1"/>
    <xf numFmtId="0" fontId="8697" fillId="0" borderId="8697" xfId="0" applyFont="1" applyBorder="1" applyAlignment="1"/>
    <xf numFmtId="0" fontId="8698" fillId="0" borderId="8698" xfId="0" applyFont="1" applyBorder="1" applyAlignment="1"/>
    <xf numFmtId="0" fontId="8699" fillId="0" borderId="8699" xfId="0" applyFont="1" applyBorder="1" applyAlignment="1"/>
    <xf numFmtId="0" fontId="8700" fillId="0" borderId="8700" xfId="0" applyFont="1" applyBorder="1" applyAlignment="1"/>
    <xf numFmtId="0" fontId="8701" fillId="0" borderId="8701" xfId="0" applyFont="1" applyBorder="1" applyAlignment="1"/>
    <xf numFmtId="0" fontId="8702" fillId="0" borderId="8702" xfId="0" applyFont="1" applyBorder="1" applyAlignment="1"/>
    <xf numFmtId="0" fontId="8703" fillId="0" borderId="8703" xfId="0" applyFont="1" applyBorder="1" applyAlignment="1"/>
    <xf numFmtId="0" fontId="8704" fillId="0" borderId="8704" xfId="0" applyFont="1" applyBorder="1" applyAlignment="1"/>
    <xf numFmtId="0" fontId="8705" fillId="0" borderId="8705" xfId="0" applyFont="1" applyBorder="1" applyAlignment="1"/>
    <xf numFmtId="0" fontId="8706" fillId="0" borderId="8706" xfId="0" applyFont="1" applyBorder="1" applyAlignment="1"/>
    <xf numFmtId="0" fontId="8707" fillId="0" borderId="8707" xfId="0" applyFont="1" applyBorder="1" applyAlignment="1"/>
    <xf numFmtId="0" fontId="8708" fillId="0" borderId="8708" xfId="0" applyFont="1" applyBorder="1" applyAlignment="1"/>
    <xf numFmtId="0" fontId="8709" fillId="0" borderId="8709" xfId="0" applyFont="1" applyBorder="1" applyAlignment="1"/>
    <xf numFmtId="0" fontId="8710" fillId="0" borderId="8710" xfId="0" applyFont="1" applyBorder="1" applyAlignment="1"/>
    <xf numFmtId="0" fontId="8711" fillId="0" borderId="8711" xfId="0" applyFont="1" applyBorder="1" applyAlignment="1"/>
    <xf numFmtId="0" fontId="8712" fillId="0" borderId="8712" xfId="0" applyFont="1" applyBorder="1" applyAlignment="1"/>
    <xf numFmtId="0" fontId="8713" fillId="0" borderId="8713" xfId="0" applyFont="1" applyBorder="1" applyAlignment="1"/>
    <xf numFmtId="0" fontId="8714" fillId="0" borderId="8714" xfId="0" applyFont="1" applyBorder="1" applyAlignment="1"/>
    <xf numFmtId="0" fontId="8715" fillId="0" borderId="8715" xfId="0" applyFont="1" applyBorder="1" applyAlignment="1"/>
    <xf numFmtId="0" fontId="8716" fillId="0" borderId="8716" xfId="0" applyFont="1" applyBorder="1" applyAlignment="1"/>
    <xf numFmtId="0" fontId="8717" fillId="0" borderId="8717" xfId="0" applyFont="1" applyBorder="1" applyAlignment="1"/>
    <xf numFmtId="0" fontId="8718" fillId="0" borderId="8718" xfId="0" applyFont="1" applyBorder="1" applyAlignment="1"/>
    <xf numFmtId="0" fontId="8719" fillId="0" borderId="8719" xfId="0" applyFont="1" applyBorder="1" applyAlignment="1"/>
    <xf numFmtId="0" fontId="8720" fillId="0" borderId="8720" xfId="0" applyFont="1" applyBorder="1" applyAlignment="1"/>
    <xf numFmtId="0" fontId="8721" fillId="0" borderId="8721" xfId="0" applyFont="1" applyBorder="1" applyAlignment="1"/>
    <xf numFmtId="0" fontId="8722" fillId="0" borderId="8722" xfId="0" applyFont="1" applyBorder="1" applyAlignment="1"/>
    <xf numFmtId="0" fontId="8723" fillId="0" borderId="8723" xfId="0" applyFont="1" applyBorder="1" applyAlignment="1"/>
    <xf numFmtId="0" fontId="8724" fillId="0" borderId="8724" xfId="0" applyFont="1" applyBorder="1" applyAlignment="1"/>
    <xf numFmtId="0" fontId="8725" fillId="0" borderId="8725" xfId="0" applyFont="1" applyBorder="1" applyAlignment="1"/>
    <xf numFmtId="0" fontId="8726" fillId="0" borderId="8726" xfId="0" applyFont="1" applyBorder="1" applyAlignment="1"/>
    <xf numFmtId="0" fontId="8727" fillId="0" borderId="8727" xfId="0" applyFont="1" applyBorder="1" applyAlignment="1"/>
    <xf numFmtId="0" fontId="8728" fillId="0" borderId="8728" xfId="0" applyFont="1" applyBorder="1" applyAlignment="1"/>
    <xf numFmtId="0" fontId="8729" fillId="0" borderId="8729" xfId="0" applyFont="1" applyBorder="1" applyAlignment="1"/>
    <xf numFmtId="0" fontId="8730" fillId="0" borderId="8730" xfId="0" applyFont="1" applyBorder="1" applyAlignment="1"/>
    <xf numFmtId="0" fontId="8731" fillId="0" borderId="8731" xfId="0" applyFont="1" applyBorder="1" applyAlignment="1"/>
    <xf numFmtId="0" fontId="8732" fillId="0" borderId="8732" xfId="0" applyFont="1" applyBorder="1" applyAlignment="1"/>
    <xf numFmtId="0" fontId="8733" fillId="0" borderId="8733" xfId="0" applyFont="1" applyBorder="1" applyAlignment="1"/>
    <xf numFmtId="0" fontId="8734" fillId="0" borderId="8734" xfId="0" applyFont="1" applyBorder="1" applyAlignment="1"/>
    <xf numFmtId="0" fontId="8735" fillId="0" borderId="8735" xfId="0" applyFont="1" applyBorder="1" applyAlignment="1"/>
    <xf numFmtId="0" fontId="8736" fillId="0" borderId="8736" xfId="0" applyFont="1" applyBorder="1" applyAlignment="1"/>
    <xf numFmtId="0" fontId="8737" fillId="0" borderId="8737" xfId="0" applyFont="1" applyBorder="1" applyAlignment="1"/>
    <xf numFmtId="0" fontId="8738" fillId="0" borderId="8738" xfId="0" applyFont="1" applyBorder="1" applyAlignment="1"/>
    <xf numFmtId="0" fontId="8739" fillId="0" borderId="8739" xfId="0" applyFont="1" applyBorder="1" applyAlignment="1"/>
    <xf numFmtId="0" fontId="8740" fillId="0" borderId="8740" xfId="0" applyFont="1" applyBorder="1" applyAlignment="1"/>
    <xf numFmtId="0" fontId="8741" fillId="0" borderId="8741" xfId="0" applyFont="1" applyBorder="1" applyAlignment="1"/>
    <xf numFmtId="0" fontId="8742" fillId="0" borderId="8742" xfId="0" applyFont="1" applyBorder="1" applyAlignment="1"/>
    <xf numFmtId="0" fontId="8743" fillId="0" borderId="8743" xfId="0" applyFont="1" applyBorder="1" applyAlignment="1"/>
    <xf numFmtId="0" fontId="8744" fillId="0" borderId="8744" xfId="0" applyFont="1" applyBorder="1" applyAlignment="1"/>
    <xf numFmtId="0" fontId="8745" fillId="0" borderId="8745" xfId="0" applyFont="1" applyBorder="1" applyAlignment="1"/>
    <xf numFmtId="0" fontId="8746" fillId="0" borderId="8746" xfId="0" applyFont="1" applyBorder="1" applyAlignment="1"/>
    <xf numFmtId="0" fontId="8747" fillId="0" borderId="8747" xfId="0" applyFont="1" applyBorder="1" applyAlignment="1"/>
    <xf numFmtId="0" fontId="8748" fillId="0" borderId="8748" xfId="0" applyFont="1" applyBorder="1" applyAlignment="1"/>
    <xf numFmtId="0" fontId="8749" fillId="0" borderId="8749" xfId="0" applyFont="1" applyBorder="1" applyAlignment="1"/>
    <xf numFmtId="0" fontId="8750" fillId="0" borderId="8750" xfId="0" applyFont="1" applyBorder="1" applyAlignment="1"/>
    <xf numFmtId="0" fontId="8751" fillId="0" borderId="8751" xfId="0" applyFont="1" applyBorder="1" applyAlignment="1"/>
    <xf numFmtId="0" fontId="8752" fillId="0" borderId="8752" xfId="0" applyFont="1" applyBorder="1" applyAlignment="1"/>
    <xf numFmtId="0" fontId="8753" fillId="0" borderId="8753" xfId="0" applyFont="1" applyBorder="1" applyAlignment="1"/>
    <xf numFmtId="0" fontId="8754" fillId="0" borderId="8754" xfId="0" applyFont="1" applyBorder="1" applyAlignment="1"/>
    <xf numFmtId="0" fontId="8755" fillId="0" borderId="8755" xfId="0" applyFont="1" applyBorder="1" applyAlignment="1"/>
    <xf numFmtId="0" fontId="8756" fillId="0" borderId="8756" xfId="0" applyFont="1" applyBorder="1" applyAlignment="1"/>
    <xf numFmtId="0" fontId="8757" fillId="0" borderId="8757" xfId="0" applyFont="1" applyBorder="1" applyAlignment="1"/>
    <xf numFmtId="0" fontId="8758" fillId="0" borderId="8758" xfId="0" applyFont="1" applyBorder="1" applyAlignment="1"/>
    <xf numFmtId="0" fontId="8759" fillId="0" borderId="8759" xfId="0" applyFont="1" applyBorder="1" applyAlignment="1"/>
    <xf numFmtId="0" fontId="8760" fillId="0" borderId="8760" xfId="0" applyFont="1" applyBorder="1" applyAlignment="1"/>
    <xf numFmtId="0" fontId="8761" fillId="0" borderId="8761" xfId="0" applyFont="1" applyBorder="1" applyAlignment="1"/>
    <xf numFmtId="0" fontId="8762" fillId="0" borderId="8762" xfId="0" applyFont="1" applyBorder="1" applyAlignment="1"/>
    <xf numFmtId="0" fontId="8763" fillId="0" borderId="8763" xfId="0" applyFont="1" applyBorder="1" applyAlignment="1"/>
    <xf numFmtId="0" fontId="8764" fillId="0" borderId="8764" xfId="0" applyFont="1" applyBorder="1" applyAlignment="1"/>
    <xf numFmtId="0" fontId="8765" fillId="0" borderId="8765" xfId="0" applyFont="1" applyBorder="1" applyAlignment="1"/>
    <xf numFmtId="0" fontId="8766" fillId="0" borderId="8766" xfId="0" applyFont="1" applyBorder="1" applyAlignment="1"/>
    <xf numFmtId="0" fontId="8767" fillId="0" borderId="8767" xfId="0" applyFont="1" applyBorder="1" applyAlignment="1"/>
    <xf numFmtId="0" fontId="8768" fillId="0" borderId="8768" xfId="0" applyFont="1" applyBorder="1" applyAlignment="1"/>
    <xf numFmtId="0" fontId="8769" fillId="0" borderId="8769" xfId="0" applyFont="1" applyBorder="1" applyAlignment="1"/>
    <xf numFmtId="0" fontId="8770" fillId="0" borderId="8770" xfId="0" applyFont="1" applyBorder="1" applyAlignment="1"/>
    <xf numFmtId="0" fontId="8771" fillId="0" borderId="8771" xfId="0" applyFont="1" applyBorder="1" applyAlignment="1"/>
    <xf numFmtId="0" fontId="8772" fillId="0" borderId="8772" xfId="0" applyFont="1" applyBorder="1" applyAlignment="1"/>
    <xf numFmtId="0" fontId="8773" fillId="0" borderId="8773" xfId="0" applyFont="1" applyBorder="1" applyAlignment="1"/>
    <xf numFmtId="0" fontId="8774" fillId="0" borderId="8774" xfId="0" applyFont="1" applyBorder="1" applyAlignment="1"/>
    <xf numFmtId="0" fontId="8775" fillId="0" borderId="8775" xfId="0" applyFont="1" applyBorder="1" applyAlignment="1"/>
    <xf numFmtId="0" fontId="8776" fillId="0" borderId="8776" xfId="0" applyFont="1" applyBorder="1" applyAlignment="1"/>
    <xf numFmtId="0" fontId="8777" fillId="0" borderId="8777" xfId="0" applyFont="1" applyBorder="1" applyAlignment="1"/>
    <xf numFmtId="0" fontId="8778" fillId="0" borderId="8778" xfId="0" applyFont="1" applyBorder="1" applyAlignment="1"/>
    <xf numFmtId="0" fontId="8779" fillId="0" borderId="8779" xfId="0" applyFont="1" applyBorder="1" applyAlignment="1"/>
    <xf numFmtId="0" fontId="8780" fillId="0" borderId="8780" xfId="0" applyFont="1" applyBorder="1" applyAlignment="1"/>
    <xf numFmtId="0" fontId="8781" fillId="0" borderId="8781" xfId="0" applyFont="1" applyBorder="1" applyAlignment="1"/>
    <xf numFmtId="0" fontId="8782" fillId="0" borderId="8782" xfId="0" applyFont="1" applyBorder="1" applyAlignment="1"/>
    <xf numFmtId="0" fontId="8783" fillId="0" borderId="8783" xfId="0" applyFont="1" applyBorder="1" applyAlignment="1"/>
    <xf numFmtId="0" fontId="8784" fillId="0" borderId="8784" xfId="0" applyFont="1" applyBorder="1" applyAlignment="1"/>
    <xf numFmtId="0" fontId="8785" fillId="0" borderId="8785" xfId="0" applyFont="1" applyBorder="1" applyAlignment="1"/>
    <xf numFmtId="0" fontId="8786" fillId="0" borderId="8786" xfId="0" applyFont="1" applyBorder="1" applyAlignment="1"/>
    <xf numFmtId="0" fontId="8787" fillId="0" borderId="8787" xfId="0" applyFont="1" applyBorder="1" applyAlignment="1"/>
    <xf numFmtId="0" fontId="8788" fillId="0" borderId="8788" xfId="0" applyFont="1" applyBorder="1" applyAlignment="1"/>
    <xf numFmtId="0" fontId="8789" fillId="0" borderId="8789" xfId="0" applyFont="1" applyBorder="1" applyAlignment="1"/>
    <xf numFmtId="0" fontId="8790" fillId="0" borderId="8790" xfId="0" applyFont="1" applyBorder="1" applyAlignment="1"/>
    <xf numFmtId="0" fontId="8791" fillId="0" borderId="8791" xfId="0" applyFont="1" applyBorder="1" applyAlignment="1"/>
    <xf numFmtId="0" fontId="8792" fillId="0" borderId="8792" xfId="0" applyFont="1" applyBorder="1" applyAlignment="1"/>
    <xf numFmtId="0" fontId="8793" fillId="0" borderId="8793" xfId="0" applyFont="1" applyBorder="1" applyAlignment="1"/>
    <xf numFmtId="0" fontId="8794" fillId="0" borderId="8794" xfId="0" applyFont="1" applyBorder="1" applyAlignment="1"/>
    <xf numFmtId="0" fontId="8795" fillId="0" borderId="8795" xfId="0" applyFont="1" applyBorder="1" applyAlignment="1"/>
    <xf numFmtId="0" fontId="8796" fillId="0" borderId="8796" xfId="0" applyFont="1" applyBorder="1" applyAlignment="1"/>
    <xf numFmtId="0" fontId="8797" fillId="0" borderId="8797" xfId="0" applyFont="1" applyBorder="1" applyAlignment="1"/>
    <xf numFmtId="0" fontId="8798" fillId="0" borderId="8798" xfId="0" applyFont="1" applyBorder="1" applyAlignment="1"/>
    <xf numFmtId="0" fontId="8799" fillId="0" borderId="8799" xfId="0" applyFont="1" applyBorder="1" applyAlignment="1"/>
    <xf numFmtId="0" fontId="8800" fillId="0" borderId="8800" xfId="0" applyFont="1" applyBorder="1" applyAlignment="1"/>
    <xf numFmtId="0" fontId="8801" fillId="0" borderId="8801" xfId="0" applyFont="1" applyBorder="1" applyAlignment="1"/>
    <xf numFmtId="0" fontId="8802" fillId="0" borderId="8802" xfId="0" applyFont="1" applyBorder="1" applyAlignment="1"/>
    <xf numFmtId="0" fontId="8803" fillId="0" borderId="8803" xfId="0" applyFont="1" applyBorder="1" applyAlignment="1"/>
    <xf numFmtId="0" fontId="8804" fillId="0" borderId="8804" xfId="0" applyFont="1" applyBorder="1" applyAlignment="1"/>
    <xf numFmtId="0" fontId="8805" fillId="0" borderId="8805" xfId="0" applyFont="1" applyBorder="1" applyAlignment="1"/>
    <xf numFmtId="0" fontId="8806" fillId="0" borderId="8806" xfId="0" applyFont="1" applyBorder="1" applyAlignment="1"/>
    <xf numFmtId="0" fontId="8807" fillId="0" borderId="8807" xfId="0" applyFont="1" applyBorder="1" applyAlignment="1"/>
    <xf numFmtId="0" fontId="8808" fillId="0" borderId="8808" xfId="0" applyFont="1" applyBorder="1" applyAlignment="1"/>
    <xf numFmtId="0" fontId="8809" fillId="0" borderId="8809" xfId="0" applyFont="1" applyBorder="1" applyAlignment="1"/>
    <xf numFmtId="0" fontId="8810" fillId="0" borderId="8810" xfId="0" applyFont="1" applyBorder="1" applyAlignment="1"/>
    <xf numFmtId="0" fontId="8811" fillId="0" borderId="8811" xfId="0" applyFont="1" applyBorder="1" applyAlignment="1"/>
    <xf numFmtId="0" fontId="8812" fillId="0" borderId="8812" xfId="0" applyFont="1" applyBorder="1" applyAlignment="1"/>
    <xf numFmtId="0" fontId="8813" fillId="0" borderId="8813" xfId="0" applyFont="1" applyBorder="1" applyAlignment="1"/>
    <xf numFmtId="0" fontId="8814" fillId="0" borderId="8814" xfId="0" applyFont="1" applyBorder="1" applyAlignment="1"/>
    <xf numFmtId="0" fontId="8815" fillId="0" borderId="8815" xfId="0" applyFont="1" applyBorder="1" applyAlignment="1"/>
    <xf numFmtId="0" fontId="8816" fillId="0" borderId="8816" xfId="0" applyFont="1" applyBorder="1" applyAlignment="1"/>
    <xf numFmtId="0" fontId="8817" fillId="0" borderId="8817" xfId="0" applyFont="1" applyBorder="1" applyAlignment="1"/>
    <xf numFmtId="0" fontId="8818" fillId="0" borderId="8818" xfId="0" applyFont="1" applyBorder="1" applyAlignment="1"/>
    <xf numFmtId="0" fontId="8819" fillId="0" borderId="8819" xfId="0" applyFont="1" applyBorder="1" applyAlignment="1"/>
    <xf numFmtId="0" fontId="8820" fillId="0" borderId="8820" xfId="0" applyFont="1" applyBorder="1" applyAlignment="1"/>
    <xf numFmtId="0" fontId="8821" fillId="0" borderId="8821" xfId="0" applyFont="1" applyBorder="1" applyAlignment="1"/>
    <xf numFmtId="0" fontId="8822" fillId="0" borderId="8822" xfId="0" applyFont="1" applyBorder="1" applyAlignment="1"/>
    <xf numFmtId="0" fontId="8823" fillId="0" borderId="8823" xfId="0" applyFont="1" applyBorder="1" applyAlignment="1"/>
    <xf numFmtId="0" fontId="8824" fillId="0" borderId="8824" xfId="0" applyFont="1" applyBorder="1" applyAlignment="1"/>
    <xf numFmtId="0" fontId="8825" fillId="0" borderId="8825" xfId="0" applyFont="1" applyBorder="1" applyAlignment="1"/>
    <xf numFmtId="0" fontId="8826" fillId="0" borderId="8826" xfId="0" applyFont="1" applyBorder="1" applyAlignment="1"/>
    <xf numFmtId="0" fontId="8827" fillId="0" borderId="8827" xfId="0" applyFont="1" applyBorder="1" applyAlignment="1"/>
    <xf numFmtId="0" fontId="8828" fillId="0" borderId="8828" xfId="0" applyFont="1" applyBorder="1" applyAlignment="1"/>
    <xf numFmtId="0" fontId="8829" fillId="0" borderId="8829" xfId="0" applyFont="1" applyBorder="1" applyAlignment="1"/>
    <xf numFmtId="0" fontId="8830" fillId="0" borderId="8830" xfId="0" applyFont="1" applyBorder="1" applyAlignment="1"/>
    <xf numFmtId="0" fontId="8831" fillId="0" borderId="8831" xfId="0" applyFont="1" applyBorder="1" applyAlignment="1"/>
    <xf numFmtId="0" fontId="8832" fillId="0" borderId="8832" xfId="0" applyFont="1" applyBorder="1" applyAlignment="1"/>
    <xf numFmtId="0" fontId="8833" fillId="0" borderId="8833" xfId="0" applyFont="1" applyBorder="1" applyAlignment="1"/>
    <xf numFmtId="0" fontId="8834" fillId="0" borderId="8834" xfId="0" applyFont="1" applyBorder="1" applyAlignment="1"/>
    <xf numFmtId="0" fontId="8835" fillId="0" borderId="8835" xfId="0" applyFont="1" applyBorder="1" applyAlignment="1"/>
    <xf numFmtId="0" fontId="8836" fillId="0" borderId="8836" xfId="0" applyFont="1" applyBorder="1" applyAlignment="1"/>
    <xf numFmtId="0" fontId="8837" fillId="0" borderId="8837" xfId="0" applyFont="1" applyBorder="1" applyAlignment="1"/>
    <xf numFmtId="0" fontId="8838" fillId="0" borderId="8838" xfId="0" applyFont="1" applyBorder="1" applyAlignment="1"/>
    <xf numFmtId="0" fontId="8839" fillId="0" borderId="8839" xfId="0" applyFont="1" applyBorder="1" applyAlignment="1"/>
    <xf numFmtId="0" fontId="8840" fillId="0" borderId="8840" xfId="0" applyFont="1" applyBorder="1" applyAlignment="1"/>
    <xf numFmtId="0" fontId="8841" fillId="0" borderId="8841" xfId="0" applyFont="1" applyBorder="1" applyAlignment="1"/>
    <xf numFmtId="0" fontId="8842" fillId="0" borderId="8842" xfId="0" applyFont="1" applyBorder="1" applyAlignment="1"/>
    <xf numFmtId="0" fontId="8843" fillId="0" borderId="8843" xfId="0" applyFont="1" applyBorder="1" applyAlignment="1"/>
    <xf numFmtId="0" fontId="8844" fillId="0" borderId="8844" xfId="0" applyFont="1" applyBorder="1" applyAlignment="1"/>
    <xf numFmtId="0" fontId="8845" fillId="0" borderId="8845" xfId="0" applyFont="1" applyBorder="1" applyAlignment="1"/>
    <xf numFmtId="0" fontId="8846" fillId="0" borderId="8846" xfId="0" applyFont="1" applyBorder="1" applyAlignment="1"/>
    <xf numFmtId="0" fontId="8847" fillId="0" borderId="8847" xfId="0" applyFont="1" applyBorder="1" applyAlignment="1"/>
    <xf numFmtId="0" fontId="8848" fillId="0" borderId="8848" xfId="0" applyFont="1" applyBorder="1" applyAlignment="1"/>
    <xf numFmtId="0" fontId="8849" fillId="0" borderId="8849" xfId="0" applyFont="1" applyBorder="1" applyAlignment="1"/>
    <xf numFmtId="0" fontId="8850" fillId="0" borderId="8850" xfId="0" applyFont="1" applyBorder="1" applyAlignment="1"/>
    <xf numFmtId="0" fontId="8851" fillId="0" borderId="8851" xfId="0" applyFont="1" applyBorder="1" applyAlignment="1"/>
    <xf numFmtId="0" fontId="8852" fillId="0" borderId="8852" xfId="0" applyFont="1" applyBorder="1" applyAlignment="1"/>
    <xf numFmtId="0" fontId="8853" fillId="0" borderId="8853" xfId="0" applyFont="1" applyBorder="1" applyAlignment="1"/>
    <xf numFmtId="0" fontId="8854" fillId="0" borderId="8854" xfId="0" applyFont="1" applyBorder="1" applyAlignment="1"/>
    <xf numFmtId="0" fontId="8855" fillId="0" borderId="8855" xfId="0" applyFont="1" applyBorder="1" applyAlignment="1"/>
    <xf numFmtId="0" fontId="8856" fillId="0" borderId="8856" xfId="0" applyFont="1" applyBorder="1" applyAlignment="1"/>
    <xf numFmtId="0" fontId="8857" fillId="0" borderId="8857" xfId="0" applyFont="1" applyBorder="1" applyAlignment="1"/>
    <xf numFmtId="0" fontId="8858" fillId="0" borderId="8858" xfId="0" applyFont="1" applyBorder="1" applyAlignment="1"/>
    <xf numFmtId="0" fontId="8859" fillId="0" borderId="8859" xfId="0" applyFont="1" applyBorder="1" applyAlignment="1"/>
    <xf numFmtId="0" fontId="8860" fillId="0" borderId="8860" xfId="0" applyFont="1" applyBorder="1" applyAlignment="1"/>
    <xf numFmtId="0" fontId="8861" fillId="0" borderId="8861" xfId="0" applyFont="1" applyBorder="1" applyAlignment="1"/>
    <xf numFmtId="0" fontId="8862" fillId="0" borderId="8862" xfId="0" applyFont="1" applyBorder="1" applyAlignment="1"/>
    <xf numFmtId="0" fontId="8863" fillId="0" borderId="8863" xfId="0" applyFont="1" applyBorder="1" applyAlignment="1"/>
    <xf numFmtId="0" fontId="8864" fillId="0" borderId="8864" xfId="0" applyFont="1" applyBorder="1" applyAlignment="1"/>
    <xf numFmtId="0" fontId="8865" fillId="0" borderId="8865" xfId="0" applyFont="1" applyBorder="1" applyAlignment="1"/>
    <xf numFmtId="0" fontId="8866" fillId="0" borderId="8866" xfId="0" applyFont="1" applyBorder="1" applyAlignment="1"/>
    <xf numFmtId="0" fontId="8867" fillId="0" borderId="8867" xfId="0" applyFont="1" applyBorder="1" applyAlignment="1"/>
    <xf numFmtId="0" fontId="8868" fillId="0" borderId="8868" xfId="0" applyFont="1" applyBorder="1" applyAlignment="1"/>
    <xf numFmtId="0" fontId="8869" fillId="0" borderId="8869" xfId="0" applyFont="1" applyBorder="1" applyAlignment="1"/>
    <xf numFmtId="0" fontId="8870" fillId="0" borderId="8870" xfId="0" applyFont="1" applyBorder="1" applyAlignment="1"/>
    <xf numFmtId="0" fontId="8871" fillId="0" borderId="8871" xfId="0" applyFont="1" applyBorder="1" applyAlignment="1"/>
    <xf numFmtId="0" fontId="8872" fillId="0" borderId="8872" xfId="0" applyFont="1" applyBorder="1" applyAlignment="1"/>
    <xf numFmtId="0" fontId="8873" fillId="0" borderId="8873" xfId="0" applyFont="1" applyBorder="1" applyAlignment="1"/>
    <xf numFmtId="0" fontId="8874" fillId="0" borderId="8874" xfId="0" applyFont="1" applyBorder="1" applyAlignment="1"/>
    <xf numFmtId="0" fontId="8875" fillId="0" borderId="8875" xfId="0" applyFont="1" applyBorder="1" applyAlignment="1"/>
    <xf numFmtId="0" fontId="8876" fillId="0" borderId="8876" xfId="0" applyFont="1" applyBorder="1" applyAlignment="1"/>
    <xf numFmtId="0" fontId="8877" fillId="0" borderId="8877" xfId="0" applyFont="1" applyBorder="1" applyAlignment="1"/>
    <xf numFmtId="0" fontId="8878" fillId="0" borderId="8878" xfId="0" applyFont="1" applyBorder="1" applyAlignment="1"/>
    <xf numFmtId="0" fontId="8879" fillId="0" borderId="8879" xfId="0" applyFont="1" applyBorder="1" applyAlignment="1"/>
    <xf numFmtId="0" fontId="8880" fillId="0" borderId="8880" xfId="0" applyFont="1" applyBorder="1" applyAlignment="1"/>
    <xf numFmtId="0" fontId="8881" fillId="0" borderId="8881" xfId="0" applyFont="1" applyBorder="1" applyAlignment="1"/>
    <xf numFmtId="0" fontId="8882" fillId="0" borderId="8882" xfId="0" applyFont="1" applyBorder="1" applyAlignment="1"/>
    <xf numFmtId="0" fontId="8883" fillId="0" borderId="8883" xfId="0" applyFont="1" applyBorder="1" applyAlignment="1"/>
    <xf numFmtId="0" fontId="8884" fillId="0" borderId="8884" xfId="0" applyFont="1" applyBorder="1" applyAlignment="1"/>
    <xf numFmtId="0" fontId="8885" fillId="0" borderId="8885" xfId="0" applyFont="1" applyBorder="1" applyAlignment="1"/>
    <xf numFmtId="0" fontId="8886" fillId="0" borderId="8886" xfId="0" applyFont="1" applyBorder="1" applyAlignment="1"/>
    <xf numFmtId="0" fontId="8887" fillId="0" borderId="8887" xfId="0" applyFont="1" applyBorder="1" applyAlignment="1"/>
    <xf numFmtId="0" fontId="8888" fillId="0" borderId="8888" xfId="0" applyFont="1" applyBorder="1" applyAlignment="1"/>
    <xf numFmtId="0" fontId="8889" fillId="0" borderId="8889" xfId="0" applyFont="1" applyBorder="1" applyAlignment="1"/>
    <xf numFmtId="0" fontId="8890" fillId="0" borderId="8890" xfId="0" applyFont="1" applyBorder="1" applyAlignment="1"/>
    <xf numFmtId="0" fontId="8891" fillId="0" borderId="8891" xfId="0" applyFont="1" applyBorder="1" applyAlignment="1"/>
    <xf numFmtId="0" fontId="8892" fillId="0" borderId="8892" xfId="0" applyFont="1" applyBorder="1" applyAlignment="1"/>
    <xf numFmtId="0" fontId="8893" fillId="0" borderId="8893" xfId="0" applyFont="1" applyBorder="1" applyAlignment="1"/>
    <xf numFmtId="0" fontId="8894" fillId="0" borderId="8894" xfId="0" applyFont="1" applyBorder="1" applyAlignment="1"/>
    <xf numFmtId="0" fontId="8895" fillId="0" borderId="8895" xfId="0" applyFont="1" applyBorder="1" applyAlignment="1"/>
    <xf numFmtId="0" fontId="8896" fillId="0" borderId="8896" xfId="0" applyFont="1" applyBorder="1" applyAlignment="1"/>
    <xf numFmtId="0" fontId="8897" fillId="0" borderId="8897" xfId="0" applyFont="1" applyBorder="1" applyAlignment="1"/>
    <xf numFmtId="0" fontId="8898" fillId="0" borderId="8898" xfId="0" applyFont="1" applyBorder="1" applyAlignment="1"/>
    <xf numFmtId="0" fontId="8899" fillId="0" borderId="8899" xfId="0" applyFont="1" applyBorder="1" applyAlignment="1"/>
    <xf numFmtId="0" fontId="8900" fillId="0" borderId="8900" xfId="0" applyFont="1" applyBorder="1" applyAlignment="1"/>
    <xf numFmtId="0" fontId="8901" fillId="0" borderId="8901" xfId="0" applyFont="1" applyBorder="1" applyAlignment="1"/>
    <xf numFmtId="0" fontId="8902" fillId="0" borderId="8902" xfId="0" applyFont="1" applyBorder="1" applyAlignment="1"/>
    <xf numFmtId="0" fontId="8903" fillId="0" borderId="8903" xfId="0" applyFont="1" applyBorder="1" applyAlignment="1"/>
    <xf numFmtId="0" fontId="8904" fillId="0" borderId="8904" xfId="0" applyFont="1" applyBorder="1" applyAlignment="1"/>
    <xf numFmtId="0" fontId="8905" fillId="0" borderId="8905" xfId="0" applyFont="1" applyBorder="1" applyAlignment="1"/>
    <xf numFmtId="0" fontId="8906" fillId="0" borderId="8906" xfId="0" applyFont="1" applyBorder="1" applyAlignment="1"/>
    <xf numFmtId="0" fontId="8907" fillId="0" borderId="8907" xfId="0" applyFont="1" applyBorder="1" applyAlignment="1"/>
    <xf numFmtId="0" fontId="8908" fillId="0" borderId="8908" xfId="0" applyFont="1" applyBorder="1" applyAlignment="1"/>
    <xf numFmtId="0" fontId="8909" fillId="0" borderId="8909" xfId="0" applyFont="1" applyBorder="1" applyAlignment="1"/>
    <xf numFmtId="0" fontId="8910" fillId="0" borderId="8910" xfId="0" applyFont="1" applyBorder="1" applyAlignment="1"/>
    <xf numFmtId="0" fontId="8911" fillId="0" borderId="8911" xfId="0" applyFont="1" applyBorder="1" applyAlignment="1"/>
    <xf numFmtId="0" fontId="8912" fillId="0" borderId="8912" xfId="0" applyFont="1" applyBorder="1" applyAlignment="1"/>
    <xf numFmtId="0" fontId="8913" fillId="0" borderId="8913" xfId="0" applyFont="1" applyBorder="1" applyAlignment="1"/>
    <xf numFmtId="0" fontId="8914" fillId="0" borderId="8914" xfId="0" applyFont="1" applyBorder="1" applyAlignment="1"/>
    <xf numFmtId="0" fontId="8915" fillId="0" borderId="8915" xfId="0" applyFont="1" applyBorder="1" applyAlignment="1"/>
    <xf numFmtId="0" fontId="8916" fillId="0" borderId="8916" xfId="0" applyFont="1" applyBorder="1" applyAlignment="1"/>
    <xf numFmtId="0" fontId="8917" fillId="0" borderId="8917" xfId="0" applyFont="1" applyBorder="1" applyAlignment="1"/>
    <xf numFmtId="0" fontId="8918" fillId="0" borderId="8918" xfId="0" applyFont="1" applyBorder="1" applyAlignment="1"/>
    <xf numFmtId="0" fontId="8919" fillId="0" borderId="8919" xfId="0" applyFont="1" applyBorder="1" applyAlignment="1"/>
    <xf numFmtId="0" fontId="8920" fillId="0" borderId="8920" xfId="0" applyFont="1" applyBorder="1" applyAlignment="1"/>
    <xf numFmtId="0" fontId="8921" fillId="0" borderId="8921" xfId="0" applyFont="1" applyBorder="1" applyAlignment="1"/>
    <xf numFmtId="0" fontId="8922" fillId="0" borderId="8922" xfId="0" applyFont="1" applyBorder="1" applyAlignment="1"/>
    <xf numFmtId="0" fontId="8923" fillId="0" borderId="8923" xfId="0" applyFont="1" applyBorder="1" applyAlignment="1"/>
    <xf numFmtId="0" fontId="8924" fillId="0" borderId="8924" xfId="0" applyFont="1" applyBorder="1" applyAlignment="1"/>
    <xf numFmtId="0" fontId="8925" fillId="0" borderId="8925" xfId="0" applyFont="1" applyBorder="1" applyAlignment="1"/>
    <xf numFmtId="0" fontId="8926" fillId="0" borderId="8926" xfId="0" applyFont="1" applyBorder="1" applyAlignment="1"/>
    <xf numFmtId="0" fontId="8927" fillId="0" borderId="8927" xfId="0" applyFont="1" applyBorder="1" applyAlignment="1"/>
    <xf numFmtId="0" fontId="8928" fillId="0" borderId="8928" xfId="0" applyFont="1" applyBorder="1" applyAlignment="1"/>
    <xf numFmtId="0" fontId="8929" fillId="0" borderId="8929" xfId="0" applyFont="1" applyBorder="1" applyAlignment="1"/>
    <xf numFmtId="0" fontId="8930" fillId="0" borderId="8930" xfId="0" applyFont="1" applyBorder="1" applyAlignment="1"/>
    <xf numFmtId="0" fontId="8931" fillId="0" borderId="8931" xfId="0" applyFont="1" applyBorder="1" applyAlignment="1"/>
    <xf numFmtId="0" fontId="8932" fillId="0" borderId="8932" xfId="0" applyFont="1" applyBorder="1" applyAlignment="1"/>
    <xf numFmtId="0" fontId="8933" fillId="0" borderId="8933" xfId="0" applyFont="1" applyBorder="1" applyAlignment="1"/>
    <xf numFmtId="0" fontId="8934" fillId="0" borderId="8934" xfId="0" applyFont="1" applyBorder="1" applyAlignment="1"/>
    <xf numFmtId="0" fontId="8935" fillId="0" borderId="8935" xfId="0" applyFont="1" applyBorder="1" applyAlignment="1"/>
    <xf numFmtId="0" fontId="8936" fillId="0" borderId="8936" xfId="0" applyFont="1" applyBorder="1" applyAlignment="1"/>
    <xf numFmtId="0" fontId="8937" fillId="0" borderId="8937" xfId="0" applyFont="1" applyBorder="1" applyAlignment="1"/>
    <xf numFmtId="0" fontId="8938" fillId="0" borderId="8938" xfId="0" applyFont="1" applyBorder="1" applyAlignment="1"/>
    <xf numFmtId="0" fontId="8939" fillId="0" borderId="8939" xfId="0" applyFont="1" applyBorder="1" applyAlignment="1"/>
    <xf numFmtId="0" fontId="8940" fillId="0" borderId="8940" xfId="0" applyFont="1" applyBorder="1" applyAlignment="1"/>
    <xf numFmtId="0" fontId="8941" fillId="0" borderId="8941" xfId="0" applyFont="1" applyBorder="1" applyAlignment="1"/>
    <xf numFmtId="0" fontId="8942" fillId="0" borderId="8942" xfId="0" applyFont="1" applyBorder="1" applyAlignment="1"/>
    <xf numFmtId="0" fontId="8943" fillId="0" borderId="8943" xfId="0" applyFont="1" applyBorder="1" applyAlignment="1"/>
    <xf numFmtId="0" fontId="8944" fillId="0" borderId="8944" xfId="0" applyFont="1" applyBorder="1" applyAlignment="1"/>
    <xf numFmtId="0" fontId="8945" fillId="0" borderId="8945" xfId="0" applyFont="1" applyBorder="1" applyAlignment="1"/>
    <xf numFmtId="0" fontId="8946" fillId="0" borderId="8946" xfId="0" applyFont="1" applyBorder="1" applyAlignment="1"/>
    <xf numFmtId="0" fontId="8947" fillId="0" borderId="8947" xfId="0" applyFont="1" applyBorder="1" applyAlignment="1"/>
    <xf numFmtId="0" fontId="8948" fillId="0" borderId="8948" xfId="0" applyFont="1" applyBorder="1" applyAlignment="1"/>
    <xf numFmtId="0" fontId="8949" fillId="0" borderId="8949" xfId="0" applyFont="1" applyBorder="1" applyAlignment="1"/>
    <xf numFmtId="0" fontId="8950" fillId="0" borderId="8950" xfId="0" applyFont="1" applyBorder="1" applyAlignment="1"/>
    <xf numFmtId="0" fontId="8951" fillId="0" borderId="8951" xfId="0" applyFont="1" applyBorder="1" applyAlignment="1"/>
    <xf numFmtId="0" fontId="8952" fillId="0" borderId="8952" xfId="0" applyFont="1" applyBorder="1" applyAlignment="1"/>
    <xf numFmtId="0" fontId="8953" fillId="0" borderId="8953" xfId="0" applyFont="1" applyBorder="1" applyAlignment="1"/>
    <xf numFmtId="0" fontId="8954" fillId="0" borderId="8954" xfId="0" applyFont="1" applyBorder="1" applyAlignment="1"/>
    <xf numFmtId="0" fontId="8955" fillId="0" borderId="8955" xfId="0" applyFont="1" applyBorder="1" applyAlignment="1"/>
    <xf numFmtId="0" fontId="8956" fillId="0" borderId="8956" xfId="0" applyFont="1" applyBorder="1" applyAlignment="1"/>
    <xf numFmtId="0" fontId="8957" fillId="0" borderId="8957" xfId="0" applyFont="1" applyBorder="1" applyAlignment="1"/>
    <xf numFmtId="0" fontId="8958" fillId="0" borderId="8958" xfId="0" applyFont="1" applyBorder="1" applyAlignment="1"/>
    <xf numFmtId="0" fontId="8959" fillId="0" borderId="8959" xfId="0" applyFont="1" applyBorder="1" applyAlignment="1"/>
    <xf numFmtId="0" fontId="8960" fillId="0" borderId="8960" xfId="0" applyFont="1" applyBorder="1" applyAlignment="1"/>
    <xf numFmtId="0" fontId="8961" fillId="0" borderId="8961" xfId="0" applyFont="1" applyBorder="1" applyAlignment="1"/>
    <xf numFmtId="0" fontId="8962" fillId="0" borderId="8962" xfId="0" applyFont="1" applyBorder="1" applyAlignment="1"/>
    <xf numFmtId="0" fontId="8963" fillId="0" borderId="8963" xfId="0" applyFont="1" applyBorder="1" applyAlignment="1"/>
    <xf numFmtId="0" fontId="8964" fillId="0" borderId="8964" xfId="0" applyFont="1" applyBorder="1" applyAlignment="1"/>
    <xf numFmtId="0" fontId="8965" fillId="0" borderId="8965" xfId="0" applyFont="1" applyBorder="1" applyAlignment="1"/>
    <xf numFmtId="0" fontId="8966" fillId="0" borderId="8966" xfId="0" applyFont="1" applyBorder="1" applyAlignment="1"/>
    <xf numFmtId="0" fontId="8967" fillId="0" borderId="8967" xfId="0" applyFont="1" applyBorder="1" applyAlignment="1"/>
    <xf numFmtId="0" fontId="8968" fillId="0" borderId="8968" xfId="0" applyFont="1" applyBorder="1" applyAlignment="1"/>
    <xf numFmtId="0" fontId="8969" fillId="0" borderId="8969" xfId="0" applyFont="1" applyBorder="1" applyAlignment="1"/>
    <xf numFmtId="0" fontId="8970" fillId="0" borderId="8970" xfId="0" applyFont="1" applyBorder="1" applyAlignment="1"/>
    <xf numFmtId="0" fontId="8971" fillId="0" borderId="8971" xfId="0" applyFont="1" applyBorder="1" applyAlignment="1"/>
    <xf numFmtId="0" fontId="8972" fillId="0" borderId="8972" xfId="0" applyFont="1" applyBorder="1" applyAlignment="1"/>
    <xf numFmtId="0" fontId="8973" fillId="0" borderId="8973" xfId="0" applyFont="1" applyBorder="1" applyAlignment="1"/>
    <xf numFmtId="0" fontId="8974" fillId="0" borderId="8974" xfId="0" applyFont="1" applyBorder="1" applyAlignment="1"/>
    <xf numFmtId="0" fontId="8975" fillId="0" borderId="8975" xfId="0" applyFont="1" applyBorder="1" applyAlignment="1"/>
    <xf numFmtId="0" fontId="8976" fillId="0" borderId="8976" xfId="0" applyFont="1" applyBorder="1" applyAlignment="1"/>
    <xf numFmtId="0" fontId="8977" fillId="0" borderId="8977" xfId="0" applyFont="1" applyBorder="1" applyAlignment="1"/>
    <xf numFmtId="0" fontId="8978" fillId="0" borderId="8978" xfId="0" applyFont="1" applyBorder="1" applyAlignment="1"/>
    <xf numFmtId="0" fontId="8979" fillId="0" borderId="8979" xfId="0" applyFont="1" applyBorder="1" applyAlignment="1"/>
    <xf numFmtId="0" fontId="8980" fillId="0" borderId="8980" xfId="0" applyFont="1" applyBorder="1" applyAlignment="1"/>
    <xf numFmtId="0" fontId="8981" fillId="0" borderId="8981" xfId="0" applyFont="1" applyBorder="1" applyAlignment="1"/>
    <xf numFmtId="0" fontId="8982" fillId="0" borderId="8982" xfId="0" applyFont="1" applyBorder="1" applyAlignment="1"/>
    <xf numFmtId="0" fontId="8983" fillId="0" borderId="8983" xfId="0" applyFont="1" applyBorder="1" applyAlignment="1"/>
    <xf numFmtId="0" fontId="8984" fillId="0" borderId="8984" xfId="0" applyFont="1" applyBorder="1" applyAlignment="1"/>
    <xf numFmtId="0" fontId="8985" fillId="0" borderId="8985" xfId="0" applyFont="1" applyBorder="1" applyAlignment="1"/>
    <xf numFmtId="0" fontId="8986" fillId="0" borderId="8986" xfId="0" applyFont="1" applyBorder="1" applyAlignment="1"/>
    <xf numFmtId="0" fontId="8987" fillId="0" borderId="8987" xfId="0" applyFont="1" applyBorder="1" applyAlignment="1"/>
    <xf numFmtId="0" fontId="8988" fillId="0" borderId="8988" xfId="0" applyFont="1" applyBorder="1" applyAlignment="1"/>
    <xf numFmtId="0" fontId="8989" fillId="0" borderId="8989" xfId="0" applyFont="1" applyBorder="1" applyAlignment="1"/>
    <xf numFmtId="0" fontId="8990" fillId="0" borderId="8990" xfId="0" applyFont="1" applyBorder="1" applyAlignment="1"/>
    <xf numFmtId="0" fontId="8991" fillId="0" borderId="8991" xfId="0" applyFont="1" applyBorder="1" applyAlignment="1"/>
    <xf numFmtId="0" fontId="8992" fillId="0" borderId="8992" xfId="0" applyFont="1" applyBorder="1" applyAlignment="1"/>
    <xf numFmtId="0" fontId="8993" fillId="0" borderId="8993" xfId="0" applyFont="1" applyBorder="1" applyAlignment="1"/>
    <xf numFmtId="0" fontId="8994" fillId="0" borderId="8994" xfId="0" applyFont="1" applyBorder="1" applyAlignment="1"/>
    <xf numFmtId="0" fontId="8995" fillId="0" borderId="8995" xfId="0" applyFont="1" applyBorder="1" applyAlignment="1"/>
    <xf numFmtId="0" fontId="8996" fillId="0" borderId="8996" xfId="0" applyFont="1" applyBorder="1" applyAlignment="1"/>
    <xf numFmtId="0" fontId="8997" fillId="0" borderId="8997" xfId="0" applyFont="1" applyBorder="1" applyAlignment="1"/>
    <xf numFmtId="0" fontId="8998" fillId="0" borderId="8998" xfId="0" applyFont="1" applyBorder="1" applyAlignment="1"/>
    <xf numFmtId="0" fontId="8999" fillId="0" borderId="8999" xfId="0" applyFont="1" applyBorder="1" applyAlignment="1"/>
    <xf numFmtId="0" fontId="9000" fillId="0" borderId="9000" xfId="0" applyFont="1" applyBorder="1" applyAlignment="1"/>
    <xf numFmtId="0" fontId="9001" fillId="0" borderId="9001" xfId="0" applyFont="1" applyBorder="1" applyAlignment="1"/>
    <xf numFmtId="0" fontId="9002" fillId="0" borderId="9002" xfId="0" applyFont="1" applyBorder="1" applyAlignment="1"/>
    <xf numFmtId="0" fontId="9003" fillId="0" borderId="9003" xfId="0" applyFont="1" applyBorder="1" applyAlignment="1"/>
    <xf numFmtId="0" fontId="9004" fillId="0" borderId="9004" xfId="0" applyFont="1" applyBorder="1" applyAlignment="1"/>
    <xf numFmtId="0" fontId="9005" fillId="0" borderId="9005" xfId="0" applyFont="1" applyBorder="1" applyAlignment="1"/>
    <xf numFmtId="0" fontId="9006" fillId="0" borderId="9006" xfId="0" applyFont="1" applyBorder="1" applyAlignment="1"/>
    <xf numFmtId="0" fontId="9007" fillId="0" borderId="9007" xfId="0" applyFont="1" applyBorder="1" applyAlignment="1"/>
    <xf numFmtId="0" fontId="9008" fillId="0" borderId="9008" xfId="0" applyFont="1" applyBorder="1" applyAlignment="1"/>
    <xf numFmtId="0" fontId="9009" fillId="0" borderId="9009" xfId="0" applyFont="1" applyBorder="1" applyAlignment="1"/>
    <xf numFmtId="0" fontId="9010" fillId="0" borderId="9010" xfId="0" applyFont="1" applyBorder="1" applyAlignment="1"/>
    <xf numFmtId="0" fontId="9011" fillId="0" borderId="9011" xfId="0" applyFont="1" applyBorder="1" applyAlignment="1"/>
    <xf numFmtId="0" fontId="9012" fillId="0" borderId="9012" xfId="0" applyFont="1" applyBorder="1" applyAlignment="1"/>
    <xf numFmtId="0" fontId="9013" fillId="0" borderId="9013" xfId="0" applyFont="1" applyBorder="1" applyAlignment="1"/>
    <xf numFmtId="0" fontId="9014" fillId="0" borderId="9014" xfId="0" applyFont="1" applyBorder="1" applyAlignment="1"/>
    <xf numFmtId="0" fontId="9015" fillId="0" borderId="9015" xfId="0" applyFont="1" applyBorder="1" applyAlignment="1"/>
    <xf numFmtId="0" fontId="9016" fillId="0" borderId="9016" xfId="0" applyFont="1" applyBorder="1" applyAlignment="1"/>
    <xf numFmtId="0" fontId="9017" fillId="0" borderId="9017" xfId="0" applyFont="1" applyBorder="1" applyAlignment="1"/>
    <xf numFmtId="0" fontId="9018" fillId="0" borderId="9018" xfId="0" applyFont="1" applyBorder="1" applyAlignment="1"/>
    <xf numFmtId="0" fontId="9019" fillId="0" borderId="9019" xfId="0" applyFont="1" applyBorder="1" applyAlignment="1"/>
    <xf numFmtId="0" fontId="9020" fillId="0" borderId="9020" xfId="0" applyFont="1" applyBorder="1" applyAlignment="1"/>
    <xf numFmtId="0" fontId="9021" fillId="0" borderId="9021" xfId="0" applyFont="1" applyBorder="1" applyAlignment="1"/>
    <xf numFmtId="0" fontId="9022" fillId="0" borderId="9022" xfId="0" applyFont="1" applyBorder="1" applyAlignment="1"/>
    <xf numFmtId="0" fontId="9023" fillId="0" borderId="9023" xfId="0" applyFont="1" applyBorder="1" applyAlignment="1"/>
    <xf numFmtId="0" fontId="9024" fillId="0" borderId="9024" xfId="0" applyFont="1" applyBorder="1" applyAlignment="1"/>
    <xf numFmtId="0" fontId="9025" fillId="0" borderId="9025" xfId="0" applyFont="1" applyBorder="1" applyAlignment="1"/>
    <xf numFmtId="0" fontId="9026" fillId="0" borderId="9026" xfId="0" applyFont="1" applyBorder="1" applyAlignment="1"/>
    <xf numFmtId="0" fontId="9027" fillId="0" borderId="9027" xfId="0" applyFont="1" applyBorder="1" applyAlignment="1"/>
    <xf numFmtId="0" fontId="9028" fillId="0" borderId="9028" xfId="0" applyFont="1" applyBorder="1" applyAlignment="1"/>
    <xf numFmtId="0" fontId="9029" fillId="0" borderId="9029" xfId="0" applyFont="1" applyBorder="1" applyAlignment="1"/>
    <xf numFmtId="0" fontId="9030" fillId="0" borderId="9030" xfId="0" applyFont="1" applyBorder="1" applyAlignment="1"/>
    <xf numFmtId="0" fontId="9031" fillId="0" borderId="9031" xfId="0" applyFont="1" applyBorder="1" applyAlignment="1"/>
    <xf numFmtId="0" fontId="9032" fillId="0" borderId="9032" xfId="0" applyFont="1" applyBorder="1" applyAlignment="1"/>
    <xf numFmtId="0" fontId="9033" fillId="0" borderId="9033" xfId="0" applyFont="1" applyBorder="1" applyAlignment="1"/>
    <xf numFmtId="0" fontId="9034" fillId="0" borderId="9034" xfId="0" applyFont="1" applyBorder="1" applyAlignment="1"/>
    <xf numFmtId="0" fontId="9035" fillId="0" borderId="9035" xfId="0" applyFont="1" applyBorder="1" applyAlignment="1"/>
    <xf numFmtId="0" fontId="9036" fillId="0" borderId="9036" xfId="0" applyFont="1" applyBorder="1" applyAlignment="1"/>
    <xf numFmtId="0" fontId="9037" fillId="0" borderId="9037" xfId="0" applyFont="1" applyBorder="1" applyAlignment="1"/>
    <xf numFmtId="0" fontId="9038" fillId="0" borderId="9038" xfId="0" applyFont="1" applyBorder="1" applyAlignment="1"/>
    <xf numFmtId="0" fontId="9039" fillId="0" borderId="9039" xfId="0" applyFont="1" applyBorder="1" applyAlignment="1"/>
    <xf numFmtId="0" fontId="9040" fillId="0" borderId="9040" xfId="0" applyFont="1" applyBorder="1" applyAlignment="1"/>
    <xf numFmtId="0" fontId="9041" fillId="0" borderId="9041" xfId="0" applyFont="1" applyBorder="1" applyAlignment="1"/>
    <xf numFmtId="0" fontId="9042" fillId="0" borderId="9042" xfId="0" applyFont="1" applyBorder="1" applyAlignment="1"/>
    <xf numFmtId="0" fontId="9043" fillId="0" borderId="9043" xfId="0" applyFont="1" applyBorder="1" applyAlignment="1"/>
    <xf numFmtId="0" fontId="9044" fillId="0" borderId="9044" xfId="0" applyFont="1" applyBorder="1" applyAlignment="1"/>
    <xf numFmtId="0" fontId="9045" fillId="0" borderId="9045" xfId="0" applyFont="1" applyBorder="1" applyAlignment="1"/>
    <xf numFmtId="0" fontId="9046" fillId="0" borderId="9046" xfId="0" applyFont="1" applyBorder="1" applyAlignment="1"/>
    <xf numFmtId="0" fontId="9047" fillId="0" borderId="9047" xfId="0" applyFont="1" applyBorder="1" applyAlignment="1"/>
    <xf numFmtId="0" fontId="9048" fillId="0" borderId="9048" xfId="0" applyFont="1" applyBorder="1" applyAlignment="1"/>
    <xf numFmtId="0" fontId="9049" fillId="0" borderId="9049" xfId="0" applyFont="1" applyBorder="1" applyAlignment="1"/>
    <xf numFmtId="0" fontId="9050" fillId="0" borderId="9050" xfId="0" applyFont="1" applyBorder="1" applyAlignment="1"/>
    <xf numFmtId="0" fontId="9051" fillId="0" borderId="9051" xfId="0" applyFont="1" applyBorder="1" applyAlignment="1"/>
    <xf numFmtId="0" fontId="9052" fillId="0" borderId="9052" xfId="0" applyFont="1" applyBorder="1" applyAlignment="1"/>
    <xf numFmtId="0" fontId="9053" fillId="0" borderId="9053" xfId="0" applyFont="1" applyBorder="1" applyAlignment="1"/>
    <xf numFmtId="0" fontId="9054" fillId="0" borderId="9054" xfId="0" applyFont="1" applyBorder="1" applyAlignment="1"/>
    <xf numFmtId="0" fontId="9055" fillId="0" borderId="9055" xfId="0" applyFont="1" applyBorder="1" applyAlignment="1"/>
    <xf numFmtId="0" fontId="9056" fillId="0" borderId="9056" xfId="0" applyFont="1" applyBorder="1" applyAlignment="1"/>
    <xf numFmtId="0" fontId="9057" fillId="0" borderId="9057" xfId="0" applyFont="1" applyBorder="1" applyAlignment="1"/>
    <xf numFmtId="0" fontId="9058" fillId="0" borderId="9058" xfId="0" applyFont="1" applyBorder="1" applyAlignment="1"/>
    <xf numFmtId="0" fontId="9059" fillId="0" borderId="9059" xfId="0" applyFont="1" applyBorder="1" applyAlignment="1"/>
    <xf numFmtId="0" fontId="9060" fillId="0" borderId="9060" xfId="0" applyFont="1" applyBorder="1" applyAlignment="1"/>
    <xf numFmtId="0" fontId="9061" fillId="0" borderId="9061" xfId="0" applyFont="1" applyBorder="1" applyAlignment="1"/>
    <xf numFmtId="0" fontId="9062" fillId="0" borderId="9062" xfId="0" applyFont="1" applyBorder="1" applyAlignment="1"/>
    <xf numFmtId="0" fontId="9063" fillId="0" borderId="9063" xfId="0" applyFont="1" applyBorder="1" applyAlignment="1"/>
    <xf numFmtId="0" fontId="9064" fillId="0" borderId="9064" xfId="0" applyFont="1" applyBorder="1" applyAlignment="1"/>
    <xf numFmtId="0" fontId="9065" fillId="0" borderId="9065" xfId="0" applyFont="1" applyBorder="1" applyAlignment="1"/>
    <xf numFmtId="0" fontId="9066" fillId="0" borderId="9066" xfId="0" applyFont="1" applyBorder="1" applyAlignment="1"/>
    <xf numFmtId="0" fontId="9067" fillId="0" borderId="9067" xfId="0" applyFont="1" applyBorder="1" applyAlignment="1"/>
    <xf numFmtId="0" fontId="9068" fillId="0" borderId="9068" xfId="0" applyFont="1" applyBorder="1" applyAlignment="1"/>
    <xf numFmtId="0" fontId="9069" fillId="0" borderId="9069" xfId="0" applyFont="1" applyBorder="1" applyAlignment="1"/>
    <xf numFmtId="0" fontId="9070" fillId="0" borderId="9070" xfId="0" applyFont="1" applyBorder="1" applyAlignment="1"/>
    <xf numFmtId="0" fontId="9071" fillId="0" borderId="9071" xfId="0" applyFont="1" applyBorder="1" applyAlignment="1"/>
    <xf numFmtId="0" fontId="9072" fillId="0" borderId="9072" xfId="0" applyFont="1" applyBorder="1" applyAlignment="1"/>
    <xf numFmtId="0" fontId="9073" fillId="0" borderId="9073" xfId="0" applyFont="1" applyBorder="1" applyAlignment="1"/>
    <xf numFmtId="0" fontId="9074" fillId="0" borderId="9074" xfId="0" applyFont="1" applyBorder="1" applyAlignment="1"/>
    <xf numFmtId="0" fontId="9075" fillId="0" borderId="9075" xfId="0" applyFont="1" applyBorder="1" applyAlignment="1"/>
    <xf numFmtId="0" fontId="9076" fillId="0" borderId="9076" xfId="0" applyFont="1" applyBorder="1" applyAlignment="1"/>
    <xf numFmtId="0" fontId="9077" fillId="0" borderId="9077" xfId="0" applyFont="1" applyBorder="1" applyAlignment="1"/>
    <xf numFmtId="0" fontId="9078" fillId="0" borderId="9078" xfId="0" applyFont="1" applyBorder="1" applyAlignment="1"/>
    <xf numFmtId="0" fontId="9079" fillId="0" borderId="9079" xfId="0" applyFont="1" applyBorder="1" applyAlignment="1"/>
    <xf numFmtId="0" fontId="9080" fillId="0" borderId="9080" xfId="0" applyFont="1" applyBorder="1" applyAlignment="1"/>
    <xf numFmtId="0" fontId="9081" fillId="0" borderId="9081" xfId="0" applyFont="1" applyBorder="1" applyAlignment="1"/>
    <xf numFmtId="0" fontId="9082" fillId="0" borderId="9082" xfId="0" applyFont="1" applyBorder="1" applyAlignment="1"/>
    <xf numFmtId="0" fontId="9083" fillId="0" borderId="9083" xfId="0" applyFont="1" applyBorder="1" applyAlignment="1"/>
    <xf numFmtId="0" fontId="9084" fillId="0" borderId="9084" xfId="0" applyFont="1" applyBorder="1" applyAlignment="1"/>
    <xf numFmtId="0" fontId="9085" fillId="0" borderId="9085" xfId="0" applyFont="1" applyBorder="1" applyAlignment="1"/>
    <xf numFmtId="0" fontId="9086" fillId="0" borderId="9086" xfId="0" applyFont="1" applyBorder="1" applyAlignment="1"/>
    <xf numFmtId="0" fontId="9087" fillId="0" borderId="9087" xfId="0" applyFont="1" applyBorder="1" applyAlignment="1"/>
    <xf numFmtId="0" fontId="9088" fillId="0" borderId="9088" xfId="0" applyFont="1" applyBorder="1" applyAlignment="1"/>
    <xf numFmtId="0" fontId="9089" fillId="0" borderId="9089" xfId="0" applyFont="1" applyBorder="1" applyAlignment="1"/>
    <xf numFmtId="0" fontId="9090" fillId="0" borderId="9090" xfId="0" applyFont="1" applyBorder="1" applyAlignment="1"/>
    <xf numFmtId="0" fontId="9091" fillId="0" borderId="9091" xfId="0" applyFont="1" applyBorder="1" applyAlignment="1"/>
    <xf numFmtId="0" fontId="9092" fillId="0" borderId="9092" xfId="0" applyFont="1" applyBorder="1" applyAlignment="1"/>
    <xf numFmtId="0" fontId="9093" fillId="0" borderId="9093" xfId="0" applyFont="1" applyBorder="1" applyAlignment="1"/>
    <xf numFmtId="0" fontId="9094" fillId="0" borderId="9094" xfId="0" applyFont="1" applyBorder="1" applyAlignment="1"/>
    <xf numFmtId="0" fontId="9095" fillId="0" borderId="9095" xfId="0" applyFont="1" applyBorder="1" applyAlignment="1"/>
    <xf numFmtId="0" fontId="9096" fillId="0" borderId="9096" xfId="0" applyFont="1" applyBorder="1" applyAlignment="1"/>
    <xf numFmtId="0" fontId="9097" fillId="0" borderId="9097" xfId="0" applyFont="1" applyBorder="1" applyAlignment="1"/>
    <xf numFmtId="0" fontId="9098" fillId="0" borderId="9098" xfId="0" applyFont="1" applyBorder="1" applyAlignment="1"/>
    <xf numFmtId="0" fontId="9099" fillId="0" borderId="9099" xfId="0" applyFont="1" applyBorder="1" applyAlignment="1"/>
    <xf numFmtId="0" fontId="9100" fillId="0" borderId="9100" xfId="0" applyFont="1" applyBorder="1" applyAlignment="1"/>
    <xf numFmtId="0" fontId="9101" fillId="0" borderId="9101" xfId="0" applyFont="1" applyBorder="1" applyAlignment="1"/>
    <xf numFmtId="0" fontId="9102" fillId="0" borderId="9102" xfId="0" applyFont="1" applyBorder="1" applyAlignment="1"/>
    <xf numFmtId="0" fontId="9103" fillId="0" borderId="9103" xfId="0" applyFont="1" applyBorder="1" applyAlignment="1"/>
    <xf numFmtId="0" fontId="9104" fillId="0" borderId="9104" xfId="0" applyFont="1" applyBorder="1" applyAlignment="1"/>
    <xf numFmtId="0" fontId="9105" fillId="0" borderId="9105" xfId="0" applyFont="1" applyBorder="1" applyAlignment="1"/>
    <xf numFmtId="0" fontId="9106" fillId="0" borderId="9106" xfId="0" applyFont="1" applyBorder="1" applyAlignment="1"/>
    <xf numFmtId="0" fontId="9107" fillId="0" borderId="9107" xfId="0" applyFont="1" applyBorder="1" applyAlignment="1"/>
    <xf numFmtId="0" fontId="9108" fillId="0" borderId="9108" xfId="0" applyFont="1" applyBorder="1" applyAlignment="1"/>
    <xf numFmtId="0" fontId="9109" fillId="0" borderId="9109" xfId="0" applyFont="1" applyBorder="1" applyAlignment="1"/>
    <xf numFmtId="0" fontId="9110" fillId="0" borderId="9110" xfId="0" applyFont="1" applyBorder="1" applyAlignment="1"/>
    <xf numFmtId="0" fontId="9111" fillId="0" borderId="9111" xfId="0" applyFont="1" applyBorder="1" applyAlignment="1"/>
    <xf numFmtId="0" fontId="9112" fillId="0" borderId="9112" xfId="0" applyFont="1" applyBorder="1" applyAlignment="1"/>
    <xf numFmtId="0" fontId="9113" fillId="0" borderId="9113" xfId="0" applyFont="1" applyBorder="1" applyAlignment="1"/>
    <xf numFmtId="0" fontId="9114" fillId="0" borderId="9114" xfId="0" applyFont="1" applyBorder="1" applyAlignment="1"/>
    <xf numFmtId="0" fontId="9115" fillId="0" borderId="9115" xfId="0" applyFont="1" applyBorder="1" applyAlignment="1"/>
    <xf numFmtId="0" fontId="9116" fillId="0" borderId="9116" xfId="0" applyFont="1" applyBorder="1" applyAlignment="1"/>
    <xf numFmtId="0" fontId="9117" fillId="0" borderId="9117" xfId="0" applyFont="1" applyBorder="1" applyAlignment="1"/>
    <xf numFmtId="0" fontId="9118" fillId="0" borderId="9118" xfId="0" applyFont="1" applyBorder="1" applyAlignment="1"/>
    <xf numFmtId="0" fontId="9119" fillId="0" borderId="9119" xfId="0" applyFont="1" applyBorder="1" applyAlignment="1"/>
    <xf numFmtId="0" fontId="9120" fillId="0" borderId="9120" xfId="0" applyFont="1" applyBorder="1" applyAlignment="1"/>
    <xf numFmtId="0" fontId="9121" fillId="0" borderId="9121" xfId="0" applyFont="1" applyBorder="1" applyAlignment="1"/>
    <xf numFmtId="0" fontId="9122" fillId="0" borderId="9122" xfId="0" applyFont="1" applyBorder="1" applyAlignment="1"/>
    <xf numFmtId="0" fontId="9123" fillId="0" borderId="9123" xfId="0" applyFont="1" applyBorder="1" applyAlignment="1"/>
    <xf numFmtId="0" fontId="9124" fillId="0" borderId="9124" xfId="0" applyFont="1" applyBorder="1" applyAlignment="1"/>
    <xf numFmtId="0" fontId="9125" fillId="0" borderId="9125" xfId="0" applyFont="1" applyBorder="1" applyAlignment="1"/>
    <xf numFmtId="0" fontId="9126" fillId="0" borderId="9126" xfId="0" applyFont="1" applyBorder="1" applyAlignment="1"/>
    <xf numFmtId="0" fontId="9127" fillId="0" borderId="9127" xfId="0" applyFont="1" applyBorder="1" applyAlignment="1"/>
    <xf numFmtId="0" fontId="9128" fillId="0" borderId="9128" xfId="0" applyFont="1" applyBorder="1" applyAlignment="1"/>
    <xf numFmtId="0" fontId="9129" fillId="0" borderId="9129" xfId="0" applyFont="1" applyBorder="1" applyAlignment="1"/>
    <xf numFmtId="0" fontId="9130" fillId="0" borderId="9130" xfId="0" applyFont="1" applyBorder="1" applyAlignment="1"/>
    <xf numFmtId="0" fontId="9131" fillId="0" borderId="9131" xfId="0" applyFont="1" applyBorder="1" applyAlignment="1"/>
    <xf numFmtId="0" fontId="9132" fillId="0" borderId="9132" xfId="0" applyFont="1" applyBorder="1" applyAlignment="1"/>
    <xf numFmtId="0" fontId="9133" fillId="0" borderId="9133" xfId="0" applyFont="1" applyBorder="1" applyAlignment="1"/>
    <xf numFmtId="0" fontId="9134" fillId="0" borderId="9134" xfId="0" applyFont="1" applyBorder="1" applyAlignment="1"/>
    <xf numFmtId="0" fontId="9135" fillId="0" borderId="9135" xfId="0" applyFont="1" applyBorder="1" applyAlignment="1"/>
    <xf numFmtId="0" fontId="9136" fillId="0" borderId="9136" xfId="0" applyFont="1" applyBorder="1" applyAlignment="1"/>
    <xf numFmtId="0" fontId="9137" fillId="0" borderId="9137" xfId="0" applyFont="1" applyBorder="1" applyAlignment="1"/>
    <xf numFmtId="0" fontId="9138" fillId="0" borderId="9138" xfId="0" applyFont="1" applyBorder="1" applyAlignment="1"/>
    <xf numFmtId="0" fontId="9139" fillId="0" borderId="9139" xfId="0" applyFont="1" applyBorder="1" applyAlignment="1"/>
    <xf numFmtId="0" fontId="9140" fillId="0" borderId="9140" xfId="0" applyFont="1" applyBorder="1" applyAlignment="1"/>
    <xf numFmtId="0" fontId="9141" fillId="0" borderId="9141" xfId="0" applyFont="1" applyBorder="1" applyAlignment="1"/>
    <xf numFmtId="0" fontId="9142" fillId="0" borderId="9142" xfId="0" applyFont="1" applyBorder="1" applyAlignment="1"/>
    <xf numFmtId="0" fontId="9143" fillId="0" borderId="9143" xfId="0" applyFont="1" applyBorder="1" applyAlignment="1"/>
    <xf numFmtId="0" fontId="9144" fillId="0" borderId="9144" xfId="0" applyFont="1" applyBorder="1" applyAlignment="1"/>
    <xf numFmtId="0" fontId="9145" fillId="0" borderId="9145" xfId="0" applyFont="1" applyBorder="1" applyAlignment="1"/>
    <xf numFmtId="0" fontId="9146" fillId="0" borderId="9146" xfId="0" applyFont="1" applyBorder="1" applyAlignment="1"/>
    <xf numFmtId="0" fontId="9147" fillId="0" borderId="9147" xfId="0" applyFont="1" applyBorder="1" applyAlignment="1"/>
    <xf numFmtId="0" fontId="9148" fillId="0" borderId="9148" xfId="0" applyFont="1" applyBorder="1" applyAlignment="1"/>
    <xf numFmtId="0" fontId="9149" fillId="0" borderId="9149" xfId="0" applyFont="1" applyBorder="1" applyAlignment="1"/>
    <xf numFmtId="0" fontId="9150" fillId="0" borderId="9150" xfId="0" applyFont="1" applyBorder="1" applyAlignment="1"/>
    <xf numFmtId="0" fontId="9151" fillId="0" borderId="9151" xfId="0" applyFont="1" applyBorder="1" applyAlignment="1"/>
    <xf numFmtId="0" fontId="9152" fillId="0" borderId="9152" xfId="0" applyFont="1" applyBorder="1" applyAlignment="1"/>
    <xf numFmtId="0" fontId="9153" fillId="0" borderId="9153" xfId="0" applyFont="1" applyBorder="1" applyAlignment="1"/>
    <xf numFmtId="0" fontId="9154" fillId="0" borderId="9154" xfId="0" applyFont="1" applyBorder="1" applyAlignment="1"/>
    <xf numFmtId="0" fontId="9155" fillId="0" borderId="9155" xfId="0" applyFont="1" applyBorder="1" applyAlignment="1"/>
    <xf numFmtId="0" fontId="9156" fillId="0" borderId="9156" xfId="0" applyFont="1" applyBorder="1" applyAlignment="1"/>
    <xf numFmtId="0" fontId="9157" fillId="0" borderId="9157" xfId="0" applyFont="1" applyBorder="1" applyAlignment="1"/>
    <xf numFmtId="0" fontId="9158" fillId="0" borderId="9158" xfId="0" applyFont="1" applyBorder="1" applyAlignment="1"/>
    <xf numFmtId="0" fontId="9159" fillId="0" borderId="9159" xfId="0" applyFont="1" applyBorder="1" applyAlignment="1"/>
    <xf numFmtId="0" fontId="9160" fillId="0" borderId="9160" xfId="0" applyFont="1" applyBorder="1" applyAlignment="1"/>
    <xf numFmtId="0" fontId="9161" fillId="0" borderId="9161" xfId="0" applyFont="1" applyBorder="1" applyAlignment="1"/>
    <xf numFmtId="0" fontId="9162" fillId="0" borderId="9162" xfId="0" applyFont="1" applyBorder="1" applyAlignment="1"/>
    <xf numFmtId="0" fontId="9163" fillId="0" borderId="9163" xfId="0" applyFont="1" applyBorder="1" applyAlignment="1"/>
    <xf numFmtId="0" fontId="9164" fillId="0" borderId="9164" xfId="0" applyFont="1" applyBorder="1" applyAlignment="1"/>
    <xf numFmtId="0" fontId="9165" fillId="0" borderId="9165" xfId="0" applyFont="1" applyBorder="1" applyAlignment="1"/>
    <xf numFmtId="0" fontId="9166" fillId="0" borderId="9166" xfId="0" applyFont="1" applyBorder="1" applyAlignment="1"/>
    <xf numFmtId="0" fontId="9167" fillId="0" borderId="9167" xfId="0" applyFont="1" applyBorder="1" applyAlignment="1"/>
    <xf numFmtId="0" fontId="9168" fillId="0" borderId="9168" xfId="0" applyFont="1" applyBorder="1" applyAlignment="1"/>
    <xf numFmtId="0" fontId="9169" fillId="0" borderId="9169" xfId="0" applyFont="1" applyBorder="1" applyAlignment="1"/>
    <xf numFmtId="0" fontId="9170" fillId="0" borderId="9170" xfId="0" applyFont="1" applyBorder="1" applyAlignment="1"/>
    <xf numFmtId="0" fontId="9171" fillId="0" borderId="9171" xfId="0" applyFont="1" applyBorder="1" applyAlignment="1"/>
    <xf numFmtId="0" fontId="9172" fillId="0" borderId="9172" xfId="0" applyFont="1" applyBorder="1" applyAlignment="1"/>
    <xf numFmtId="0" fontId="9173" fillId="0" borderId="9173" xfId="0" applyFont="1" applyBorder="1" applyAlignment="1"/>
    <xf numFmtId="0" fontId="9174" fillId="0" borderId="9174" xfId="0" applyFont="1" applyBorder="1" applyAlignment="1"/>
    <xf numFmtId="0" fontId="9175" fillId="0" borderId="9175" xfId="0" applyFont="1" applyBorder="1" applyAlignment="1"/>
    <xf numFmtId="0" fontId="9176" fillId="0" borderId="9176" xfId="0" applyFont="1" applyBorder="1" applyAlignment="1"/>
    <xf numFmtId="0" fontId="9177" fillId="0" borderId="9177" xfId="0" applyFont="1" applyBorder="1" applyAlignment="1"/>
    <xf numFmtId="0" fontId="9178" fillId="0" borderId="9178" xfId="0" applyFont="1" applyBorder="1" applyAlignment="1"/>
    <xf numFmtId="0" fontId="9179" fillId="0" borderId="9179" xfId="0" applyFont="1" applyBorder="1" applyAlignment="1"/>
    <xf numFmtId="0" fontId="9180" fillId="0" borderId="9180" xfId="0" applyFont="1" applyBorder="1" applyAlignment="1"/>
    <xf numFmtId="0" fontId="9181" fillId="0" borderId="9181" xfId="0" applyFont="1" applyBorder="1" applyAlignment="1"/>
    <xf numFmtId="0" fontId="9182" fillId="0" borderId="9182" xfId="0" applyFont="1" applyBorder="1" applyAlignment="1"/>
    <xf numFmtId="0" fontId="9183" fillId="0" borderId="9183" xfId="0" applyFont="1" applyBorder="1" applyAlignment="1"/>
    <xf numFmtId="0" fontId="9184" fillId="0" borderId="9184" xfId="0" applyFont="1" applyBorder="1" applyAlignment="1"/>
    <xf numFmtId="0" fontId="9185" fillId="0" borderId="9185" xfId="0" applyFont="1" applyBorder="1" applyAlignment="1"/>
    <xf numFmtId="0" fontId="9186" fillId="0" borderId="9186" xfId="0" applyFont="1" applyBorder="1" applyAlignment="1"/>
    <xf numFmtId="0" fontId="9187" fillId="0" borderId="9187" xfId="0" applyFont="1" applyBorder="1" applyAlignment="1"/>
    <xf numFmtId="0" fontId="9188" fillId="0" borderId="9188" xfId="0" applyFont="1" applyBorder="1" applyAlignment="1"/>
    <xf numFmtId="0" fontId="9189" fillId="0" borderId="9189" xfId="0" applyFont="1" applyBorder="1" applyAlignment="1"/>
    <xf numFmtId="0" fontId="9190" fillId="0" borderId="9190" xfId="0" applyFont="1" applyBorder="1" applyAlignment="1"/>
    <xf numFmtId="0" fontId="9191" fillId="0" borderId="9191" xfId="0" applyFont="1" applyBorder="1" applyAlignment="1"/>
    <xf numFmtId="0" fontId="9192" fillId="0" borderId="9192" xfId="0" applyFont="1" applyBorder="1" applyAlignment="1"/>
    <xf numFmtId="0" fontId="9193" fillId="0" borderId="9193" xfId="0" applyFont="1" applyBorder="1" applyAlignment="1"/>
    <xf numFmtId="0" fontId="9194" fillId="0" borderId="9194" xfId="0" applyFont="1" applyBorder="1" applyAlignment="1"/>
    <xf numFmtId="0" fontId="9195" fillId="0" borderId="9195" xfId="0" applyFont="1" applyBorder="1" applyAlignment="1"/>
    <xf numFmtId="0" fontId="9196" fillId="0" borderId="9196" xfId="0" applyFont="1" applyBorder="1" applyAlignment="1"/>
    <xf numFmtId="0" fontId="9197" fillId="0" borderId="9197" xfId="0" applyFont="1" applyBorder="1" applyAlignment="1"/>
    <xf numFmtId="0" fontId="9198" fillId="0" borderId="9198" xfId="0" applyFont="1" applyBorder="1" applyAlignment="1"/>
    <xf numFmtId="0" fontId="9199" fillId="0" borderId="9199" xfId="0" applyFont="1" applyBorder="1" applyAlignment="1"/>
    <xf numFmtId="0" fontId="9200" fillId="0" borderId="9200" xfId="0" applyFont="1" applyBorder="1" applyAlignment="1"/>
    <xf numFmtId="0" fontId="9201" fillId="0" borderId="9201" xfId="0" applyFont="1" applyBorder="1" applyAlignment="1"/>
    <xf numFmtId="0" fontId="9202" fillId="0" borderId="9202" xfId="0" applyFont="1" applyBorder="1" applyAlignment="1"/>
    <xf numFmtId="0" fontId="9203" fillId="0" borderId="9203" xfId="0" applyFont="1" applyBorder="1" applyAlignment="1"/>
    <xf numFmtId="0" fontId="9204" fillId="0" borderId="9204" xfId="0" applyFont="1" applyBorder="1" applyAlignment="1"/>
    <xf numFmtId="0" fontId="9205" fillId="0" borderId="9205" xfId="0" applyFont="1" applyBorder="1" applyAlignment="1"/>
    <xf numFmtId="0" fontId="9206" fillId="0" borderId="9206" xfId="0" applyFont="1" applyBorder="1" applyAlignment="1"/>
    <xf numFmtId="0" fontId="9207" fillId="0" borderId="9207" xfId="0" applyFont="1" applyBorder="1" applyAlignment="1"/>
    <xf numFmtId="0" fontId="9208" fillId="0" borderId="9208" xfId="0" applyFont="1" applyBorder="1" applyAlignment="1"/>
    <xf numFmtId="0" fontId="9209" fillId="0" borderId="9209" xfId="0" applyFont="1" applyBorder="1" applyAlignment="1"/>
    <xf numFmtId="0" fontId="9210" fillId="0" borderId="9210" xfId="0" applyFont="1" applyBorder="1" applyAlignment="1"/>
    <xf numFmtId="0" fontId="9211" fillId="0" borderId="9211" xfId="0" applyFont="1" applyBorder="1" applyAlignment="1"/>
    <xf numFmtId="0" fontId="9212" fillId="0" borderId="9212" xfId="0" applyFont="1" applyBorder="1" applyAlignment="1"/>
    <xf numFmtId="0" fontId="9213" fillId="0" borderId="9213" xfId="0" applyFont="1" applyBorder="1" applyAlignment="1"/>
    <xf numFmtId="0" fontId="9214" fillId="0" borderId="9214" xfId="0" applyFont="1" applyBorder="1" applyAlignment="1"/>
    <xf numFmtId="0" fontId="9215" fillId="0" borderId="9215" xfId="0" applyFont="1" applyBorder="1" applyAlignment="1"/>
    <xf numFmtId="0" fontId="9216" fillId="0" borderId="9216" xfId="0" applyFont="1" applyBorder="1" applyAlignment="1"/>
    <xf numFmtId="0" fontId="9217" fillId="0" borderId="9217" xfId="0" applyFont="1" applyBorder="1" applyAlignment="1"/>
    <xf numFmtId="0" fontId="9218" fillId="0" borderId="9218" xfId="0" applyFont="1" applyBorder="1" applyAlignment="1"/>
    <xf numFmtId="0" fontId="9219" fillId="0" borderId="9219" xfId="0" applyFont="1" applyBorder="1" applyAlignment="1"/>
    <xf numFmtId="0" fontId="9220" fillId="0" borderId="9220" xfId="0" applyFont="1" applyBorder="1" applyAlignment="1"/>
    <xf numFmtId="0" fontId="9221" fillId="0" borderId="9221" xfId="0" applyFont="1" applyBorder="1" applyAlignment="1"/>
    <xf numFmtId="0" fontId="9222" fillId="0" borderId="9222" xfId="0" applyFont="1" applyBorder="1" applyAlignment="1"/>
    <xf numFmtId="0" fontId="9223" fillId="0" borderId="9223" xfId="0" applyFont="1" applyBorder="1" applyAlignment="1"/>
    <xf numFmtId="0" fontId="9224" fillId="0" borderId="9224" xfId="0" applyFont="1" applyBorder="1" applyAlignment="1"/>
    <xf numFmtId="0" fontId="9225" fillId="0" borderId="9225" xfId="0" applyFont="1" applyBorder="1" applyAlignment="1"/>
    <xf numFmtId="0" fontId="9226" fillId="0" borderId="9226" xfId="0" applyFont="1" applyBorder="1" applyAlignment="1"/>
    <xf numFmtId="0" fontId="9227" fillId="0" borderId="9227" xfId="0" applyFont="1" applyBorder="1" applyAlignment="1"/>
    <xf numFmtId="0" fontId="9228" fillId="0" borderId="9228" xfId="0" applyFont="1" applyBorder="1" applyAlignment="1"/>
    <xf numFmtId="0" fontId="9229" fillId="0" borderId="9229" xfId="0" applyFont="1" applyBorder="1" applyAlignment="1"/>
    <xf numFmtId="0" fontId="9230" fillId="0" borderId="9230" xfId="0" applyFont="1" applyBorder="1" applyAlignment="1"/>
    <xf numFmtId="0" fontId="9231" fillId="0" borderId="9231" xfId="0" applyFont="1" applyBorder="1" applyAlignment="1"/>
    <xf numFmtId="0" fontId="9232" fillId="0" borderId="9232" xfId="0" applyFont="1" applyBorder="1" applyAlignment="1"/>
    <xf numFmtId="0" fontId="9233" fillId="0" borderId="9233" xfId="0" applyFont="1" applyBorder="1" applyAlignment="1"/>
    <xf numFmtId="0" fontId="9234" fillId="0" borderId="9234" xfId="0" applyFont="1" applyBorder="1" applyAlignment="1"/>
    <xf numFmtId="0" fontId="9235" fillId="0" borderId="9235" xfId="0" applyFont="1" applyBorder="1" applyAlignment="1"/>
    <xf numFmtId="0" fontId="9236" fillId="0" borderId="9236" xfId="0" applyFont="1" applyBorder="1" applyAlignment="1"/>
    <xf numFmtId="0" fontId="9237" fillId="0" borderId="9237" xfId="0" applyFont="1" applyBorder="1" applyAlignment="1"/>
    <xf numFmtId="0" fontId="9238" fillId="0" borderId="9238" xfId="0" applyFont="1" applyBorder="1" applyAlignment="1"/>
    <xf numFmtId="0" fontId="9239" fillId="0" borderId="9239" xfId="0" applyFont="1" applyBorder="1" applyAlignment="1"/>
    <xf numFmtId="0" fontId="9240" fillId="0" borderId="9240" xfId="0" applyFont="1" applyBorder="1" applyAlignment="1"/>
    <xf numFmtId="0" fontId="9241" fillId="0" borderId="9241" xfId="0" applyFont="1" applyBorder="1" applyAlignment="1"/>
    <xf numFmtId="0" fontId="9242" fillId="0" borderId="9242" xfId="0" applyFont="1" applyBorder="1" applyAlignment="1"/>
    <xf numFmtId="0" fontId="9243" fillId="0" borderId="9243" xfId="0" applyFont="1" applyBorder="1" applyAlignment="1"/>
    <xf numFmtId="0" fontId="9244" fillId="0" borderId="9244" xfId="0" applyFont="1" applyBorder="1" applyAlignment="1"/>
    <xf numFmtId="0" fontId="9245" fillId="0" borderId="9245" xfId="0" applyFont="1" applyBorder="1" applyAlignment="1"/>
    <xf numFmtId="0" fontId="9246" fillId="0" borderId="9246" xfId="0" applyFont="1" applyBorder="1" applyAlignment="1"/>
    <xf numFmtId="0" fontId="9247" fillId="0" borderId="9247" xfId="0" applyFont="1" applyBorder="1" applyAlignment="1"/>
    <xf numFmtId="0" fontId="9248" fillId="0" borderId="9248" xfId="0" applyFont="1" applyBorder="1" applyAlignment="1"/>
    <xf numFmtId="0" fontId="9249" fillId="0" borderId="9249" xfId="0" applyFont="1" applyBorder="1" applyAlignment="1"/>
    <xf numFmtId="0" fontId="9250" fillId="0" borderId="9250" xfId="0" applyFont="1" applyBorder="1" applyAlignment="1"/>
    <xf numFmtId="0" fontId="9251" fillId="0" borderId="9251" xfId="0" applyFont="1" applyBorder="1" applyAlignment="1"/>
    <xf numFmtId="0" fontId="9252" fillId="0" borderId="9252" xfId="0" applyFont="1" applyBorder="1" applyAlignment="1"/>
    <xf numFmtId="0" fontId="9253" fillId="0" borderId="9253" xfId="0" applyFont="1" applyBorder="1" applyAlignment="1"/>
    <xf numFmtId="0" fontId="9254" fillId="0" borderId="9254" xfId="0" applyFont="1" applyBorder="1" applyAlignment="1"/>
    <xf numFmtId="0" fontId="9255" fillId="0" borderId="9255" xfId="0" applyFont="1" applyBorder="1" applyAlignment="1"/>
    <xf numFmtId="0" fontId="9256" fillId="0" borderId="9256" xfId="0" applyFont="1" applyBorder="1" applyAlignment="1"/>
    <xf numFmtId="0" fontId="9257" fillId="0" borderId="9257" xfId="0" applyFont="1" applyBorder="1" applyAlignment="1"/>
    <xf numFmtId="0" fontId="9258" fillId="0" borderId="9258" xfId="0" applyFont="1" applyBorder="1" applyAlignment="1"/>
    <xf numFmtId="0" fontId="9259" fillId="0" borderId="9259" xfId="0" applyFont="1" applyBorder="1" applyAlignment="1"/>
    <xf numFmtId="0" fontId="9260" fillId="0" borderId="9260" xfId="0" applyFont="1" applyBorder="1" applyAlignment="1"/>
    <xf numFmtId="0" fontId="9261" fillId="0" borderId="9261" xfId="0" applyFont="1" applyBorder="1" applyAlignment="1"/>
    <xf numFmtId="0" fontId="9262" fillId="0" borderId="9262" xfId="0" applyFont="1" applyBorder="1" applyAlignment="1"/>
    <xf numFmtId="0" fontId="9263" fillId="0" borderId="9263" xfId="0" applyFont="1" applyBorder="1" applyAlignment="1"/>
    <xf numFmtId="0" fontId="9264" fillId="0" borderId="9264" xfId="0" applyFont="1" applyBorder="1" applyAlignment="1"/>
    <xf numFmtId="0" fontId="9265" fillId="0" borderId="9265" xfId="0" applyFont="1" applyBorder="1" applyAlignment="1"/>
    <xf numFmtId="0" fontId="9266" fillId="0" borderId="9266" xfId="0" applyFont="1" applyBorder="1" applyAlignment="1"/>
    <xf numFmtId="0" fontId="9267" fillId="0" borderId="9267" xfId="0" applyFont="1" applyBorder="1" applyAlignment="1"/>
    <xf numFmtId="0" fontId="9268" fillId="0" borderId="9268" xfId="0" applyFont="1" applyBorder="1" applyAlignment="1"/>
    <xf numFmtId="0" fontId="9269" fillId="0" borderId="9269" xfId="0" applyFont="1" applyBorder="1" applyAlignment="1"/>
    <xf numFmtId="0" fontId="9270" fillId="0" borderId="9270" xfId="0" applyFont="1" applyBorder="1" applyAlignment="1"/>
    <xf numFmtId="0" fontId="9271" fillId="0" borderId="9271" xfId="0" applyFont="1" applyBorder="1" applyAlignment="1"/>
    <xf numFmtId="0" fontId="9272" fillId="0" borderId="9272" xfId="0" applyFont="1" applyBorder="1" applyAlignment="1"/>
    <xf numFmtId="0" fontId="9273" fillId="0" borderId="9273" xfId="0" applyFont="1" applyBorder="1" applyAlignment="1"/>
    <xf numFmtId="0" fontId="9274" fillId="0" borderId="9274" xfId="0" applyFont="1" applyBorder="1" applyAlignment="1"/>
    <xf numFmtId="0" fontId="9275" fillId="0" borderId="9275" xfId="0" applyFont="1" applyBorder="1" applyAlignment="1"/>
    <xf numFmtId="0" fontId="9276" fillId="0" borderId="9276" xfId="0" applyFont="1" applyBorder="1" applyAlignment="1"/>
    <xf numFmtId="0" fontId="9277" fillId="0" borderId="9277" xfId="0" applyFont="1" applyBorder="1" applyAlignment="1"/>
    <xf numFmtId="0" fontId="9278" fillId="0" borderId="9278" xfId="0" applyFont="1" applyBorder="1" applyAlignment="1"/>
    <xf numFmtId="0" fontId="9279" fillId="0" borderId="9279" xfId="0" applyFont="1" applyBorder="1" applyAlignment="1"/>
    <xf numFmtId="0" fontId="9280" fillId="0" borderId="9280" xfId="0" applyFont="1" applyBorder="1" applyAlignment="1"/>
    <xf numFmtId="0" fontId="9281" fillId="0" borderId="9281" xfId="0" applyFont="1" applyBorder="1" applyAlignment="1"/>
    <xf numFmtId="0" fontId="9282" fillId="0" borderId="9282" xfId="0" applyFont="1" applyBorder="1" applyAlignment="1"/>
    <xf numFmtId="0" fontId="9283" fillId="0" borderId="9283" xfId="0" applyFont="1" applyBorder="1" applyAlignment="1"/>
    <xf numFmtId="0" fontId="9284" fillId="0" borderId="9284" xfId="0" applyFont="1" applyBorder="1" applyAlignment="1"/>
    <xf numFmtId="0" fontId="9285" fillId="0" borderId="9285" xfId="0" applyFont="1" applyBorder="1" applyAlignment="1"/>
    <xf numFmtId="0" fontId="9286" fillId="0" borderId="9286" xfId="0" applyFont="1" applyBorder="1" applyAlignment="1"/>
    <xf numFmtId="0" fontId="9287" fillId="0" borderId="9287" xfId="0" applyFont="1" applyBorder="1" applyAlignment="1"/>
    <xf numFmtId="0" fontId="9288" fillId="0" borderId="9288" xfId="0" applyFont="1" applyBorder="1" applyAlignment="1"/>
    <xf numFmtId="0" fontId="9289" fillId="0" borderId="9289" xfId="0" applyFont="1" applyBorder="1" applyAlignment="1"/>
    <xf numFmtId="0" fontId="9290" fillId="0" borderId="9290" xfId="0" applyFont="1" applyBorder="1" applyAlignment="1"/>
    <xf numFmtId="0" fontId="9291" fillId="0" borderId="9291" xfId="0" applyFont="1" applyBorder="1" applyAlignment="1"/>
    <xf numFmtId="0" fontId="9292" fillId="0" borderId="9292" xfId="0" applyFont="1" applyBorder="1" applyAlignment="1"/>
    <xf numFmtId="0" fontId="9293" fillId="0" borderId="9293" xfId="0" applyFont="1" applyBorder="1" applyAlignment="1"/>
    <xf numFmtId="0" fontId="9294" fillId="0" borderId="9294" xfId="0" applyFont="1" applyBorder="1" applyAlignment="1"/>
    <xf numFmtId="0" fontId="9295" fillId="0" borderId="9295" xfId="0" applyFont="1" applyBorder="1" applyAlignment="1"/>
    <xf numFmtId="0" fontId="9296" fillId="0" borderId="9296" xfId="0" applyFont="1" applyBorder="1" applyAlignment="1"/>
    <xf numFmtId="0" fontId="9297" fillId="0" borderId="9297" xfId="0" applyFont="1" applyBorder="1" applyAlignment="1"/>
    <xf numFmtId="0" fontId="9298" fillId="0" borderId="9298" xfId="0" applyFont="1" applyBorder="1" applyAlignment="1"/>
    <xf numFmtId="0" fontId="9299" fillId="0" borderId="9299" xfId="0" applyFont="1" applyBorder="1" applyAlignment="1"/>
    <xf numFmtId="0" fontId="9300" fillId="0" borderId="9300" xfId="0" applyFont="1" applyBorder="1" applyAlignment="1"/>
    <xf numFmtId="0" fontId="9301" fillId="0" borderId="9301" xfId="0" applyFont="1" applyBorder="1" applyAlignment="1"/>
    <xf numFmtId="0" fontId="9302" fillId="0" borderId="9302" xfId="0" applyFont="1" applyBorder="1" applyAlignment="1"/>
    <xf numFmtId="0" fontId="9303" fillId="0" borderId="9303" xfId="0" applyFont="1" applyBorder="1" applyAlignment="1"/>
    <xf numFmtId="0" fontId="9304" fillId="0" borderId="9304" xfId="0" applyFont="1" applyBorder="1" applyAlignment="1"/>
    <xf numFmtId="0" fontId="9305" fillId="0" borderId="9305" xfId="0" applyFont="1" applyBorder="1" applyAlignment="1"/>
    <xf numFmtId="0" fontId="9306" fillId="0" borderId="9306" xfId="0" applyFont="1" applyBorder="1" applyAlignment="1"/>
    <xf numFmtId="0" fontId="9307" fillId="0" borderId="9307" xfId="0" applyFont="1" applyBorder="1" applyAlignment="1"/>
    <xf numFmtId="0" fontId="9308" fillId="0" borderId="9308" xfId="0" applyFont="1" applyBorder="1" applyAlignment="1"/>
    <xf numFmtId="0" fontId="9309" fillId="0" borderId="9309" xfId="0" applyFont="1" applyBorder="1" applyAlignment="1"/>
    <xf numFmtId="0" fontId="9310" fillId="0" borderId="9310" xfId="0" applyFont="1" applyBorder="1" applyAlignment="1"/>
    <xf numFmtId="0" fontId="9311" fillId="0" borderId="9311" xfId="0" applyFont="1" applyBorder="1" applyAlignment="1"/>
    <xf numFmtId="0" fontId="9312" fillId="0" borderId="9312" xfId="0" applyFont="1" applyBorder="1" applyAlignment="1"/>
    <xf numFmtId="0" fontId="9313" fillId="0" borderId="9313" xfId="0" applyFont="1" applyBorder="1" applyAlignment="1"/>
    <xf numFmtId="0" fontId="9314" fillId="0" borderId="9314" xfId="0" applyFont="1" applyBorder="1" applyAlignment="1"/>
    <xf numFmtId="0" fontId="9315" fillId="0" borderId="9315" xfId="0" applyFont="1" applyBorder="1" applyAlignment="1"/>
    <xf numFmtId="0" fontId="9316" fillId="0" borderId="9316" xfId="0" applyFont="1" applyBorder="1" applyAlignment="1"/>
    <xf numFmtId="0" fontId="9317" fillId="0" borderId="9317" xfId="0" applyFont="1" applyBorder="1" applyAlignment="1"/>
    <xf numFmtId="0" fontId="9318" fillId="0" borderId="9318" xfId="0" applyFont="1" applyBorder="1" applyAlignment="1"/>
    <xf numFmtId="0" fontId="9319" fillId="0" borderId="9319" xfId="0" applyFont="1" applyBorder="1" applyAlignment="1"/>
    <xf numFmtId="0" fontId="9320" fillId="0" borderId="9320" xfId="0" applyFont="1" applyBorder="1" applyAlignment="1"/>
    <xf numFmtId="0" fontId="9321" fillId="0" borderId="9321" xfId="0" applyFont="1" applyBorder="1" applyAlignment="1"/>
    <xf numFmtId="0" fontId="9322" fillId="0" borderId="9322" xfId="0" applyFont="1" applyBorder="1" applyAlignment="1"/>
    <xf numFmtId="0" fontId="9323" fillId="0" borderId="9323" xfId="0" applyFont="1" applyBorder="1" applyAlignment="1"/>
    <xf numFmtId="0" fontId="9324" fillId="0" borderId="9324" xfId="0" applyFont="1" applyBorder="1" applyAlignment="1"/>
    <xf numFmtId="0" fontId="9325" fillId="0" borderId="9325" xfId="0" applyFont="1" applyBorder="1" applyAlignment="1"/>
    <xf numFmtId="0" fontId="9326" fillId="0" borderId="9326" xfId="0" applyFont="1" applyBorder="1" applyAlignment="1"/>
    <xf numFmtId="0" fontId="9327" fillId="0" borderId="9327" xfId="0" applyFont="1" applyBorder="1" applyAlignment="1"/>
    <xf numFmtId="0" fontId="9328" fillId="0" borderId="9328" xfId="0" applyFont="1" applyBorder="1" applyAlignment="1"/>
    <xf numFmtId="0" fontId="9329" fillId="0" borderId="9329" xfId="0" applyFont="1" applyBorder="1" applyAlignment="1"/>
    <xf numFmtId="0" fontId="9330" fillId="0" borderId="9330" xfId="0" applyFont="1" applyBorder="1" applyAlignment="1"/>
    <xf numFmtId="0" fontId="9331" fillId="0" borderId="9331" xfId="0" applyFont="1" applyBorder="1" applyAlignment="1"/>
    <xf numFmtId="0" fontId="9332" fillId="0" borderId="9332" xfId="0" applyFont="1" applyBorder="1" applyAlignment="1"/>
    <xf numFmtId="0" fontId="9333" fillId="0" borderId="9333" xfId="0" applyFont="1" applyBorder="1" applyAlignment="1"/>
    <xf numFmtId="0" fontId="9334" fillId="0" borderId="9334" xfId="0" applyFont="1" applyBorder="1" applyAlignment="1"/>
    <xf numFmtId="0" fontId="9335" fillId="0" borderId="9335" xfId="0" applyFont="1" applyBorder="1" applyAlignment="1"/>
    <xf numFmtId="0" fontId="9336" fillId="0" borderId="9336" xfId="0" applyFont="1" applyBorder="1" applyAlignment="1"/>
    <xf numFmtId="0" fontId="9337" fillId="0" borderId="9337" xfId="0" applyFont="1" applyBorder="1" applyAlignment="1"/>
    <xf numFmtId="0" fontId="9338" fillId="0" borderId="9338" xfId="0" applyFont="1" applyBorder="1" applyAlignment="1"/>
    <xf numFmtId="0" fontId="9339" fillId="0" borderId="9339" xfId="0" applyFont="1" applyBorder="1" applyAlignment="1"/>
    <xf numFmtId="0" fontId="9340" fillId="0" borderId="9340" xfId="0" applyFont="1" applyBorder="1" applyAlignment="1"/>
    <xf numFmtId="0" fontId="9341" fillId="0" borderId="9341" xfId="0" applyFont="1" applyBorder="1" applyAlignment="1"/>
    <xf numFmtId="0" fontId="9342" fillId="0" borderId="9342" xfId="0" applyFont="1" applyBorder="1" applyAlignment="1"/>
    <xf numFmtId="0" fontId="9343" fillId="0" borderId="9343" xfId="0" applyFont="1" applyBorder="1" applyAlignment="1"/>
    <xf numFmtId="0" fontId="9344" fillId="0" borderId="9344" xfId="0" applyFont="1" applyBorder="1" applyAlignment="1"/>
    <xf numFmtId="0" fontId="9345" fillId="0" borderId="9345" xfId="0" applyFont="1" applyBorder="1" applyAlignment="1"/>
    <xf numFmtId="0" fontId="9346" fillId="0" borderId="9346" xfId="0" applyFont="1" applyBorder="1" applyAlignment="1"/>
    <xf numFmtId="0" fontId="9347" fillId="0" borderId="9347" xfId="0" applyFont="1" applyBorder="1" applyAlignment="1"/>
    <xf numFmtId="0" fontId="9348" fillId="0" borderId="9348" xfId="0" applyFont="1" applyBorder="1" applyAlignment="1"/>
    <xf numFmtId="0" fontId="9349" fillId="0" borderId="9349" xfId="0" applyFont="1" applyBorder="1" applyAlignment="1"/>
    <xf numFmtId="0" fontId="9350" fillId="0" borderId="9350" xfId="0" applyFont="1" applyBorder="1" applyAlignment="1"/>
    <xf numFmtId="0" fontId="9351" fillId="0" borderId="9351" xfId="0" applyFont="1" applyBorder="1" applyAlignment="1"/>
    <xf numFmtId="0" fontId="9352" fillId="0" borderId="9352" xfId="0" applyFont="1" applyBorder="1" applyAlignment="1"/>
    <xf numFmtId="0" fontId="9353" fillId="0" borderId="9353" xfId="0" applyFont="1" applyBorder="1" applyAlignment="1"/>
    <xf numFmtId="0" fontId="9354" fillId="0" borderId="9354" xfId="0" applyFont="1" applyBorder="1" applyAlignment="1"/>
    <xf numFmtId="0" fontId="9355" fillId="0" borderId="9355" xfId="0" applyFont="1" applyBorder="1" applyAlignment="1"/>
    <xf numFmtId="0" fontId="9356" fillId="0" borderId="9356" xfId="0" applyFont="1" applyBorder="1" applyAlignment="1"/>
    <xf numFmtId="0" fontId="9357" fillId="0" borderId="9357" xfId="0" applyFont="1" applyBorder="1" applyAlignment="1"/>
    <xf numFmtId="0" fontId="9358" fillId="0" borderId="9358" xfId="0" applyFont="1" applyBorder="1" applyAlignment="1"/>
    <xf numFmtId="0" fontId="9359" fillId="0" borderId="9359" xfId="0" applyFont="1" applyBorder="1" applyAlignment="1"/>
    <xf numFmtId="0" fontId="9360" fillId="0" borderId="9360" xfId="0" applyFont="1" applyBorder="1" applyAlignment="1"/>
    <xf numFmtId="0" fontId="9361" fillId="0" borderId="9361" xfId="0" applyFont="1" applyBorder="1" applyAlignment="1"/>
    <xf numFmtId="0" fontId="9362" fillId="0" borderId="9362" xfId="0" applyFont="1" applyBorder="1" applyAlignment="1"/>
    <xf numFmtId="0" fontId="9363" fillId="0" borderId="9363" xfId="0" applyFont="1" applyBorder="1" applyAlignment="1"/>
    <xf numFmtId="0" fontId="9364" fillId="0" borderId="9364" xfId="0" applyFont="1" applyBorder="1" applyAlignment="1"/>
    <xf numFmtId="0" fontId="9365" fillId="0" borderId="9365" xfId="0" applyFont="1" applyBorder="1" applyAlignment="1"/>
    <xf numFmtId="0" fontId="9366" fillId="0" borderId="9366" xfId="0" applyFont="1" applyBorder="1" applyAlignment="1"/>
    <xf numFmtId="0" fontId="9367" fillId="0" borderId="9367" xfId="0" applyFont="1" applyBorder="1" applyAlignment="1"/>
    <xf numFmtId="0" fontId="9368" fillId="0" borderId="9368" xfId="0" applyFont="1" applyBorder="1" applyAlignment="1"/>
    <xf numFmtId="0" fontId="9369" fillId="0" borderId="9369" xfId="0" applyFont="1" applyBorder="1" applyAlignment="1"/>
    <xf numFmtId="0" fontId="9370" fillId="0" borderId="9370" xfId="0" applyFont="1" applyBorder="1" applyAlignment="1"/>
    <xf numFmtId="0" fontId="9371" fillId="0" borderId="9371" xfId="0" applyFont="1" applyBorder="1" applyAlignment="1"/>
    <xf numFmtId="0" fontId="9372" fillId="0" borderId="9372" xfId="0" applyFont="1" applyBorder="1" applyAlignment="1"/>
    <xf numFmtId="0" fontId="9373" fillId="0" borderId="9373" xfId="0" applyFont="1" applyBorder="1" applyAlignment="1"/>
    <xf numFmtId="0" fontId="9374" fillId="0" borderId="9374" xfId="0" applyFont="1" applyBorder="1" applyAlignment="1"/>
    <xf numFmtId="0" fontId="9375" fillId="0" borderId="9375" xfId="0" applyFont="1" applyBorder="1" applyAlignment="1"/>
    <xf numFmtId="0" fontId="9376" fillId="0" borderId="9376" xfId="0" applyFont="1" applyBorder="1" applyAlignment="1"/>
    <xf numFmtId="0" fontId="9377" fillId="0" borderId="9377" xfId="0" applyFont="1" applyBorder="1" applyAlignment="1"/>
    <xf numFmtId="0" fontId="9378" fillId="0" borderId="9378" xfId="0" applyFont="1" applyBorder="1" applyAlignment="1"/>
    <xf numFmtId="0" fontId="9379" fillId="0" borderId="9379" xfId="0" applyFont="1" applyBorder="1" applyAlignment="1"/>
    <xf numFmtId="0" fontId="9380" fillId="0" borderId="9380" xfId="0" applyFont="1" applyBorder="1" applyAlignment="1"/>
    <xf numFmtId="0" fontId="9381" fillId="0" borderId="9381" xfId="0" applyFont="1" applyBorder="1" applyAlignment="1"/>
    <xf numFmtId="0" fontId="9382" fillId="0" borderId="9382" xfId="0" applyFont="1" applyBorder="1" applyAlignment="1"/>
    <xf numFmtId="0" fontId="9383" fillId="0" borderId="9383" xfId="0" applyFont="1" applyBorder="1" applyAlignment="1"/>
    <xf numFmtId="0" fontId="9384" fillId="0" borderId="9384" xfId="0" applyFont="1" applyBorder="1" applyAlignment="1"/>
    <xf numFmtId="0" fontId="9385" fillId="0" borderId="9385" xfId="0" applyFont="1" applyBorder="1" applyAlignment="1"/>
    <xf numFmtId="0" fontId="9386" fillId="0" borderId="9386" xfId="0" applyFont="1" applyBorder="1" applyAlignment="1"/>
    <xf numFmtId="0" fontId="9387" fillId="0" borderId="9387" xfId="0" applyFont="1" applyBorder="1" applyAlignment="1"/>
    <xf numFmtId="0" fontId="9388" fillId="0" borderId="9388" xfId="0" applyFont="1" applyBorder="1" applyAlignment="1"/>
    <xf numFmtId="0" fontId="9389" fillId="0" borderId="9389" xfId="0" applyFont="1" applyBorder="1" applyAlignment="1"/>
    <xf numFmtId="0" fontId="9390" fillId="0" borderId="9390" xfId="0" applyFont="1" applyBorder="1" applyAlignment="1"/>
    <xf numFmtId="0" fontId="9391" fillId="0" borderId="9391" xfId="0" applyFont="1" applyBorder="1" applyAlignment="1"/>
    <xf numFmtId="0" fontId="9392" fillId="0" borderId="9392" xfId="0" applyFont="1" applyBorder="1" applyAlignment="1"/>
    <xf numFmtId="0" fontId="9393" fillId="0" borderId="9393" xfId="0" applyFont="1" applyBorder="1" applyAlignment="1"/>
    <xf numFmtId="0" fontId="9394" fillId="0" borderId="9394" xfId="0" applyFont="1" applyBorder="1" applyAlignment="1"/>
    <xf numFmtId="0" fontId="9395" fillId="0" borderId="9395" xfId="0" applyFont="1" applyBorder="1" applyAlignment="1"/>
    <xf numFmtId="0" fontId="9396" fillId="0" borderId="9396" xfId="0" applyFont="1" applyBorder="1" applyAlignment="1"/>
    <xf numFmtId="0" fontId="9397" fillId="0" borderId="9397" xfId="0" applyFont="1" applyBorder="1" applyAlignment="1"/>
    <xf numFmtId="0" fontId="9398" fillId="0" borderId="9398" xfId="0" applyFont="1" applyBorder="1" applyAlignment="1"/>
    <xf numFmtId="0" fontId="9399" fillId="0" borderId="9399" xfId="0" applyFont="1" applyBorder="1" applyAlignment="1"/>
    <xf numFmtId="0" fontId="9400" fillId="0" borderId="9400" xfId="0" applyFont="1" applyBorder="1" applyAlignment="1"/>
    <xf numFmtId="0" fontId="9401" fillId="0" borderId="9401" xfId="0" applyFont="1" applyBorder="1" applyAlignment="1"/>
    <xf numFmtId="0" fontId="9402" fillId="0" borderId="9402" xfId="0" applyFont="1" applyBorder="1" applyAlignment="1"/>
    <xf numFmtId="0" fontId="9403" fillId="0" borderId="9403" xfId="0" applyFont="1" applyBorder="1" applyAlignment="1"/>
    <xf numFmtId="0" fontId="9404" fillId="0" borderId="9404" xfId="0" applyFont="1" applyBorder="1" applyAlignment="1"/>
    <xf numFmtId="0" fontId="9405" fillId="0" borderId="9405" xfId="0" applyFont="1" applyBorder="1" applyAlignment="1"/>
    <xf numFmtId="0" fontId="9406" fillId="0" borderId="9406" xfId="0" applyFont="1" applyBorder="1" applyAlignment="1"/>
    <xf numFmtId="0" fontId="9407" fillId="0" borderId="9407" xfId="0" applyFont="1" applyBorder="1" applyAlignment="1"/>
    <xf numFmtId="0" fontId="9408" fillId="0" borderId="9408" xfId="0" applyFont="1" applyBorder="1" applyAlignment="1"/>
    <xf numFmtId="0" fontId="9409" fillId="0" borderId="9409" xfId="0" applyFont="1" applyBorder="1" applyAlignment="1"/>
    <xf numFmtId="0" fontId="9410" fillId="0" borderId="9410" xfId="0" applyFont="1" applyBorder="1" applyAlignment="1"/>
    <xf numFmtId="0" fontId="9411" fillId="0" borderId="9411" xfId="0" applyFont="1" applyBorder="1" applyAlignment="1"/>
    <xf numFmtId="0" fontId="9412" fillId="0" borderId="9412" xfId="0" applyFont="1" applyBorder="1" applyAlignment="1"/>
    <xf numFmtId="0" fontId="9413" fillId="0" borderId="9413" xfId="0" applyFont="1" applyBorder="1" applyAlignment="1"/>
    <xf numFmtId="0" fontId="9414" fillId="0" borderId="9414" xfId="0" applyFont="1" applyBorder="1" applyAlignment="1"/>
    <xf numFmtId="0" fontId="9415" fillId="0" borderId="9415" xfId="0" applyFont="1" applyBorder="1" applyAlignment="1"/>
    <xf numFmtId="0" fontId="9416" fillId="0" borderId="9416" xfId="0" applyFont="1" applyBorder="1" applyAlignment="1"/>
    <xf numFmtId="0" fontId="9417" fillId="0" borderId="9417" xfId="0" applyFont="1" applyBorder="1" applyAlignment="1"/>
    <xf numFmtId="0" fontId="9418" fillId="0" borderId="9418" xfId="0" applyFont="1" applyBorder="1" applyAlignment="1"/>
    <xf numFmtId="0" fontId="9419" fillId="0" borderId="9419" xfId="0" applyFont="1" applyBorder="1" applyAlignment="1"/>
    <xf numFmtId="0" fontId="9420" fillId="0" borderId="9420" xfId="0" applyFont="1" applyBorder="1" applyAlignment="1"/>
    <xf numFmtId="0" fontId="9421" fillId="0" borderId="9421" xfId="0" applyFont="1" applyBorder="1" applyAlignment="1"/>
    <xf numFmtId="0" fontId="9422" fillId="0" borderId="9422" xfId="0" applyFont="1" applyBorder="1" applyAlignment="1"/>
    <xf numFmtId="0" fontId="9423" fillId="0" borderId="9423" xfId="0" applyFont="1" applyBorder="1" applyAlignment="1"/>
    <xf numFmtId="0" fontId="9424" fillId="0" borderId="9424" xfId="0" applyFont="1" applyBorder="1" applyAlignment="1"/>
    <xf numFmtId="0" fontId="9425" fillId="0" borderId="9425" xfId="0" applyFont="1" applyBorder="1" applyAlignment="1"/>
    <xf numFmtId="0" fontId="9426" fillId="0" borderId="9426" xfId="0" applyFont="1" applyBorder="1" applyAlignment="1"/>
    <xf numFmtId="0" fontId="9427" fillId="0" borderId="9427" xfId="0" applyFont="1" applyBorder="1" applyAlignment="1"/>
    <xf numFmtId="0" fontId="9428" fillId="0" borderId="9428" xfId="0" applyFont="1" applyBorder="1" applyAlignment="1"/>
    <xf numFmtId="0" fontId="9429" fillId="0" borderId="9429" xfId="0" applyFont="1" applyBorder="1" applyAlignment="1"/>
    <xf numFmtId="0" fontId="9430" fillId="0" borderId="9430" xfId="0" applyFont="1" applyBorder="1" applyAlignment="1"/>
    <xf numFmtId="0" fontId="9431" fillId="0" borderId="9431" xfId="0" applyFont="1" applyBorder="1" applyAlignment="1"/>
    <xf numFmtId="0" fontId="9432" fillId="0" borderId="9432" xfId="0" applyFont="1" applyBorder="1" applyAlignment="1"/>
    <xf numFmtId="0" fontId="9433" fillId="0" borderId="9433" xfId="0" applyFont="1" applyBorder="1" applyAlignment="1"/>
    <xf numFmtId="0" fontId="9434" fillId="0" borderId="9434" xfId="0" applyFont="1" applyBorder="1" applyAlignment="1"/>
    <xf numFmtId="0" fontId="9435" fillId="0" borderId="9435" xfId="0" applyFont="1" applyBorder="1" applyAlignment="1"/>
    <xf numFmtId="0" fontId="9436" fillId="0" borderId="9436" xfId="0" applyFont="1" applyBorder="1" applyAlignment="1"/>
    <xf numFmtId="0" fontId="9437" fillId="0" borderId="9437" xfId="0" applyFont="1" applyBorder="1" applyAlignment="1"/>
    <xf numFmtId="0" fontId="9438" fillId="0" borderId="9438" xfId="0" applyFont="1" applyBorder="1" applyAlignment="1"/>
    <xf numFmtId="0" fontId="9439" fillId="0" borderId="9439" xfId="0" applyFont="1" applyBorder="1" applyAlignment="1"/>
    <xf numFmtId="0" fontId="9440" fillId="0" borderId="9440" xfId="0" applyFont="1" applyBorder="1" applyAlignment="1"/>
    <xf numFmtId="0" fontId="9441" fillId="0" borderId="9441" xfId="0" applyFont="1" applyBorder="1" applyAlignment="1"/>
    <xf numFmtId="0" fontId="9442" fillId="0" borderId="9442" xfId="0" applyFont="1" applyBorder="1" applyAlignment="1"/>
    <xf numFmtId="0" fontId="9443" fillId="0" borderId="9443" xfId="0" applyFont="1" applyBorder="1" applyAlignment="1"/>
    <xf numFmtId="0" fontId="9444" fillId="0" borderId="9444" xfId="0" applyFont="1" applyBorder="1" applyAlignment="1"/>
    <xf numFmtId="0" fontId="9445" fillId="0" borderId="9445" xfId="0" applyFont="1" applyBorder="1" applyAlignment="1"/>
    <xf numFmtId="0" fontId="9446" fillId="0" borderId="9446" xfId="0" applyFont="1" applyBorder="1" applyAlignment="1"/>
    <xf numFmtId="0" fontId="9447" fillId="0" borderId="9447" xfId="0" applyFont="1" applyBorder="1" applyAlignment="1"/>
    <xf numFmtId="0" fontId="9448" fillId="0" borderId="9448" xfId="0" applyFont="1" applyBorder="1" applyAlignment="1"/>
    <xf numFmtId="0" fontId="9449" fillId="0" borderId="9449" xfId="0" applyFont="1" applyBorder="1" applyAlignment="1"/>
    <xf numFmtId="0" fontId="9450" fillId="0" borderId="9450" xfId="0" applyFont="1" applyBorder="1" applyAlignment="1"/>
    <xf numFmtId="0" fontId="9451" fillId="0" borderId="9451" xfId="0" applyFont="1" applyBorder="1" applyAlignment="1"/>
    <xf numFmtId="0" fontId="9452" fillId="0" borderId="9452" xfId="0" applyFont="1" applyBorder="1" applyAlignment="1"/>
    <xf numFmtId="0" fontId="9453" fillId="0" borderId="9453" xfId="0" applyFont="1" applyBorder="1" applyAlignment="1"/>
    <xf numFmtId="0" fontId="9454" fillId="0" borderId="9454" xfId="0" applyFont="1" applyBorder="1" applyAlignment="1"/>
    <xf numFmtId="0" fontId="9455" fillId="0" borderId="9455" xfId="0" applyFont="1" applyBorder="1" applyAlignment="1"/>
    <xf numFmtId="0" fontId="9456" fillId="0" borderId="9456" xfId="0" applyFont="1" applyBorder="1" applyAlignment="1"/>
    <xf numFmtId="0" fontId="9457" fillId="0" borderId="9457" xfId="0" applyFont="1" applyBorder="1" applyAlignment="1"/>
    <xf numFmtId="0" fontId="9458" fillId="0" borderId="9458" xfId="0" applyFont="1" applyBorder="1" applyAlignment="1"/>
    <xf numFmtId="0" fontId="9459" fillId="0" borderId="9459" xfId="0" applyFont="1" applyBorder="1" applyAlignment="1"/>
    <xf numFmtId="0" fontId="9460" fillId="0" borderId="9460" xfId="0" applyFont="1" applyBorder="1" applyAlignment="1"/>
    <xf numFmtId="0" fontId="9461" fillId="0" borderId="9461" xfId="0" applyFont="1" applyBorder="1" applyAlignment="1"/>
    <xf numFmtId="0" fontId="9462" fillId="0" borderId="9462" xfId="0" applyFont="1" applyBorder="1" applyAlignment="1"/>
    <xf numFmtId="0" fontId="9463" fillId="0" borderId="9463" xfId="0" applyFont="1" applyBorder="1" applyAlignment="1"/>
    <xf numFmtId="0" fontId="9464" fillId="0" borderId="9464" xfId="0" applyFont="1" applyBorder="1" applyAlignment="1"/>
    <xf numFmtId="0" fontId="9465" fillId="0" borderId="9465" xfId="0" applyFont="1" applyBorder="1" applyAlignment="1"/>
    <xf numFmtId="0" fontId="9466" fillId="0" borderId="9466" xfId="0" applyFont="1" applyBorder="1" applyAlignment="1"/>
    <xf numFmtId="0" fontId="9467" fillId="0" borderId="9467" xfId="0" applyFont="1" applyBorder="1" applyAlignment="1"/>
    <xf numFmtId="0" fontId="9468" fillId="0" borderId="9468" xfId="0" applyFont="1" applyBorder="1" applyAlignment="1"/>
    <xf numFmtId="0" fontId="9469" fillId="0" borderId="9469" xfId="0" applyFont="1" applyBorder="1" applyAlignment="1"/>
    <xf numFmtId="0" fontId="9470" fillId="0" borderId="9470" xfId="0" applyFont="1" applyBorder="1" applyAlignment="1"/>
    <xf numFmtId="0" fontId="9471" fillId="0" borderId="9471" xfId="0" applyFont="1" applyBorder="1" applyAlignment="1"/>
    <xf numFmtId="0" fontId="9472" fillId="0" borderId="9472" xfId="0" applyFont="1" applyBorder="1" applyAlignment="1"/>
    <xf numFmtId="0" fontId="9473" fillId="0" borderId="9473" xfId="0" applyFont="1" applyBorder="1" applyAlignment="1"/>
    <xf numFmtId="0" fontId="9474" fillId="0" borderId="9474" xfId="0" applyFont="1" applyBorder="1" applyAlignment="1"/>
    <xf numFmtId="0" fontId="9475" fillId="0" borderId="9475" xfId="0" applyFont="1" applyBorder="1" applyAlignment="1"/>
    <xf numFmtId="0" fontId="9476" fillId="0" borderId="9476" xfId="0" applyFont="1" applyBorder="1" applyAlignment="1"/>
    <xf numFmtId="0" fontId="9477" fillId="0" borderId="9477" xfId="0" applyFont="1" applyBorder="1" applyAlignment="1"/>
    <xf numFmtId="0" fontId="9478" fillId="0" borderId="9478" xfId="0" applyFont="1" applyBorder="1" applyAlignment="1"/>
    <xf numFmtId="0" fontId="9479" fillId="0" borderId="9479" xfId="0" applyFont="1" applyBorder="1" applyAlignment="1"/>
    <xf numFmtId="0" fontId="9480" fillId="0" borderId="9480" xfId="0" applyFont="1" applyBorder="1" applyAlignment="1"/>
    <xf numFmtId="0" fontId="9481" fillId="0" borderId="9481" xfId="0" applyFont="1" applyBorder="1" applyAlignment="1"/>
    <xf numFmtId="0" fontId="9482" fillId="0" borderId="9482" xfId="0" applyFont="1" applyBorder="1" applyAlignment="1"/>
    <xf numFmtId="0" fontId="9483" fillId="0" borderId="9483" xfId="0" applyFont="1" applyBorder="1" applyAlignment="1"/>
    <xf numFmtId="0" fontId="9484" fillId="0" borderId="9484" xfId="0" applyFont="1" applyBorder="1" applyAlignment="1"/>
    <xf numFmtId="0" fontId="9485" fillId="0" borderId="9485" xfId="0" applyFont="1" applyBorder="1" applyAlignment="1"/>
    <xf numFmtId="0" fontId="9486" fillId="0" borderId="9486" xfId="0" applyFont="1" applyBorder="1" applyAlignment="1"/>
    <xf numFmtId="0" fontId="9487" fillId="0" borderId="9487" xfId="0" applyFont="1" applyBorder="1" applyAlignment="1"/>
    <xf numFmtId="0" fontId="9488" fillId="0" borderId="9488" xfId="0" applyFont="1" applyBorder="1" applyAlignment="1"/>
    <xf numFmtId="0" fontId="9489" fillId="0" borderId="9489" xfId="0" applyFont="1" applyBorder="1" applyAlignment="1"/>
    <xf numFmtId="0" fontId="9490" fillId="0" borderId="9490" xfId="0" applyFont="1" applyBorder="1" applyAlignment="1"/>
    <xf numFmtId="0" fontId="9491" fillId="0" borderId="9491" xfId="0" applyFont="1" applyBorder="1" applyAlignment="1"/>
    <xf numFmtId="0" fontId="9492" fillId="0" borderId="9492" xfId="0" applyFont="1" applyBorder="1" applyAlignment="1"/>
    <xf numFmtId="0" fontId="9493" fillId="0" borderId="9493" xfId="0" applyFont="1" applyBorder="1" applyAlignment="1"/>
    <xf numFmtId="0" fontId="9494" fillId="0" borderId="9494" xfId="0" applyFont="1" applyBorder="1" applyAlignment="1"/>
    <xf numFmtId="0" fontId="9495" fillId="0" borderId="9495" xfId="0" applyFont="1" applyBorder="1" applyAlignment="1"/>
    <xf numFmtId="0" fontId="9496" fillId="0" borderId="9496" xfId="0" applyFont="1" applyBorder="1" applyAlignment="1"/>
    <xf numFmtId="0" fontId="9497" fillId="0" borderId="9497" xfId="0" applyFont="1" applyBorder="1" applyAlignment="1"/>
    <xf numFmtId="0" fontId="9498" fillId="0" borderId="9498" xfId="0" applyFont="1" applyBorder="1" applyAlignment="1"/>
    <xf numFmtId="0" fontId="9499" fillId="0" borderId="9499" xfId="0" applyFont="1" applyBorder="1" applyAlignment="1"/>
    <xf numFmtId="0" fontId="9500" fillId="0" borderId="9500" xfId="0" applyFont="1" applyBorder="1" applyAlignment="1"/>
    <xf numFmtId="0" fontId="9501" fillId="0" borderId="9501" xfId="0" applyFont="1" applyBorder="1" applyAlignment="1"/>
    <xf numFmtId="0" fontId="9502" fillId="0" borderId="9502" xfId="0" applyFont="1" applyBorder="1" applyAlignment="1"/>
    <xf numFmtId="0" fontId="9503" fillId="0" borderId="9503" xfId="0" applyFont="1" applyBorder="1" applyAlignment="1"/>
    <xf numFmtId="0" fontId="9504" fillId="0" borderId="9504" xfId="0" applyFont="1" applyBorder="1" applyAlignment="1"/>
    <xf numFmtId="0" fontId="9505" fillId="0" borderId="9505" xfId="0" applyFont="1" applyBorder="1" applyAlignment="1"/>
    <xf numFmtId="0" fontId="9506" fillId="0" borderId="9506" xfId="0" applyFont="1" applyBorder="1" applyAlignment="1"/>
    <xf numFmtId="0" fontId="9507" fillId="0" borderId="9507" xfId="0" applyFont="1" applyBorder="1" applyAlignment="1"/>
    <xf numFmtId="0" fontId="9508" fillId="0" borderId="9508" xfId="0" applyFont="1" applyBorder="1" applyAlignment="1"/>
    <xf numFmtId="0" fontId="9509" fillId="0" borderId="9509" xfId="0" applyFont="1" applyBorder="1" applyAlignment="1"/>
    <xf numFmtId="0" fontId="9510" fillId="0" borderId="9510" xfId="0" applyFont="1" applyBorder="1" applyAlignment="1"/>
    <xf numFmtId="0" fontId="9511" fillId="0" borderId="9511" xfId="0" applyFont="1" applyBorder="1" applyAlignment="1"/>
    <xf numFmtId="0" fontId="9512" fillId="0" borderId="9512" xfId="0" applyFont="1" applyBorder="1" applyAlignment="1"/>
    <xf numFmtId="0" fontId="9513" fillId="0" borderId="9513" xfId="0" applyFont="1" applyBorder="1" applyAlignment="1"/>
    <xf numFmtId="0" fontId="9514" fillId="0" borderId="9514" xfId="0" applyFont="1" applyBorder="1" applyAlignment="1"/>
    <xf numFmtId="0" fontId="9515" fillId="0" borderId="9515" xfId="0" applyFont="1" applyBorder="1" applyAlignment="1"/>
    <xf numFmtId="0" fontId="9516" fillId="0" borderId="9516" xfId="0" applyFont="1" applyBorder="1" applyAlignment="1"/>
    <xf numFmtId="0" fontId="9517" fillId="0" borderId="9517" xfId="0" applyFont="1" applyBorder="1" applyAlignment="1"/>
    <xf numFmtId="0" fontId="9518" fillId="0" borderId="9518" xfId="0" applyFont="1" applyBorder="1" applyAlignment="1"/>
    <xf numFmtId="0" fontId="9519" fillId="0" borderId="9519" xfId="0" applyFont="1" applyBorder="1" applyAlignment="1"/>
    <xf numFmtId="0" fontId="9520" fillId="0" borderId="9520" xfId="0" applyFont="1" applyBorder="1" applyAlignment="1"/>
    <xf numFmtId="0" fontId="9521" fillId="0" borderId="9521" xfId="0" applyFont="1" applyBorder="1" applyAlignment="1"/>
    <xf numFmtId="0" fontId="9522" fillId="0" borderId="9522" xfId="0" applyFont="1" applyBorder="1" applyAlignment="1"/>
    <xf numFmtId="0" fontId="9523" fillId="0" borderId="9523" xfId="0" applyFont="1" applyBorder="1" applyAlignment="1"/>
    <xf numFmtId="0" fontId="9524" fillId="0" borderId="9524" xfId="0" applyFont="1" applyBorder="1" applyAlignment="1"/>
    <xf numFmtId="0" fontId="9525" fillId="0" borderId="9525" xfId="0" applyFont="1" applyBorder="1" applyAlignment="1"/>
    <xf numFmtId="0" fontId="9526" fillId="0" borderId="9526" xfId="0" applyFont="1" applyBorder="1" applyAlignment="1"/>
    <xf numFmtId="0" fontId="9527" fillId="0" borderId="9527" xfId="0" applyFont="1" applyBorder="1" applyAlignment="1"/>
    <xf numFmtId="0" fontId="9528" fillId="0" borderId="9528" xfId="0" applyFont="1" applyBorder="1" applyAlignment="1"/>
    <xf numFmtId="0" fontId="9529" fillId="0" borderId="9529" xfId="0" applyFont="1" applyBorder="1" applyAlignment="1"/>
    <xf numFmtId="0" fontId="9530" fillId="0" borderId="9530" xfId="0" applyFont="1" applyBorder="1" applyAlignment="1"/>
    <xf numFmtId="0" fontId="9531" fillId="0" borderId="9531" xfId="0" applyFont="1" applyBorder="1" applyAlignment="1"/>
    <xf numFmtId="0" fontId="9532" fillId="0" borderId="9532" xfId="0" applyFont="1" applyBorder="1" applyAlignment="1"/>
    <xf numFmtId="0" fontId="9533" fillId="0" borderId="9533" xfId="0" applyFont="1" applyBorder="1" applyAlignment="1"/>
    <xf numFmtId="0" fontId="9534" fillId="0" borderId="9534" xfId="0" applyFont="1" applyBorder="1" applyAlignment="1"/>
    <xf numFmtId="0" fontId="9535" fillId="0" borderId="9535" xfId="0" applyFont="1" applyBorder="1" applyAlignment="1"/>
    <xf numFmtId="0" fontId="9536" fillId="0" borderId="9536" xfId="0" applyFont="1" applyBorder="1" applyAlignment="1"/>
    <xf numFmtId="0" fontId="9537" fillId="0" borderId="9537" xfId="0" applyFont="1" applyBorder="1" applyAlignment="1"/>
    <xf numFmtId="0" fontId="9538" fillId="0" borderId="9538" xfId="0" applyFont="1" applyBorder="1" applyAlignment="1"/>
    <xf numFmtId="0" fontId="9539" fillId="0" borderId="9539" xfId="0" applyFont="1" applyBorder="1" applyAlignment="1"/>
    <xf numFmtId="0" fontId="9540" fillId="0" borderId="9540" xfId="0" applyFont="1" applyBorder="1" applyAlignment="1"/>
    <xf numFmtId="0" fontId="9541" fillId="0" borderId="9541" xfId="0" applyFont="1" applyBorder="1" applyAlignment="1"/>
    <xf numFmtId="0" fontId="9542" fillId="0" borderId="9542" xfId="0" applyFont="1" applyBorder="1" applyAlignment="1"/>
    <xf numFmtId="0" fontId="9543" fillId="0" borderId="9543" xfId="0" applyFont="1" applyBorder="1" applyAlignment="1"/>
    <xf numFmtId="0" fontId="9544" fillId="0" borderId="9544" xfId="0" applyFont="1" applyBorder="1" applyAlignment="1"/>
    <xf numFmtId="0" fontId="9545" fillId="0" borderId="9545" xfId="0" applyFont="1" applyBorder="1" applyAlignment="1"/>
    <xf numFmtId="0" fontId="9546" fillId="0" borderId="9546" xfId="0" applyFont="1" applyBorder="1" applyAlignment="1"/>
    <xf numFmtId="0" fontId="9547" fillId="0" borderId="9547" xfId="0" applyFont="1" applyBorder="1" applyAlignment="1"/>
    <xf numFmtId="0" fontId="9548" fillId="0" borderId="9548" xfId="0" applyFont="1" applyBorder="1" applyAlignment="1"/>
    <xf numFmtId="0" fontId="9549" fillId="0" borderId="9549" xfId="0" applyFont="1" applyBorder="1" applyAlignment="1"/>
    <xf numFmtId="0" fontId="9550" fillId="0" borderId="9550" xfId="0" applyFont="1" applyBorder="1" applyAlignment="1"/>
    <xf numFmtId="0" fontId="9551" fillId="0" borderId="9551" xfId="0" applyFont="1" applyBorder="1" applyAlignment="1"/>
    <xf numFmtId="0" fontId="9552" fillId="0" borderId="9552" xfId="0" applyFont="1" applyBorder="1" applyAlignment="1"/>
    <xf numFmtId="0" fontId="9553" fillId="0" borderId="9553" xfId="0" applyFont="1" applyBorder="1" applyAlignment="1"/>
    <xf numFmtId="0" fontId="9554" fillId="0" borderId="9554" xfId="0" applyFont="1" applyBorder="1" applyAlignment="1"/>
    <xf numFmtId="0" fontId="9555" fillId="0" borderId="9555" xfId="0" applyFont="1" applyBorder="1" applyAlignment="1"/>
    <xf numFmtId="0" fontId="9556" fillId="0" borderId="9556" xfId="0" applyFont="1" applyBorder="1" applyAlignment="1"/>
    <xf numFmtId="0" fontId="9557" fillId="0" borderId="9557" xfId="0" applyFont="1" applyBorder="1" applyAlignment="1"/>
    <xf numFmtId="0" fontId="9558" fillId="0" borderId="9558" xfId="0" applyFont="1" applyBorder="1" applyAlignment="1"/>
    <xf numFmtId="0" fontId="9559" fillId="0" borderId="9559" xfId="0" applyFont="1" applyBorder="1" applyAlignment="1"/>
    <xf numFmtId="0" fontId="9560" fillId="0" borderId="9560" xfId="0" applyFont="1" applyBorder="1" applyAlignment="1"/>
    <xf numFmtId="0" fontId="9561" fillId="0" borderId="9561" xfId="0" applyFont="1" applyBorder="1" applyAlignment="1"/>
    <xf numFmtId="0" fontId="9562" fillId="0" borderId="9562" xfId="0" applyFont="1" applyBorder="1" applyAlignment="1"/>
    <xf numFmtId="0" fontId="9563" fillId="0" borderId="9563" xfId="0" applyFont="1" applyBorder="1" applyAlignment="1"/>
    <xf numFmtId="0" fontId="9564" fillId="0" borderId="9564" xfId="0" applyFont="1" applyBorder="1" applyAlignment="1"/>
    <xf numFmtId="0" fontId="9565" fillId="0" borderId="9565" xfId="0" applyFont="1" applyBorder="1" applyAlignment="1"/>
    <xf numFmtId="0" fontId="9566" fillId="0" borderId="9566" xfId="0" applyFont="1" applyBorder="1" applyAlignment="1"/>
    <xf numFmtId="0" fontId="9567" fillId="0" borderId="9567" xfId="0" applyFont="1" applyBorder="1" applyAlignment="1"/>
    <xf numFmtId="0" fontId="9568" fillId="0" borderId="9568" xfId="0" applyFont="1" applyBorder="1" applyAlignment="1"/>
    <xf numFmtId="0" fontId="9569" fillId="0" borderId="9569" xfId="0" applyFont="1" applyBorder="1" applyAlignment="1"/>
    <xf numFmtId="0" fontId="9570" fillId="0" borderId="9570" xfId="0" applyFont="1" applyBorder="1" applyAlignment="1"/>
    <xf numFmtId="0" fontId="9571" fillId="0" borderId="9571" xfId="0" applyFont="1" applyBorder="1" applyAlignment="1"/>
    <xf numFmtId="0" fontId="9572" fillId="0" borderId="9572" xfId="0" applyFont="1" applyBorder="1" applyAlignment="1"/>
    <xf numFmtId="0" fontId="9573" fillId="0" borderId="9573" xfId="0" applyFont="1" applyBorder="1" applyAlignment="1"/>
    <xf numFmtId="0" fontId="9574" fillId="0" borderId="9574" xfId="0" applyFont="1" applyBorder="1" applyAlignment="1"/>
    <xf numFmtId="0" fontId="9575" fillId="0" borderId="9575" xfId="0" applyFont="1" applyBorder="1" applyAlignment="1"/>
    <xf numFmtId="0" fontId="9576" fillId="0" borderId="9576" xfId="0" applyFont="1" applyBorder="1" applyAlignment="1"/>
    <xf numFmtId="0" fontId="9577" fillId="0" borderId="9577" xfId="0" applyFont="1" applyBorder="1" applyAlignment="1"/>
    <xf numFmtId="0" fontId="9578" fillId="0" borderId="9578" xfId="0" applyFont="1" applyBorder="1" applyAlignment="1"/>
    <xf numFmtId="0" fontId="9579" fillId="0" borderId="9579" xfId="0" applyFont="1" applyBorder="1" applyAlignment="1"/>
    <xf numFmtId="0" fontId="9580" fillId="0" borderId="9580" xfId="0" applyFont="1" applyBorder="1" applyAlignment="1"/>
    <xf numFmtId="0" fontId="9581" fillId="0" borderId="9581" xfId="0" applyFont="1" applyBorder="1" applyAlignment="1"/>
    <xf numFmtId="0" fontId="9582" fillId="0" borderId="9582" xfId="0" applyFont="1" applyBorder="1" applyAlignment="1"/>
    <xf numFmtId="0" fontId="9583" fillId="0" borderId="9583" xfId="0" applyFont="1" applyBorder="1" applyAlignment="1"/>
    <xf numFmtId="0" fontId="9584" fillId="0" borderId="9584" xfId="0" applyFont="1" applyBorder="1" applyAlignment="1"/>
    <xf numFmtId="0" fontId="9585" fillId="0" borderId="9585" xfId="0" applyFont="1" applyBorder="1" applyAlignment="1"/>
    <xf numFmtId="0" fontId="9586" fillId="0" borderId="9586" xfId="0" applyFont="1" applyBorder="1" applyAlignment="1"/>
    <xf numFmtId="0" fontId="9587" fillId="0" borderId="9587" xfId="0" applyFont="1" applyBorder="1" applyAlignment="1"/>
    <xf numFmtId="0" fontId="9588" fillId="0" borderId="9588" xfId="0" applyFont="1" applyBorder="1" applyAlignment="1"/>
    <xf numFmtId="0" fontId="9589" fillId="0" borderId="9589" xfId="0" applyFont="1" applyBorder="1" applyAlignment="1"/>
    <xf numFmtId="0" fontId="9590" fillId="0" borderId="9590" xfId="0" applyFont="1" applyBorder="1" applyAlignment="1"/>
    <xf numFmtId="0" fontId="9591" fillId="0" borderId="9591" xfId="0" applyFont="1" applyBorder="1" applyAlignment="1"/>
    <xf numFmtId="0" fontId="9592" fillId="0" borderId="9592" xfId="0" applyFont="1" applyBorder="1" applyAlignment="1"/>
    <xf numFmtId="0" fontId="9593" fillId="0" borderId="9593" xfId="0" applyFont="1" applyBorder="1" applyAlignment="1"/>
    <xf numFmtId="0" fontId="9594" fillId="0" borderId="9594" xfId="0" applyFont="1" applyBorder="1" applyAlignment="1"/>
    <xf numFmtId="0" fontId="9595" fillId="0" borderId="9595" xfId="0" applyFont="1" applyBorder="1" applyAlignment="1"/>
    <xf numFmtId="0" fontId="9596" fillId="0" borderId="9596" xfId="0" applyFont="1" applyBorder="1" applyAlignment="1"/>
    <xf numFmtId="0" fontId="9597" fillId="0" borderId="9597" xfId="0" applyFont="1" applyBorder="1" applyAlignment="1"/>
    <xf numFmtId="0" fontId="9598" fillId="0" borderId="9598" xfId="0" applyFont="1" applyBorder="1" applyAlignment="1"/>
    <xf numFmtId="0" fontId="9599" fillId="0" borderId="9599" xfId="0" applyFont="1" applyBorder="1" applyAlignment="1"/>
    <xf numFmtId="0" fontId="9600" fillId="0" borderId="9600" xfId="0" applyFont="1" applyBorder="1" applyAlignment="1"/>
    <xf numFmtId="0" fontId="9601" fillId="0" borderId="9601" xfId="0" applyFont="1" applyBorder="1" applyAlignment="1"/>
    <xf numFmtId="0" fontId="9602" fillId="0" borderId="9602" xfId="0" applyFont="1" applyBorder="1" applyAlignment="1"/>
    <xf numFmtId="0" fontId="9603" fillId="0" borderId="9603" xfId="0" applyFont="1" applyBorder="1" applyAlignment="1"/>
    <xf numFmtId="0" fontId="9604" fillId="0" borderId="9604" xfId="0" applyFont="1" applyBorder="1" applyAlignment="1"/>
    <xf numFmtId="0" fontId="9605" fillId="0" borderId="9605" xfId="0" applyFont="1" applyBorder="1" applyAlignment="1"/>
    <xf numFmtId="0" fontId="9606" fillId="0" borderId="9606" xfId="0" applyFont="1" applyBorder="1" applyAlignment="1"/>
    <xf numFmtId="0" fontId="9607" fillId="0" borderId="9607" xfId="0" applyFont="1" applyBorder="1" applyAlignment="1"/>
    <xf numFmtId="0" fontId="9608" fillId="0" borderId="9608" xfId="0" applyFont="1" applyBorder="1" applyAlignment="1"/>
    <xf numFmtId="0" fontId="9609" fillId="0" borderId="9609" xfId="0" applyFont="1" applyBorder="1" applyAlignment="1"/>
    <xf numFmtId="0" fontId="9610" fillId="0" borderId="9610" xfId="0" applyFont="1" applyBorder="1" applyAlignment="1"/>
    <xf numFmtId="0" fontId="9611" fillId="0" borderId="9611" xfId="0" applyFont="1" applyBorder="1" applyAlignment="1"/>
    <xf numFmtId="0" fontId="9612" fillId="0" borderId="9612" xfId="0" applyFont="1" applyBorder="1" applyAlignment="1"/>
    <xf numFmtId="0" fontId="9613" fillId="0" borderId="9613" xfId="0" applyFont="1" applyBorder="1" applyAlignment="1"/>
    <xf numFmtId="0" fontId="9614" fillId="0" borderId="9614" xfId="0" applyFont="1" applyBorder="1" applyAlignment="1"/>
    <xf numFmtId="0" fontId="9615" fillId="0" borderId="9615" xfId="0" applyFont="1" applyBorder="1" applyAlignment="1"/>
    <xf numFmtId="0" fontId="9616" fillId="0" borderId="9616" xfId="0" applyFont="1" applyBorder="1" applyAlignment="1"/>
    <xf numFmtId="0" fontId="9617" fillId="0" borderId="9617" xfId="0" applyFont="1" applyBorder="1" applyAlignment="1"/>
    <xf numFmtId="0" fontId="9618" fillId="0" borderId="9618" xfId="0" applyFont="1" applyBorder="1" applyAlignment="1"/>
    <xf numFmtId="0" fontId="9619" fillId="0" borderId="9619" xfId="0" applyFont="1" applyBorder="1" applyAlignment="1"/>
    <xf numFmtId="0" fontId="9620" fillId="0" borderId="9620" xfId="0" applyFont="1" applyBorder="1" applyAlignment="1"/>
    <xf numFmtId="0" fontId="9621" fillId="0" borderId="9621" xfId="0" applyFont="1" applyBorder="1" applyAlignment="1"/>
    <xf numFmtId="0" fontId="9622" fillId="0" borderId="9622" xfId="0" applyFont="1" applyBorder="1" applyAlignment="1"/>
    <xf numFmtId="0" fontId="9623" fillId="0" borderId="9623" xfId="0" applyFont="1" applyBorder="1" applyAlignment="1"/>
    <xf numFmtId="0" fontId="9624" fillId="0" borderId="9624" xfId="0" applyFont="1" applyBorder="1" applyAlignment="1"/>
    <xf numFmtId="0" fontId="9625" fillId="0" borderId="9625" xfId="0" applyFont="1" applyBorder="1" applyAlignment="1"/>
    <xf numFmtId="0" fontId="9626" fillId="0" borderId="9626" xfId="0" applyFont="1" applyBorder="1" applyAlignment="1"/>
    <xf numFmtId="0" fontId="9627" fillId="0" borderId="9627" xfId="0" applyFont="1" applyBorder="1" applyAlignment="1"/>
    <xf numFmtId="0" fontId="9628" fillId="0" borderId="9628" xfId="0" applyFont="1" applyBorder="1" applyAlignment="1"/>
    <xf numFmtId="0" fontId="9629" fillId="0" borderId="9629" xfId="0" applyFont="1" applyBorder="1" applyAlignment="1"/>
    <xf numFmtId="0" fontId="9630" fillId="0" borderId="9630" xfId="0" applyFont="1" applyBorder="1" applyAlignment="1"/>
    <xf numFmtId="0" fontId="9631" fillId="0" borderId="9631" xfId="0" applyFont="1" applyBorder="1" applyAlignment="1"/>
    <xf numFmtId="0" fontId="9632" fillId="0" borderId="9632" xfId="0" applyFont="1" applyBorder="1" applyAlignment="1"/>
    <xf numFmtId="0" fontId="9633" fillId="0" borderId="9633" xfId="0" applyFont="1" applyBorder="1" applyAlignment="1"/>
    <xf numFmtId="0" fontId="9634" fillId="0" borderId="9634" xfId="0" applyFont="1" applyBorder="1" applyAlignment="1"/>
    <xf numFmtId="0" fontId="9635" fillId="0" borderId="9635" xfId="0" applyFont="1" applyBorder="1" applyAlignment="1"/>
    <xf numFmtId="0" fontId="9636" fillId="0" borderId="9636" xfId="0" applyFont="1" applyBorder="1" applyAlignment="1"/>
    <xf numFmtId="0" fontId="9637" fillId="0" borderId="9637" xfId="0" applyFont="1" applyBorder="1" applyAlignment="1"/>
    <xf numFmtId="0" fontId="9638" fillId="0" borderId="9638" xfId="0" applyFont="1" applyBorder="1" applyAlignment="1"/>
    <xf numFmtId="0" fontId="9639" fillId="0" borderId="9639" xfId="0" applyFont="1" applyBorder="1" applyAlignment="1"/>
    <xf numFmtId="0" fontId="9640" fillId="0" borderId="9640" xfId="0" applyFont="1" applyBorder="1" applyAlignment="1"/>
    <xf numFmtId="0" fontId="9641" fillId="0" borderId="9641" xfId="0" applyFont="1" applyBorder="1" applyAlignment="1"/>
    <xf numFmtId="0" fontId="9642" fillId="0" borderId="9642" xfId="0" applyFont="1" applyBorder="1" applyAlignment="1"/>
    <xf numFmtId="0" fontId="9643" fillId="0" borderId="9643" xfId="0" applyFont="1" applyBorder="1" applyAlignment="1"/>
    <xf numFmtId="0" fontId="9644" fillId="0" borderId="9644" xfId="0" applyFont="1" applyBorder="1" applyAlignment="1"/>
    <xf numFmtId="0" fontId="9645" fillId="0" borderId="9645" xfId="0" applyFont="1" applyBorder="1" applyAlignment="1"/>
    <xf numFmtId="0" fontId="9646" fillId="0" borderId="9646" xfId="0" applyFont="1" applyBorder="1" applyAlignment="1"/>
    <xf numFmtId="0" fontId="9647" fillId="0" borderId="9647" xfId="0" applyFont="1" applyBorder="1" applyAlignment="1"/>
    <xf numFmtId="0" fontId="9648" fillId="0" borderId="9648" xfId="0" applyFont="1" applyBorder="1" applyAlignment="1"/>
    <xf numFmtId="0" fontId="9649" fillId="0" borderId="9649" xfId="0" applyFont="1" applyBorder="1" applyAlignment="1"/>
    <xf numFmtId="0" fontId="9650" fillId="0" borderId="9650" xfId="0" applyFont="1" applyBorder="1" applyAlignment="1"/>
    <xf numFmtId="0" fontId="9651" fillId="0" borderId="9651" xfId="0" applyFont="1" applyBorder="1" applyAlignment="1"/>
    <xf numFmtId="0" fontId="9652" fillId="0" borderId="9652" xfId="0" applyFont="1" applyBorder="1" applyAlignment="1"/>
    <xf numFmtId="0" fontId="9653" fillId="0" borderId="9653" xfId="0" applyFont="1" applyBorder="1" applyAlignment="1"/>
    <xf numFmtId="0" fontId="9654" fillId="0" borderId="9654" xfId="0" applyFont="1" applyBorder="1" applyAlignment="1"/>
    <xf numFmtId="0" fontId="9655" fillId="0" borderId="9655" xfId="0" applyFont="1" applyBorder="1" applyAlignment="1"/>
    <xf numFmtId="0" fontId="9656" fillId="0" borderId="9656" xfId="0" applyFont="1" applyBorder="1" applyAlignment="1"/>
    <xf numFmtId="0" fontId="9657" fillId="0" borderId="9657" xfId="0" applyFont="1" applyBorder="1" applyAlignment="1"/>
    <xf numFmtId="0" fontId="9658" fillId="0" borderId="9658" xfId="0" applyFont="1" applyBorder="1" applyAlignment="1"/>
    <xf numFmtId="0" fontId="9659" fillId="0" borderId="9659" xfId="0" applyFont="1" applyBorder="1" applyAlignment="1"/>
    <xf numFmtId="0" fontId="9660" fillId="0" borderId="9660" xfId="0" applyFont="1" applyBorder="1" applyAlignment="1"/>
    <xf numFmtId="0" fontId="9661" fillId="0" borderId="9661" xfId="0" applyFont="1" applyBorder="1" applyAlignment="1"/>
    <xf numFmtId="0" fontId="9662" fillId="0" borderId="9662" xfId="0" applyFont="1" applyBorder="1" applyAlignment="1"/>
    <xf numFmtId="0" fontId="9663" fillId="0" borderId="9663" xfId="0" applyFont="1" applyBorder="1" applyAlignment="1"/>
    <xf numFmtId="0" fontId="9664" fillId="0" borderId="9664" xfId="0" applyFont="1" applyBorder="1" applyAlignment="1"/>
    <xf numFmtId="0" fontId="9665" fillId="0" borderId="9665" xfId="0" applyFont="1" applyBorder="1" applyAlignment="1"/>
    <xf numFmtId="0" fontId="9666" fillId="0" borderId="9666" xfId="0" applyFont="1" applyBorder="1" applyAlignment="1"/>
    <xf numFmtId="0" fontId="9667" fillId="0" borderId="9667" xfId="0" applyFont="1" applyBorder="1" applyAlignment="1"/>
    <xf numFmtId="0" fontId="9668" fillId="0" borderId="9668" xfId="0" applyFont="1" applyBorder="1" applyAlignment="1"/>
    <xf numFmtId="0" fontId="9669" fillId="0" borderId="9669" xfId="0" applyFont="1" applyBorder="1" applyAlignment="1"/>
    <xf numFmtId="0" fontId="9670" fillId="0" borderId="9670" xfId="0" applyFont="1" applyBorder="1" applyAlignment="1"/>
    <xf numFmtId="0" fontId="9671" fillId="0" borderId="9671" xfId="0" applyFont="1" applyBorder="1" applyAlignment="1"/>
    <xf numFmtId="0" fontId="9672" fillId="0" borderId="9672" xfId="0" applyFont="1" applyBorder="1" applyAlignment="1"/>
    <xf numFmtId="0" fontId="9673" fillId="0" borderId="9673" xfId="0" applyFont="1" applyBorder="1" applyAlignment="1"/>
    <xf numFmtId="0" fontId="9674" fillId="0" borderId="9674" xfId="0" applyFont="1" applyBorder="1" applyAlignment="1"/>
    <xf numFmtId="0" fontId="9675" fillId="0" borderId="9675" xfId="0" applyFont="1" applyBorder="1" applyAlignment="1"/>
    <xf numFmtId="0" fontId="9676" fillId="0" borderId="9676" xfId="0" applyFont="1" applyBorder="1" applyAlignment="1"/>
    <xf numFmtId="0" fontId="9677" fillId="0" borderId="9677" xfId="0" applyFont="1" applyBorder="1" applyAlignment="1"/>
    <xf numFmtId="0" fontId="9678" fillId="0" borderId="9678" xfId="0" applyFont="1" applyBorder="1" applyAlignment="1"/>
    <xf numFmtId="0" fontId="9679" fillId="0" borderId="9679" xfId="0" applyFont="1" applyBorder="1" applyAlignment="1"/>
    <xf numFmtId="0" fontId="9680" fillId="0" borderId="9680" xfId="0" applyFont="1" applyBorder="1" applyAlignment="1"/>
    <xf numFmtId="0" fontId="9681" fillId="0" borderId="9681" xfId="0" applyFont="1" applyBorder="1" applyAlignment="1"/>
    <xf numFmtId="0" fontId="9682" fillId="0" borderId="9682" xfId="0" applyFont="1" applyBorder="1" applyAlignment="1"/>
    <xf numFmtId="0" fontId="9683" fillId="0" borderId="9683" xfId="0" applyFont="1" applyBorder="1" applyAlignment="1"/>
    <xf numFmtId="0" fontId="9684" fillId="0" borderId="9684" xfId="0" applyFont="1" applyBorder="1" applyAlignment="1"/>
    <xf numFmtId="0" fontId="9685" fillId="0" borderId="9685" xfId="0" applyFont="1" applyBorder="1" applyAlignment="1"/>
    <xf numFmtId="0" fontId="9686" fillId="0" borderId="9686" xfId="0" applyFont="1" applyBorder="1" applyAlignment="1"/>
    <xf numFmtId="0" fontId="9687" fillId="0" borderId="9687" xfId="0" applyFont="1" applyBorder="1" applyAlignment="1"/>
    <xf numFmtId="0" fontId="9688" fillId="0" borderId="9688" xfId="0" applyFont="1" applyBorder="1" applyAlignment="1"/>
    <xf numFmtId="0" fontId="9689" fillId="0" borderId="9689" xfId="0" applyFont="1" applyBorder="1" applyAlignment="1"/>
    <xf numFmtId="0" fontId="9690" fillId="0" borderId="9690" xfId="0" applyFont="1" applyBorder="1" applyAlignment="1"/>
    <xf numFmtId="0" fontId="9691" fillId="0" borderId="9691" xfId="0" applyFont="1" applyBorder="1" applyAlignment="1"/>
    <xf numFmtId="0" fontId="9692" fillId="0" borderId="9692" xfId="0" applyFont="1" applyBorder="1" applyAlignment="1"/>
    <xf numFmtId="0" fontId="9693" fillId="0" borderId="9693" xfId="0" applyFont="1" applyBorder="1" applyAlignment="1"/>
    <xf numFmtId="0" fontId="9694" fillId="0" borderId="9694" xfId="0" applyFont="1" applyBorder="1" applyAlignment="1"/>
    <xf numFmtId="0" fontId="9695" fillId="0" borderId="9695" xfId="0" applyFont="1" applyBorder="1" applyAlignment="1"/>
    <xf numFmtId="0" fontId="9696" fillId="0" borderId="9696" xfId="0" applyFont="1" applyBorder="1" applyAlignment="1"/>
    <xf numFmtId="0" fontId="9697" fillId="0" borderId="9697" xfId="0" applyFont="1" applyBorder="1" applyAlignment="1"/>
    <xf numFmtId="0" fontId="9698" fillId="0" borderId="9698" xfId="0" applyFont="1" applyBorder="1" applyAlignment="1"/>
    <xf numFmtId="0" fontId="9699" fillId="0" borderId="9699" xfId="0" applyFont="1" applyBorder="1" applyAlignment="1"/>
    <xf numFmtId="0" fontId="9700" fillId="0" borderId="9700" xfId="0" applyFont="1" applyBorder="1" applyAlignment="1"/>
    <xf numFmtId="0" fontId="9701" fillId="0" borderId="9701" xfId="0" applyFont="1" applyBorder="1" applyAlignment="1"/>
    <xf numFmtId="0" fontId="9702" fillId="0" borderId="9702" xfId="0" applyFont="1" applyBorder="1" applyAlignment="1"/>
    <xf numFmtId="0" fontId="9703" fillId="0" borderId="9703" xfId="0" applyFont="1" applyBorder="1" applyAlignment="1"/>
    <xf numFmtId="0" fontId="9704" fillId="0" borderId="9704" xfId="0" applyFont="1" applyBorder="1" applyAlignment="1"/>
    <xf numFmtId="0" fontId="9705" fillId="0" borderId="9705" xfId="0" applyFont="1" applyBorder="1" applyAlignment="1"/>
    <xf numFmtId="0" fontId="9706" fillId="0" borderId="9706" xfId="0" applyFont="1" applyBorder="1" applyAlignment="1"/>
    <xf numFmtId="0" fontId="9707" fillId="0" borderId="9707" xfId="0" applyFont="1" applyBorder="1" applyAlignment="1"/>
    <xf numFmtId="0" fontId="9708" fillId="0" borderId="9708" xfId="0" applyFont="1" applyBorder="1" applyAlignment="1"/>
    <xf numFmtId="0" fontId="9709" fillId="0" borderId="9709" xfId="0" applyFont="1" applyBorder="1" applyAlignment="1"/>
    <xf numFmtId="0" fontId="9710" fillId="0" borderId="9710" xfId="0" applyFont="1" applyBorder="1" applyAlignment="1"/>
    <xf numFmtId="0" fontId="9711" fillId="0" borderId="9711" xfId="0" applyFont="1" applyBorder="1" applyAlignment="1"/>
    <xf numFmtId="0" fontId="9712" fillId="0" borderId="9712" xfId="0" applyFont="1" applyBorder="1" applyAlignment="1"/>
    <xf numFmtId="0" fontId="9713" fillId="0" borderId="9713" xfId="0" applyFont="1" applyBorder="1" applyAlignment="1"/>
    <xf numFmtId="0" fontId="9714" fillId="0" borderId="9714" xfId="0" applyFont="1" applyBorder="1" applyAlignment="1"/>
    <xf numFmtId="0" fontId="9715" fillId="0" borderId="9715" xfId="0" applyFont="1" applyBorder="1" applyAlignment="1"/>
    <xf numFmtId="0" fontId="9716" fillId="0" borderId="9716" xfId="0" applyFont="1" applyBorder="1" applyAlignment="1"/>
    <xf numFmtId="0" fontId="9717" fillId="0" borderId="9717" xfId="0" applyFont="1" applyBorder="1" applyAlignment="1"/>
    <xf numFmtId="0" fontId="9718" fillId="0" borderId="9718" xfId="0" applyFont="1" applyBorder="1" applyAlignment="1"/>
    <xf numFmtId="0" fontId="9719" fillId="0" borderId="9719" xfId="0" applyFont="1" applyBorder="1" applyAlignment="1"/>
    <xf numFmtId="0" fontId="9720" fillId="0" borderId="9720" xfId="0" applyFont="1" applyBorder="1" applyAlignment="1"/>
    <xf numFmtId="0" fontId="9721" fillId="0" borderId="9721" xfId="0" applyFont="1" applyBorder="1" applyAlignment="1"/>
    <xf numFmtId="0" fontId="9722" fillId="0" borderId="9722" xfId="0" applyFont="1" applyBorder="1" applyAlignment="1"/>
    <xf numFmtId="0" fontId="9723" fillId="0" borderId="9723" xfId="0" applyFont="1" applyBorder="1" applyAlignment="1"/>
    <xf numFmtId="0" fontId="9724" fillId="0" borderId="9724" xfId="0" applyFont="1" applyBorder="1" applyAlignment="1"/>
    <xf numFmtId="0" fontId="9725" fillId="0" borderId="9725" xfId="0" applyFont="1" applyBorder="1" applyAlignment="1"/>
    <xf numFmtId="0" fontId="9726" fillId="0" borderId="9726" xfId="0" applyFont="1" applyBorder="1" applyAlignment="1"/>
    <xf numFmtId="0" fontId="9727" fillId="0" borderId="9727" xfId="0" applyFont="1" applyBorder="1" applyAlignment="1"/>
    <xf numFmtId="0" fontId="9728" fillId="0" borderId="9728" xfId="0" applyFont="1" applyBorder="1" applyAlignment="1"/>
    <xf numFmtId="0" fontId="9729" fillId="0" borderId="9729" xfId="0" applyFont="1" applyBorder="1" applyAlignment="1"/>
    <xf numFmtId="0" fontId="9730" fillId="0" borderId="9730" xfId="0" applyFont="1" applyBorder="1" applyAlignment="1"/>
    <xf numFmtId="0" fontId="9731" fillId="0" borderId="9731" xfId="0" applyFont="1" applyBorder="1" applyAlignment="1"/>
    <xf numFmtId="0" fontId="9732" fillId="0" borderId="9732" xfId="0" applyFont="1" applyBorder="1" applyAlignment="1"/>
    <xf numFmtId="0" fontId="9733" fillId="0" borderId="9733" xfId="0" applyFont="1" applyBorder="1" applyAlignment="1"/>
    <xf numFmtId="0" fontId="9734" fillId="0" borderId="9734" xfId="0" applyFont="1" applyBorder="1" applyAlignment="1"/>
    <xf numFmtId="0" fontId="9735" fillId="0" borderId="9735" xfId="0" applyFont="1" applyBorder="1" applyAlignment="1"/>
    <xf numFmtId="0" fontId="9736" fillId="0" borderId="9736" xfId="0" applyFont="1" applyBorder="1" applyAlignment="1"/>
    <xf numFmtId="0" fontId="9737" fillId="0" borderId="9737" xfId="0" applyFont="1" applyBorder="1" applyAlignment="1"/>
    <xf numFmtId="0" fontId="9738" fillId="0" borderId="9738" xfId="0" applyFont="1" applyBorder="1" applyAlignment="1"/>
    <xf numFmtId="0" fontId="9739" fillId="0" borderId="9739" xfId="0" applyFont="1" applyBorder="1" applyAlignment="1"/>
    <xf numFmtId="0" fontId="9740" fillId="0" borderId="9740" xfId="0" applyFont="1" applyBorder="1" applyAlignment="1"/>
    <xf numFmtId="0" fontId="9741" fillId="0" borderId="9741" xfId="0" applyFont="1" applyBorder="1" applyAlignment="1"/>
    <xf numFmtId="0" fontId="9742" fillId="0" borderId="9742" xfId="0" applyFont="1" applyBorder="1" applyAlignment="1"/>
    <xf numFmtId="0" fontId="9743" fillId="0" borderId="9743" xfId="0" applyFont="1" applyBorder="1" applyAlignment="1"/>
    <xf numFmtId="0" fontId="9744" fillId="0" borderId="9744" xfId="0" applyFont="1" applyBorder="1" applyAlignment="1"/>
    <xf numFmtId="0" fontId="9745" fillId="0" borderId="9745" xfId="0" applyFont="1" applyBorder="1" applyAlignment="1"/>
    <xf numFmtId="0" fontId="9746" fillId="0" borderId="9746" xfId="0" applyFont="1" applyBorder="1" applyAlignment="1"/>
    <xf numFmtId="0" fontId="9747" fillId="0" borderId="9747" xfId="0" applyFont="1" applyBorder="1" applyAlignment="1"/>
    <xf numFmtId="0" fontId="9748" fillId="0" borderId="9748" xfId="0" applyFont="1" applyBorder="1" applyAlignment="1"/>
    <xf numFmtId="0" fontId="9749" fillId="0" borderId="9749" xfId="0" applyFont="1" applyBorder="1" applyAlignment="1"/>
    <xf numFmtId="0" fontId="9750" fillId="0" borderId="9750" xfId="0" applyFont="1" applyBorder="1" applyAlignment="1"/>
    <xf numFmtId="0" fontId="9751" fillId="0" borderId="9751" xfId="0" applyFont="1" applyBorder="1" applyAlignment="1"/>
    <xf numFmtId="0" fontId="9752" fillId="0" borderId="9752" xfId="0" applyFont="1" applyBorder="1" applyAlignment="1"/>
    <xf numFmtId="0" fontId="9753" fillId="0" borderId="9753" xfId="0" applyFont="1" applyBorder="1" applyAlignment="1"/>
    <xf numFmtId="0" fontId="9754" fillId="0" borderId="9754" xfId="0" applyFont="1" applyBorder="1" applyAlignment="1"/>
    <xf numFmtId="0" fontId="9755" fillId="0" borderId="9755" xfId="0" applyFont="1" applyBorder="1" applyAlignment="1"/>
    <xf numFmtId="0" fontId="9756" fillId="0" borderId="9756" xfId="0" applyFont="1" applyBorder="1" applyAlignment="1"/>
    <xf numFmtId="0" fontId="9757" fillId="0" borderId="9757" xfId="0" applyFont="1" applyBorder="1" applyAlignment="1"/>
    <xf numFmtId="0" fontId="9758" fillId="0" borderId="9758" xfId="0" applyFont="1" applyBorder="1" applyAlignment="1"/>
    <xf numFmtId="0" fontId="9759" fillId="0" borderId="9759" xfId="0" applyFont="1" applyBorder="1" applyAlignment="1"/>
    <xf numFmtId="0" fontId="9760" fillId="0" borderId="9760" xfId="0" applyFont="1" applyBorder="1" applyAlignment="1"/>
    <xf numFmtId="0" fontId="9761" fillId="0" borderId="9761" xfId="0" applyFont="1" applyBorder="1" applyAlignment="1"/>
    <xf numFmtId="0" fontId="9762" fillId="0" borderId="9762" xfId="0" applyFont="1" applyBorder="1" applyAlignment="1"/>
    <xf numFmtId="0" fontId="9763" fillId="0" borderId="9763" xfId="0" applyFont="1" applyBorder="1" applyAlignment="1"/>
    <xf numFmtId="0" fontId="9764" fillId="0" borderId="9764" xfId="0" applyFont="1" applyBorder="1" applyAlignment="1"/>
    <xf numFmtId="0" fontId="9765" fillId="0" borderId="9765" xfId="0" applyFont="1" applyBorder="1" applyAlignment="1"/>
    <xf numFmtId="0" fontId="9766" fillId="0" borderId="9766" xfId="0" applyFont="1" applyBorder="1" applyAlignment="1"/>
    <xf numFmtId="0" fontId="9767" fillId="0" borderId="9767" xfId="0" applyFont="1" applyBorder="1" applyAlignment="1"/>
    <xf numFmtId="0" fontId="9768" fillId="0" borderId="9768" xfId="0" applyFont="1" applyBorder="1" applyAlignment="1"/>
    <xf numFmtId="0" fontId="9769" fillId="0" borderId="9769" xfId="0" applyFont="1" applyBorder="1" applyAlignment="1"/>
    <xf numFmtId="0" fontId="9770" fillId="0" borderId="9770" xfId="0" applyFont="1" applyBorder="1" applyAlignment="1"/>
    <xf numFmtId="0" fontId="9771" fillId="0" borderId="9771" xfId="0" applyFont="1" applyBorder="1" applyAlignment="1"/>
    <xf numFmtId="0" fontId="9772" fillId="0" borderId="9772" xfId="0" applyFont="1" applyBorder="1" applyAlignment="1"/>
    <xf numFmtId="0" fontId="9773" fillId="0" borderId="9773" xfId="0" applyFont="1" applyBorder="1" applyAlignment="1"/>
    <xf numFmtId="0" fontId="9774" fillId="0" borderId="9774" xfId="0" applyFont="1" applyBorder="1" applyAlignment="1"/>
    <xf numFmtId="0" fontId="9775" fillId="0" borderId="9775" xfId="0" applyFont="1" applyBorder="1" applyAlignment="1"/>
    <xf numFmtId="0" fontId="9776" fillId="0" borderId="9776" xfId="0" applyFont="1" applyBorder="1" applyAlignment="1"/>
    <xf numFmtId="0" fontId="9777" fillId="0" borderId="9777" xfId="0" applyFont="1" applyBorder="1" applyAlignment="1"/>
    <xf numFmtId="0" fontId="9778" fillId="0" borderId="9778" xfId="0" applyFont="1" applyBorder="1" applyAlignment="1"/>
    <xf numFmtId="0" fontId="9779" fillId="0" borderId="9779" xfId="0" applyFont="1" applyBorder="1" applyAlignment="1"/>
    <xf numFmtId="0" fontId="9780" fillId="0" borderId="9780" xfId="0" applyFont="1" applyBorder="1" applyAlignment="1"/>
    <xf numFmtId="0" fontId="9781" fillId="0" borderId="9781" xfId="0" applyFont="1" applyBorder="1" applyAlignment="1"/>
    <xf numFmtId="0" fontId="9782" fillId="0" borderId="9782" xfId="0" applyFont="1" applyBorder="1" applyAlignment="1"/>
    <xf numFmtId="0" fontId="9783" fillId="0" borderId="9783" xfId="0" applyFont="1" applyBorder="1" applyAlignment="1"/>
    <xf numFmtId="0" fontId="9784" fillId="0" borderId="9784" xfId="0" applyFont="1" applyBorder="1" applyAlignment="1"/>
    <xf numFmtId="0" fontId="9785" fillId="0" borderId="9785" xfId="0" applyFont="1" applyBorder="1" applyAlignment="1"/>
    <xf numFmtId="0" fontId="9786" fillId="0" borderId="9786" xfId="0" applyFont="1" applyBorder="1" applyAlignment="1"/>
    <xf numFmtId="0" fontId="9787" fillId="0" borderId="9787" xfId="0" applyFont="1" applyBorder="1" applyAlignment="1"/>
    <xf numFmtId="0" fontId="9788" fillId="0" borderId="9788" xfId="0" applyFont="1" applyBorder="1" applyAlignment="1"/>
    <xf numFmtId="0" fontId="9789" fillId="0" borderId="9789" xfId="0" applyFont="1" applyBorder="1" applyAlignment="1"/>
    <xf numFmtId="0" fontId="9790" fillId="0" borderId="9790" xfId="0" applyFont="1" applyBorder="1" applyAlignment="1"/>
    <xf numFmtId="0" fontId="9791" fillId="0" borderId="9791" xfId="0" applyFont="1" applyBorder="1" applyAlignment="1"/>
    <xf numFmtId="0" fontId="9792" fillId="0" borderId="9792" xfId="0" applyFont="1" applyBorder="1" applyAlignment="1"/>
    <xf numFmtId="0" fontId="9793" fillId="0" borderId="9793" xfId="0" applyFont="1" applyBorder="1" applyAlignment="1"/>
    <xf numFmtId="0" fontId="9794" fillId="0" borderId="9794" xfId="0" applyFont="1" applyBorder="1" applyAlignment="1"/>
    <xf numFmtId="0" fontId="9795" fillId="0" borderId="9795" xfId="0" applyFont="1" applyBorder="1" applyAlignment="1"/>
    <xf numFmtId="0" fontId="9796" fillId="0" borderId="9796" xfId="0" applyFont="1" applyBorder="1" applyAlignment="1"/>
    <xf numFmtId="0" fontId="9797" fillId="0" borderId="9797" xfId="0" applyFont="1" applyBorder="1" applyAlignment="1"/>
    <xf numFmtId="0" fontId="9798" fillId="0" borderId="9798" xfId="0" applyFont="1" applyBorder="1" applyAlignment="1"/>
    <xf numFmtId="0" fontId="9799" fillId="0" borderId="9799" xfId="0" applyFont="1" applyBorder="1" applyAlignment="1"/>
    <xf numFmtId="0" fontId="9800" fillId="0" borderId="9800" xfId="0" applyFont="1" applyBorder="1" applyAlignment="1"/>
    <xf numFmtId="0" fontId="9801" fillId="0" borderId="9801" xfId="0" applyFont="1" applyBorder="1" applyAlignment="1"/>
    <xf numFmtId="0" fontId="9802" fillId="0" borderId="9802" xfId="0" applyFont="1" applyBorder="1" applyAlignment="1"/>
    <xf numFmtId="0" fontId="9803" fillId="0" borderId="9803" xfId="0" applyFont="1" applyBorder="1" applyAlignment="1"/>
    <xf numFmtId="0" fontId="9804" fillId="0" borderId="9804" xfId="0" applyFont="1" applyBorder="1" applyAlignment="1"/>
    <xf numFmtId="0" fontId="9805" fillId="0" borderId="9805" xfId="0" applyFont="1" applyBorder="1" applyAlignment="1"/>
    <xf numFmtId="0" fontId="9806" fillId="0" borderId="9806" xfId="0" applyFont="1" applyBorder="1" applyAlignment="1"/>
    <xf numFmtId="0" fontId="9807" fillId="0" borderId="9807" xfId="0" applyFont="1" applyBorder="1" applyAlignment="1"/>
    <xf numFmtId="0" fontId="9808" fillId="0" borderId="9808" xfId="0" applyFont="1" applyBorder="1" applyAlignment="1"/>
    <xf numFmtId="0" fontId="9809" fillId="0" borderId="9809" xfId="0" applyFont="1" applyBorder="1" applyAlignment="1"/>
    <xf numFmtId="0" fontId="9810" fillId="0" borderId="9810" xfId="0" applyFont="1" applyBorder="1" applyAlignment="1"/>
    <xf numFmtId="0" fontId="9811" fillId="0" borderId="9811" xfId="0" applyFont="1" applyBorder="1" applyAlignment="1"/>
    <xf numFmtId="0" fontId="9812" fillId="0" borderId="9812" xfId="0" applyFont="1" applyBorder="1" applyAlignment="1"/>
    <xf numFmtId="0" fontId="9813" fillId="0" borderId="9813" xfId="0" applyFont="1" applyBorder="1" applyAlignment="1"/>
    <xf numFmtId="0" fontId="9814" fillId="0" borderId="9814" xfId="0" applyFont="1" applyBorder="1" applyAlignment="1"/>
    <xf numFmtId="0" fontId="9815" fillId="0" borderId="9815" xfId="0" applyFont="1" applyBorder="1" applyAlignment="1"/>
    <xf numFmtId="0" fontId="9816" fillId="0" borderId="9816" xfId="0" applyFont="1" applyBorder="1" applyAlignment="1"/>
    <xf numFmtId="0" fontId="9817" fillId="0" borderId="9817" xfId="0" applyFont="1" applyBorder="1" applyAlignment="1"/>
    <xf numFmtId="0" fontId="9818" fillId="0" borderId="9818" xfId="0" applyFont="1" applyBorder="1" applyAlignment="1"/>
    <xf numFmtId="0" fontId="9819" fillId="0" borderId="9819" xfId="0" applyFont="1" applyBorder="1" applyAlignment="1"/>
    <xf numFmtId="0" fontId="9820" fillId="0" borderId="9820" xfId="0" applyFont="1" applyBorder="1" applyAlignment="1"/>
    <xf numFmtId="0" fontId="9821" fillId="0" borderId="9821" xfId="0" applyFont="1" applyBorder="1" applyAlignment="1"/>
    <xf numFmtId="0" fontId="9822" fillId="0" borderId="9822" xfId="0" applyFont="1" applyBorder="1" applyAlignment="1"/>
    <xf numFmtId="0" fontId="9823" fillId="0" borderId="9823" xfId="0" applyFont="1" applyBorder="1" applyAlignment="1"/>
    <xf numFmtId="0" fontId="9824" fillId="0" borderId="9824" xfId="0" applyFont="1" applyBorder="1" applyAlignment="1"/>
    <xf numFmtId="0" fontId="9825" fillId="0" borderId="9825" xfId="0" applyFont="1" applyBorder="1" applyAlignment="1"/>
    <xf numFmtId="0" fontId="9826" fillId="0" borderId="9826" xfId="0" applyFont="1" applyBorder="1" applyAlignment="1"/>
    <xf numFmtId="0" fontId="9827" fillId="0" borderId="9827" xfId="0" applyFont="1" applyBorder="1" applyAlignment="1"/>
    <xf numFmtId="0" fontId="9828" fillId="0" borderId="9828" xfId="0" applyFont="1" applyBorder="1" applyAlignment="1"/>
    <xf numFmtId="0" fontId="9829" fillId="0" borderId="9829" xfId="0" applyFont="1" applyBorder="1" applyAlignment="1"/>
    <xf numFmtId="0" fontId="9830" fillId="0" borderId="9830" xfId="0" applyFont="1" applyBorder="1" applyAlignment="1"/>
    <xf numFmtId="0" fontId="9831" fillId="0" borderId="9831" xfId="0" applyFont="1" applyBorder="1" applyAlignment="1"/>
    <xf numFmtId="0" fontId="9832" fillId="0" borderId="9832" xfId="0" applyFont="1" applyBorder="1" applyAlignment="1"/>
    <xf numFmtId="0" fontId="9833" fillId="0" borderId="9833" xfId="0" applyFont="1" applyBorder="1" applyAlignment="1"/>
    <xf numFmtId="0" fontId="9834" fillId="0" borderId="9834" xfId="0" applyFont="1" applyBorder="1" applyAlignment="1"/>
    <xf numFmtId="0" fontId="9835" fillId="0" borderId="9835" xfId="0" applyFont="1" applyBorder="1" applyAlignment="1"/>
    <xf numFmtId="0" fontId="9836" fillId="0" borderId="9836" xfId="0" applyFont="1" applyBorder="1" applyAlignment="1"/>
    <xf numFmtId="0" fontId="9837" fillId="0" borderId="9837" xfId="0" applyFont="1" applyBorder="1" applyAlignment="1"/>
    <xf numFmtId="0" fontId="9838" fillId="0" borderId="9838" xfId="0" applyFont="1" applyBorder="1" applyAlignment="1"/>
    <xf numFmtId="0" fontId="9839" fillId="0" borderId="9839" xfId="0" applyFont="1" applyBorder="1" applyAlignment="1"/>
    <xf numFmtId="0" fontId="9840" fillId="0" borderId="9840" xfId="0" applyFont="1" applyBorder="1" applyAlignment="1"/>
    <xf numFmtId="0" fontId="9841" fillId="0" borderId="9841" xfId="0" applyFont="1" applyBorder="1" applyAlignment="1"/>
    <xf numFmtId="0" fontId="9842" fillId="0" borderId="9842" xfId="0" applyFont="1" applyBorder="1" applyAlignment="1"/>
    <xf numFmtId="0" fontId="9843" fillId="0" borderId="9843" xfId="0" applyFont="1" applyBorder="1" applyAlignment="1"/>
    <xf numFmtId="0" fontId="9844" fillId="0" borderId="9844" xfId="0" applyFont="1" applyBorder="1" applyAlignment="1"/>
    <xf numFmtId="0" fontId="9845" fillId="0" borderId="9845" xfId="0" applyFont="1" applyBorder="1" applyAlignment="1"/>
    <xf numFmtId="0" fontId="9846" fillId="0" borderId="9846" xfId="0" applyFont="1" applyBorder="1" applyAlignment="1"/>
    <xf numFmtId="0" fontId="9847" fillId="0" borderId="9847" xfId="0" applyFont="1" applyBorder="1" applyAlignment="1"/>
    <xf numFmtId="0" fontId="9848" fillId="0" borderId="9848" xfId="0" applyFont="1" applyBorder="1" applyAlignment="1"/>
    <xf numFmtId="0" fontId="9849" fillId="0" borderId="9849" xfId="0" applyFont="1" applyBorder="1" applyAlignment="1"/>
    <xf numFmtId="0" fontId="9850" fillId="0" borderId="9850" xfId="0" applyFont="1" applyBorder="1" applyAlignment="1"/>
    <xf numFmtId="0" fontId="9851" fillId="0" borderId="9851" xfId="0" applyFont="1" applyBorder="1" applyAlignment="1"/>
    <xf numFmtId="0" fontId="9852" fillId="0" borderId="9852" xfId="0" applyFont="1" applyBorder="1" applyAlignment="1"/>
    <xf numFmtId="0" fontId="9853" fillId="0" borderId="9853" xfId="0" applyFont="1" applyBorder="1" applyAlignment="1"/>
    <xf numFmtId="0" fontId="9854" fillId="0" borderId="9854" xfId="0" applyFont="1" applyBorder="1" applyAlignment="1"/>
    <xf numFmtId="0" fontId="9855" fillId="0" borderId="9855" xfId="0" applyFont="1" applyBorder="1" applyAlignment="1"/>
    <xf numFmtId="0" fontId="9856" fillId="0" borderId="9856" xfId="0" applyFont="1" applyBorder="1" applyAlignment="1"/>
    <xf numFmtId="0" fontId="9857" fillId="0" borderId="9857" xfId="0" applyFont="1" applyBorder="1" applyAlignment="1"/>
    <xf numFmtId="0" fontId="9858" fillId="0" borderId="9858" xfId="0" applyFont="1" applyBorder="1" applyAlignment="1"/>
    <xf numFmtId="0" fontId="9859" fillId="0" borderId="9859" xfId="0" applyFont="1" applyBorder="1" applyAlignment="1"/>
    <xf numFmtId="0" fontId="9860" fillId="0" borderId="9860" xfId="0" applyFont="1" applyBorder="1" applyAlignment="1"/>
    <xf numFmtId="0" fontId="9861" fillId="0" borderId="9861" xfId="0" applyFont="1" applyBorder="1" applyAlignment="1"/>
    <xf numFmtId="0" fontId="9862" fillId="0" borderId="9862" xfId="0" applyFont="1" applyBorder="1" applyAlignment="1"/>
    <xf numFmtId="0" fontId="9863" fillId="0" borderId="9863" xfId="0" applyFont="1" applyBorder="1" applyAlignment="1"/>
    <xf numFmtId="0" fontId="9864" fillId="0" borderId="9864" xfId="0" applyFont="1" applyBorder="1" applyAlignment="1"/>
    <xf numFmtId="0" fontId="9865" fillId="0" borderId="9865" xfId="0" applyFont="1" applyBorder="1" applyAlignment="1"/>
    <xf numFmtId="0" fontId="9866" fillId="0" borderId="9866" xfId="0" applyFont="1" applyBorder="1" applyAlignment="1"/>
    <xf numFmtId="0" fontId="9867" fillId="0" borderId="9867" xfId="0" applyFont="1" applyBorder="1" applyAlignment="1"/>
    <xf numFmtId="0" fontId="9868" fillId="0" borderId="9868" xfId="0" applyFont="1" applyBorder="1" applyAlignment="1"/>
    <xf numFmtId="0" fontId="9869" fillId="0" borderId="9869" xfId="0" applyFont="1" applyBorder="1" applyAlignment="1"/>
    <xf numFmtId="0" fontId="9870" fillId="0" borderId="9870" xfId="0" applyFont="1" applyBorder="1" applyAlignment="1"/>
    <xf numFmtId="0" fontId="9871" fillId="0" borderId="9871" xfId="0" applyFont="1" applyBorder="1" applyAlignment="1"/>
    <xf numFmtId="0" fontId="9872" fillId="0" borderId="9872" xfId="0" applyFont="1" applyBorder="1" applyAlignment="1"/>
    <xf numFmtId="0" fontId="9873" fillId="0" borderId="9873" xfId="0" applyFont="1" applyBorder="1" applyAlignment="1"/>
    <xf numFmtId="0" fontId="9874" fillId="0" borderId="9874" xfId="0" applyFont="1" applyBorder="1" applyAlignment="1"/>
    <xf numFmtId="0" fontId="9875" fillId="0" borderId="9875" xfId="0" applyFont="1" applyBorder="1" applyAlignment="1"/>
    <xf numFmtId="0" fontId="9876" fillId="0" borderId="9876" xfId="0" applyFont="1" applyBorder="1" applyAlignment="1"/>
    <xf numFmtId="0" fontId="9877" fillId="0" borderId="9877" xfId="0" applyFont="1" applyBorder="1" applyAlignment="1"/>
    <xf numFmtId="0" fontId="9878" fillId="0" borderId="9878" xfId="0" applyFont="1" applyBorder="1" applyAlignment="1"/>
    <xf numFmtId="0" fontId="9879" fillId="0" borderId="9879" xfId="0" applyFont="1" applyBorder="1" applyAlignment="1"/>
    <xf numFmtId="0" fontId="9880" fillId="0" borderId="9880" xfId="0" applyFont="1" applyBorder="1" applyAlignment="1"/>
    <xf numFmtId="0" fontId="9881" fillId="0" borderId="9881" xfId="0" applyFont="1" applyBorder="1" applyAlignment="1"/>
    <xf numFmtId="0" fontId="9882" fillId="0" borderId="9882" xfId="0" applyFont="1" applyBorder="1" applyAlignment="1"/>
    <xf numFmtId="0" fontId="9883" fillId="0" borderId="9883" xfId="0" applyFont="1" applyBorder="1" applyAlignment="1"/>
    <xf numFmtId="0" fontId="9884" fillId="0" borderId="9884" xfId="0" applyFont="1" applyBorder="1" applyAlignment="1"/>
    <xf numFmtId="0" fontId="9885" fillId="0" borderId="9885" xfId="0" applyFont="1" applyBorder="1" applyAlignment="1"/>
    <xf numFmtId="0" fontId="9886" fillId="0" borderId="9886" xfId="0" applyFont="1" applyBorder="1" applyAlignment="1"/>
    <xf numFmtId="0" fontId="9887" fillId="0" borderId="9887" xfId="0" applyFont="1" applyBorder="1" applyAlignment="1"/>
    <xf numFmtId="0" fontId="9888" fillId="0" borderId="9888" xfId="0" applyFont="1" applyBorder="1" applyAlignment="1"/>
    <xf numFmtId="0" fontId="9889" fillId="0" borderId="9889" xfId="0" applyFont="1" applyBorder="1" applyAlignment="1"/>
    <xf numFmtId="0" fontId="9890" fillId="0" borderId="9890" xfId="0" applyFont="1" applyBorder="1" applyAlignment="1"/>
    <xf numFmtId="0" fontId="9891" fillId="0" borderId="9891" xfId="0" applyFont="1" applyBorder="1" applyAlignment="1"/>
    <xf numFmtId="0" fontId="9892" fillId="0" borderId="9892" xfId="0" applyFont="1" applyBorder="1" applyAlignment="1"/>
    <xf numFmtId="0" fontId="9893" fillId="0" borderId="9893" xfId="0" applyFont="1" applyBorder="1" applyAlignment="1"/>
    <xf numFmtId="0" fontId="9894" fillId="0" borderId="9894" xfId="0" applyFont="1" applyBorder="1" applyAlignment="1"/>
    <xf numFmtId="0" fontId="9895" fillId="0" borderId="9895" xfId="0" applyFont="1" applyBorder="1" applyAlignment="1"/>
    <xf numFmtId="0" fontId="9896" fillId="0" borderId="9896" xfId="0" applyFont="1" applyBorder="1" applyAlignment="1"/>
    <xf numFmtId="0" fontId="9897" fillId="0" borderId="9897" xfId="0" applyFont="1" applyBorder="1" applyAlignment="1"/>
    <xf numFmtId="0" fontId="9898" fillId="0" borderId="9898" xfId="0" applyFont="1" applyBorder="1" applyAlignment="1"/>
    <xf numFmtId="0" fontId="9899" fillId="0" borderId="9899" xfId="0" applyFont="1" applyBorder="1" applyAlignment="1"/>
    <xf numFmtId="0" fontId="9900" fillId="0" borderId="9900" xfId="0" applyFont="1" applyBorder="1" applyAlignment="1"/>
    <xf numFmtId="0" fontId="9901" fillId="0" borderId="9901" xfId="0" applyFont="1" applyBorder="1" applyAlignment="1"/>
    <xf numFmtId="0" fontId="9902" fillId="0" borderId="9902" xfId="0" applyFont="1" applyBorder="1" applyAlignment="1"/>
    <xf numFmtId="0" fontId="9903" fillId="0" borderId="9903" xfId="0" applyFont="1" applyBorder="1" applyAlignment="1"/>
    <xf numFmtId="0" fontId="9904" fillId="0" borderId="9904" xfId="0" applyFont="1" applyBorder="1" applyAlignment="1"/>
    <xf numFmtId="0" fontId="9905" fillId="0" borderId="9905" xfId="0" applyFont="1" applyBorder="1" applyAlignment="1"/>
    <xf numFmtId="0" fontId="9906" fillId="0" borderId="9906" xfId="0" applyFont="1" applyBorder="1" applyAlignment="1"/>
    <xf numFmtId="0" fontId="9907" fillId="0" borderId="9907" xfId="0" applyFont="1" applyBorder="1" applyAlignment="1"/>
    <xf numFmtId="0" fontId="9908" fillId="0" borderId="9908" xfId="0" applyFont="1" applyBorder="1" applyAlignment="1"/>
    <xf numFmtId="0" fontId="9909" fillId="0" borderId="9909" xfId="0" applyFont="1" applyBorder="1" applyAlignment="1"/>
    <xf numFmtId="0" fontId="9910" fillId="0" borderId="9910" xfId="0" applyFont="1" applyBorder="1" applyAlignment="1"/>
    <xf numFmtId="0" fontId="9911" fillId="0" borderId="9911" xfId="0" applyFont="1" applyBorder="1" applyAlignment="1"/>
    <xf numFmtId="0" fontId="9912" fillId="0" borderId="9912" xfId="0" applyFont="1" applyBorder="1" applyAlignment="1"/>
    <xf numFmtId="0" fontId="9913" fillId="0" borderId="9913" xfId="0" applyFont="1" applyBorder="1" applyAlignment="1"/>
    <xf numFmtId="0" fontId="9914" fillId="0" borderId="9914" xfId="0" applyFont="1" applyBorder="1" applyAlignment="1"/>
    <xf numFmtId="0" fontId="9915" fillId="0" borderId="9915" xfId="0" applyFont="1" applyBorder="1" applyAlignment="1"/>
    <xf numFmtId="0" fontId="9916" fillId="0" borderId="9916" xfId="0" applyFont="1" applyBorder="1" applyAlignment="1"/>
    <xf numFmtId="0" fontId="9917" fillId="0" borderId="9917" xfId="0" applyFont="1" applyBorder="1" applyAlignment="1"/>
    <xf numFmtId="0" fontId="9918" fillId="0" borderId="9918" xfId="0" applyFont="1" applyBorder="1" applyAlignment="1"/>
    <xf numFmtId="0" fontId="9919" fillId="0" borderId="9919" xfId="0" applyFont="1" applyBorder="1" applyAlignment="1"/>
    <xf numFmtId="0" fontId="9920" fillId="0" borderId="9920" xfId="0" applyFont="1" applyBorder="1" applyAlignment="1"/>
    <xf numFmtId="0" fontId="9921" fillId="0" borderId="9921" xfId="0" applyFont="1" applyBorder="1" applyAlignment="1"/>
    <xf numFmtId="0" fontId="9922" fillId="0" borderId="9922" xfId="0" applyFont="1" applyBorder="1" applyAlignment="1"/>
    <xf numFmtId="0" fontId="9923" fillId="0" borderId="9923" xfId="0" applyFont="1" applyBorder="1" applyAlignment="1"/>
    <xf numFmtId="0" fontId="9924" fillId="0" borderId="9924" xfId="0" applyFont="1" applyBorder="1" applyAlignment="1"/>
    <xf numFmtId="0" fontId="9925" fillId="0" borderId="9925" xfId="0" applyFont="1" applyBorder="1" applyAlignment="1"/>
    <xf numFmtId="0" fontId="9926" fillId="0" borderId="9926" xfId="0" applyFont="1" applyBorder="1" applyAlignment="1"/>
    <xf numFmtId="0" fontId="9927" fillId="0" borderId="9927" xfId="0" applyFont="1" applyBorder="1" applyAlignment="1"/>
    <xf numFmtId="0" fontId="9928" fillId="0" borderId="9928" xfId="0" applyFont="1" applyBorder="1" applyAlignment="1"/>
    <xf numFmtId="0" fontId="9929" fillId="0" borderId="9929" xfId="0" applyFont="1" applyBorder="1" applyAlignment="1"/>
    <xf numFmtId="0" fontId="9930" fillId="0" borderId="9930" xfId="0" applyFont="1" applyBorder="1" applyAlignment="1"/>
    <xf numFmtId="0" fontId="9931" fillId="0" borderId="9931" xfId="0" applyFont="1" applyBorder="1" applyAlignment="1"/>
    <xf numFmtId="0" fontId="9932" fillId="0" borderId="9932" xfId="0" applyFont="1" applyBorder="1" applyAlignment="1"/>
    <xf numFmtId="0" fontId="9933" fillId="0" borderId="9933" xfId="0" applyFont="1" applyBorder="1" applyAlignment="1"/>
    <xf numFmtId="0" fontId="9934" fillId="0" borderId="9934" xfId="0" applyFont="1" applyBorder="1" applyAlignment="1"/>
    <xf numFmtId="0" fontId="9935" fillId="0" borderId="9935" xfId="0" applyFont="1" applyBorder="1" applyAlignment="1"/>
    <xf numFmtId="0" fontId="9936" fillId="0" borderId="9936" xfId="0" applyFont="1" applyBorder="1" applyAlignment="1"/>
    <xf numFmtId="0" fontId="9937" fillId="0" borderId="9937" xfId="0" applyFont="1" applyBorder="1" applyAlignment="1"/>
    <xf numFmtId="0" fontId="9938" fillId="0" borderId="9938" xfId="0" applyFont="1" applyBorder="1" applyAlignment="1"/>
    <xf numFmtId="0" fontId="9939" fillId="0" borderId="9939" xfId="0" applyFont="1" applyBorder="1" applyAlignment="1"/>
    <xf numFmtId="0" fontId="9940" fillId="0" borderId="9940" xfId="0" applyFont="1" applyBorder="1" applyAlignment="1"/>
    <xf numFmtId="0" fontId="9941" fillId="0" borderId="9941" xfId="0" applyFont="1" applyBorder="1" applyAlignment="1"/>
    <xf numFmtId="0" fontId="9942" fillId="0" borderId="9942" xfId="0" applyFont="1" applyBorder="1" applyAlignment="1"/>
    <xf numFmtId="0" fontId="9943" fillId="0" borderId="9943" xfId="0" applyFont="1" applyBorder="1" applyAlignment="1"/>
    <xf numFmtId="0" fontId="9944" fillId="0" borderId="9944" xfId="0" applyFont="1" applyBorder="1" applyAlignment="1"/>
    <xf numFmtId="0" fontId="9945" fillId="0" borderId="9945" xfId="0" applyFont="1" applyBorder="1" applyAlignment="1"/>
    <xf numFmtId="0" fontId="9946" fillId="0" borderId="9946" xfId="0" applyFont="1" applyBorder="1" applyAlignment="1"/>
    <xf numFmtId="0" fontId="9947" fillId="0" borderId="9947" xfId="0" applyFont="1" applyBorder="1" applyAlignment="1"/>
    <xf numFmtId="0" fontId="9948" fillId="0" borderId="9948" xfId="0" applyFont="1" applyBorder="1" applyAlignment="1"/>
    <xf numFmtId="0" fontId="9949" fillId="0" borderId="9949" xfId="0" applyFont="1" applyBorder="1" applyAlignment="1"/>
    <xf numFmtId="0" fontId="9950" fillId="0" borderId="9950" xfId="0" applyFont="1" applyBorder="1" applyAlignment="1"/>
    <xf numFmtId="0" fontId="9951" fillId="0" borderId="9951" xfId="0" applyFont="1" applyBorder="1" applyAlignment="1"/>
    <xf numFmtId="0" fontId="9952" fillId="0" borderId="9952" xfId="0" applyFont="1" applyBorder="1" applyAlignment="1"/>
    <xf numFmtId="0" fontId="9953" fillId="0" borderId="9953" xfId="0" applyFont="1" applyBorder="1" applyAlignment="1"/>
    <xf numFmtId="0" fontId="9954" fillId="0" borderId="9954" xfId="0" applyFont="1" applyBorder="1" applyAlignment="1"/>
    <xf numFmtId="0" fontId="9955" fillId="0" borderId="9955" xfId="0" applyFont="1" applyBorder="1" applyAlignment="1"/>
    <xf numFmtId="0" fontId="9956" fillId="0" borderId="9956" xfId="0" applyFont="1" applyBorder="1" applyAlignment="1"/>
    <xf numFmtId="0" fontId="9957" fillId="0" borderId="9957" xfId="0" applyFont="1" applyBorder="1" applyAlignment="1"/>
    <xf numFmtId="0" fontId="9958" fillId="0" borderId="9958" xfId="0" applyFont="1" applyBorder="1" applyAlignment="1"/>
    <xf numFmtId="0" fontId="9959" fillId="0" borderId="9959" xfId="0" applyFont="1" applyBorder="1" applyAlignment="1"/>
    <xf numFmtId="0" fontId="9960" fillId="0" borderId="9960" xfId="0" applyFont="1" applyBorder="1" applyAlignment="1"/>
    <xf numFmtId="0" fontId="9961" fillId="0" borderId="9961" xfId="0" applyFont="1" applyBorder="1" applyAlignment="1"/>
    <xf numFmtId="0" fontId="9962" fillId="0" borderId="9962" xfId="0" applyFont="1" applyBorder="1" applyAlignment="1"/>
    <xf numFmtId="0" fontId="9963" fillId="0" borderId="9963" xfId="0" applyFont="1" applyBorder="1" applyAlignment="1"/>
    <xf numFmtId="0" fontId="9964" fillId="0" borderId="9964" xfId="0" applyFont="1" applyBorder="1" applyAlignment="1"/>
    <xf numFmtId="0" fontId="9965" fillId="0" borderId="9965" xfId="0" applyFont="1" applyBorder="1" applyAlignment="1"/>
    <xf numFmtId="0" fontId="9966" fillId="0" borderId="9966" xfId="0" applyFont="1" applyBorder="1" applyAlignment="1"/>
    <xf numFmtId="0" fontId="9967" fillId="0" borderId="9967" xfId="0" applyFont="1" applyBorder="1" applyAlignment="1"/>
    <xf numFmtId="0" fontId="9968" fillId="0" borderId="9968" xfId="0" applyFont="1" applyBorder="1" applyAlignment="1"/>
    <xf numFmtId="0" fontId="9969" fillId="0" borderId="9969" xfId="0" applyFont="1" applyBorder="1" applyAlignment="1"/>
    <xf numFmtId="0" fontId="9970" fillId="0" borderId="9970" xfId="0" applyFont="1" applyBorder="1" applyAlignment="1"/>
    <xf numFmtId="0" fontId="9971" fillId="0" borderId="9971" xfId="0" applyFont="1" applyBorder="1" applyAlignment="1"/>
    <xf numFmtId="0" fontId="9972" fillId="0" borderId="9972" xfId="0" applyFont="1" applyBorder="1" applyAlignment="1"/>
    <xf numFmtId="0" fontId="9973" fillId="0" borderId="9973" xfId="0" applyFont="1" applyBorder="1" applyAlignment="1"/>
    <xf numFmtId="0" fontId="9974" fillId="0" borderId="9974" xfId="0" applyFont="1" applyBorder="1" applyAlignment="1"/>
    <xf numFmtId="0" fontId="9975" fillId="0" borderId="9975" xfId="0" applyFont="1" applyBorder="1" applyAlignment="1"/>
    <xf numFmtId="0" fontId="9976" fillId="0" borderId="9976" xfId="0" applyFont="1" applyBorder="1" applyAlignment="1"/>
    <xf numFmtId="0" fontId="9977" fillId="0" borderId="9977" xfId="0" applyFont="1" applyBorder="1" applyAlignment="1"/>
    <xf numFmtId="0" fontId="9978" fillId="0" borderId="9978" xfId="0" applyFont="1" applyBorder="1" applyAlignment="1"/>
    <xf numFmtId="0" fontId="9979" fillId="0" borderId="9979" xfId="0" applyFont="1" applyBorder="1" applyAlignment="1"/>
    <xf numFmtId="0" fontId="9980" fillId="0" borderId="9980" xfId="0" applyFont="1" applyBorder="1" applyAlignment="1"/>
    <xf numFmtId="0" fontId="9981" fillId="0" borderId="9981" xfId="0" applyFont="1" applyBorder="1" applyAlignment="1"/>
    <xf numFmtId="0" fontId="9982" fillId="0" borderId="9982" xfId="0" applyFont="1" applyBorder="1" applyAlignment="1"/>
    <xf numFmtId="0" fontId="9983" fillId="0" borderId="9983" xfId="0" applyFont="1" applyBorder="1" applyAlignment="1"/>
    <xf numFmtId="0" fontId="9984" fillId="0" borderId="9984" xfId="0" applyFont="1" applyBorder="1" applyAlignment="1"/>
    <xf numFmtId="0" fontId="9985" fillId="0" borderId="9985" xfId="0" applyFont="1" applyBorder="1" applyAlignment="1"/>
    <xf numFmtId="0" fontId="9986" fillId="0" borderId="9986" xfId="0" applyFont="1" applyBorder="1" applyAlignment="1"/>
    <xf numFmtId="0" fontId="9987" fillId="0" borderId="9987" xfId="0" applyFont="1" applyBorder="1" applyAlignment="1"/>
    <xf numFmtId="0" fontId="9988" fillId="0" borderId="9988" xfId="0" applyFont="1" applyBorder="1" applyAlignment="1"/>
    <xf numFmtId="0" fontId="9989" fillId="0" borderId="9989" xfId="0" applyFont="1" applyBorder="1" applyAlignment="1"/>
    <xf numFmtId="0" fontId="9990" fillId="0" borderId="9990" xfId="0" applyFont="1" applyBorder="1" applyAlignment="1"/>
    <xf numFmtId="0" fontId="9991" fillId="0" borderId="9991" xfId="0" applyFont="1" applyBorder="1" applyAlignment="1"/>
    <xf numFmtId="0" fontId="9992" fillId="0" borderId="9992" xfId="0" applyFont="1" applyBorder="1" applyAlignment="1"/>
    <xf numFmtId="0" fontId="9993" fillId="0" borderId="9993" xfId="0" applyFont="1" applyBorder="1" applyAlignment="1"/>
    <xf numFmtId="0" fontId="9994" fillId="0" borderId="9994" xfId="0" applyFont="1" applyBorder="1" applyAlignment="1"/>
    <xf numFmtId="0" fontId="9995" fillId="0" borderId="9995" xfId="0" applyFont="1" applyBorder="1" applyAlignment="1"/>
    <xf numFmtId="0" fontId="9996" fillId="0" borderId="9996" xfId="0" applyFont="1" applyBorder="1" applyAlignment="1"/>
    <xf numFmtId="0" fontId="9997" fillId="0" borderId="9997" xfId="0" applyFont="1" applyBorder="1" applyAlignment="1"/>
    <xf numFmtId="0" fontId="9998" fillId="0" borderId="9998" xfId="0" applyFont="1" applyBorder="1" applyAlignment="1"/>
    <xf numFmtId="0" fontId="9999" fillId="0" borderId="9999" xfId="0" applyFont="1" applyBorder="1" applyAlignment="1"/>
    <xf numFmtId="0" fontId="10000" fillId="0" borderId="10000" xfId="0" applyFont="1" applyBorder="1" applyAlignment="1"/>
    <xf numFmtId="0" fontId="10001" fillId="0" borderId="10001" xfId="0" applyFont="1" applyBorder="1" applyAlignment="1"/>
    <xf numFmtId="0" fontId="10002" fillId="0" borderId="10002" xfId="0" applyFont="1" applyBorder="1" applyAlignment="1"/>
    <xf numFmtId="0" fontId="10003" fillId="0" borderId="10003" xfId="0" applyFont="1" applyBorder="1" applyAlignment="1"/>
    <xf numFmtId="0" fontId="10004" fillId="0" borderId="10004" xfId="0" applyFont="1" applyBorder="1" applyAlignment="1"/>
    <xf numFmtId="0" fontId="10005" fillId="0" borderId="10005" xfId="0" applyFont="1" applyBorder="1" applyAlignment="1"/>
    <xf numFmtId="0" fontId="10006" fillId="0" borderId="10006" xfId="0" applyFont="1" applyBorder="1" applyAlignment="1"/>
    <xf numFmtId="0" fontId="10007" fillId="0" borderId="10007" xfId="0" applyFont="1" applyBorder="1" applyAlignment="1"/>
    <xf numFmtId="0" fontId="10008" fillId="0" borderId="10008" xfId="0" applyFont="1" applyBorder="1" applyAlignment="1"/>
    <xf numFmtId="0" fontId="10009" fillId="0" borderId="10009" xfId="0" applyFont="1" applyBorder="1" applyAlignment="1"/>
    <xf numFmtId="0" fontId="10010" fillId="0" borderId="10010" xfId="0" applyFont="1" applyBorder="1" applyAlignment="1"/>
    <xf numFmtId="0" fontId="10011" fillId="0" borderId="10011" xfId="0" applyFont="1" applyBorder="1" applyAlignment="1"/>
    <xf numFmtId="0" fontId="10012" fillId="0" borderId="10012" xfId="0" applyFont="1" applyBorder="1" applyAlignment="1"/>
    <xf numFmtId="0" fontId="10013" fillId="0" borderId="10013" xfId="0" applyFont="1" applyBorder="1" applyAlignment="1"/>
    <xf numFmtId="0" fontId="10014" fillId="0" borderId="10014" xfId="0" applyFont="1" applyBorder="1" applyAlignment="1"/>
    <xf numFmtId="0" fontId="10015" fillId="0" borderId="10015" xfId="0" applyFont="1" applyBorder="1" applyAlignment="1"/>
    <xf numFmtId="0" fontId="10016" fillId="0" borderId="10016" xfId="0" applyFont="1" applyBorder="1" applyAlignment="1"/>
    <xf numFmtId="0" fontId="10017" fillId="0" borderId="10017" xfId="0" applyFont="1" applyBorder="1" applyAlignment="1"/>
    <xf numFmtId="0" fontId="10018" fillId="0" borderId="10018" xfId="0" applyFont="1" applyBorder="1" applyAlignment="1"/>
    <xf numFmtId="0" fontId="10019" fillId="0" borderId="10019" xfId="0" applyFont="1" applyBorder="1" applyAlignment="1"/>
    <xf numFmtId="0" fontId="10020" fillId="0" borderId="10020" xfId="0" applyFont="1" applyBorder="1" applyAlignment="1"/>
    <xf numFmtId="0" fontId="10021" fillId="0" borderId="10021" xfId="0" applyFont="1" applyBorder="1" applyAlignment="1"/>
    <xf numFmtId="0" fontId="10022" fillId="0" borderId="10022" xfId="0" applyFont="1" applyBorder="1" applyAlignment="1"/>
    <xf numFmtId="0" fontId="10023" fillId="0" borderId="10023" xfId="0" applyFont="1" applyBorder="1" applyAlignment="1"/>
    <xf numFmtId="0" fontId="10024" fillId="0" borderId="10024" xfId="0" applyFont="1" applyBorder="1" applyAlignment="1"/>
    <xf numFmtId="0" fontId="10025" fillId="0" borderId="10025" xfId="0" applyFont="1" applyBorder="1" applyAlignment="1"/>
    <xf numFmtId="0" fontId="10026" fillId="0" borderId="10026" xfId="0" applyFont="1" applyBorder="1" applyAlignment="1"/>
    <xf numFmtId="0" fontId="10027" fillId="0" borderId="10027" xfId="0" applyFont="1" applyBorder="1" applyAlignment="1"/>
    <xf numFmtId="0" fontId="10028" fillId="0" borderId="10028" xfId="0" applyFont="1" applyBorder="1" applyAlignment="1"/>
    <xf numFmtId="0" fontId="10029" fillId="0" borderId="10029" xfId="0" applyFont="1" applyBorder="1" applyAlignment="1"/>
    <xf numFmtId="0" fontId="10030" fillId="0" borderId="10030" xfId="0" applyFont="1" applyBorder="1" applyAlignment="1"/>
    <xf numFmtId="0" fontId="10031" fillId="0" borderId="10031" xfId="0" applyFont="1" applyBorder="1" applyAlignment="1"/>
    <xf numFmtId="0" fontId="10032" fillId="0" borderId="10032" xfId="0" applyFont="1" applyBorder="1" applyAlignment="1"/>
    <xf numFmtId="0" fontId="10033" fillId="0" borderId="10033" xfId="0" applyFont="1" applyBorder="1" applyAlignment="1"/>
    <xf numFmtId="0" fontId="10034" fillId="0" borderId="10034" xfId="0" applyFont="1" applyBorder="1" applyAlignment="1"/>
    <xf numFmtId="0" fontId="10035" fillId="0" borderId="10035" xfId="0" applyFont="1" applyBorder="1" applyAlignment="1"/>
    <xf numFmtId="0" fontId="10036" fillId="0" borderId="10036" xfId="0" applyFont="1" applyBorder="1" applyAlignment="1"/>
    <xf numFmtId="0" fontId="10037" fillId="0" borderId="10037" xfId="0" applyFont="1" applyBorder="1" applyAlignment="1"/>
    <xf numFmtId="0" fontId="10038" fillId="0" borderId="10038" xfId="0" applyFont="1" applyBorder="1" applyAlignment="1"/>
    <xf numFmtId="0" fontId="10039" fillId="0" borderId="10039" xfId="0" applyFont="1" applyBorder="1" applyAlignment="1"/>
    <xf numFmtId="0" fontId="10040" fillId="0" borderId="10040" xfId="0" applyFont="1" applyBorder="1" applyAlignment="1"/>
    <xf numFmtId="0" fontId="10041" fillId="0" borderId="10041" xfId="0" applyFont="1" applyBorder="1" applyAlignment="1"/>
    <xf numFmtId="0" fontId="10042" fillId="0" borderId="10042" xfId="0" applyFont="1" applyBorder="1" applyAlignment="1"/>
    <xf numFmtId="0" fontId="10043" fillId="0" borderId="10043" xfId="0" applyFont="1" applyBorder="1" applyAlignment="1"/>
    <xf numFmtId="0" fontId="10044" fillId="0" borderId="10044" xfId="0" applyFont="1" applyBorder="1" applyAlignment="1"/>
    <xf numFmtId="0" fontId="10045" fillId="0" borderId="10045" xfId="0" applyFont="1" applyBorder="1" applyAlignment="1"/>
    <xf numFmtId="0" fontId="10046" fillId="0" borderId="10046" xfId="0" applyFont="1" applyBorder="1" applyAlignment="1"/>
    <xf numFmtId="0" fontId="10047" fillId="0" borderId="10047" xfId="0" applyFont="1" applyBorder="1" applyAlignment="1"/>
    <xf numFmtId="0" fontId="10048" fillId="0" borderId="10048" xfId="0" applyFont="1" applyBorder="1" applyAlignment="1"/>
    <xf numFmtId="0" fontId="10049" fillId="0" borderId="10049" xfId="0" applyFont="1" applyBorder="1" applyAlignment="1"/>
    <xf numFmtId="0" fontId="10050" fillId="0" borderId="10050" xfId="0" applyFont="1" applyBorder="1" applyAlignment="1"/>
    <xf numFmtId="0" fontId="10051" fillId="0" borderId="10051" xfId="0" applyFont="1" applyBorder="1" applyAlignment="1"/>
    <xf numFmtId="0" fontId="10052" fillId="0" borderId="10052" xfId="0" applyFont="1" applyBorder="1" applyAlignment="1"/>
    <xf numFmtId="0" fontId="10053" fillId="0" borderId="10053" xfId="0" applyFont="1" applyBorder="1" applyAlignment="1"/>
    <xf numFmtId="0" fontId="10054" fillId="0" borderId="10054" xfId="0" applyFont="1" applyBorder="1" applyAlignment="1"/>
    <xf numFmtId="0" fontId="10055" fillId="0" borderId="10055" xfId="0" applyFont="1" applyBorder="1" applyAlignment="1"/>
    <xf numFmtId="0" fontId="10056" fillId="0" borderId="10056" xfId="0" applyFont="1" applyBorder="1" applyAlignment="1"/>
    <xf numFmtId="0" fontId="10057" fillId="0" borderId="10057" xfId="0" applyFont="1" applyBorder="1" applyAlignment="1"/>
    <xf numFmtId="0" fontId="10058" fillId="0" borderId="10058" xfId="0" applyFont="1" applyBorder="1" applyAlignment="1"/>
    <xf numFmtId="0" fontId="10059" fillId="0" borderId="10059" xfId="0" applyFont="1" applyBorder="1" applyAlignment="1"/>
    <xf numFmtId="0" fontId="10060" fillId="0" borderId="10060" xfId="0" applyFont="1" applyBorder="1" applyAlignment="1"/>
    <xf numFmtId="0" fontId="10061" fillId="0" borderId="10061" xfId="0" applyFont="1" applyBorder="1" applyAlignment="1"/>
    <xf numFmtId="0" fontId="10062" fillId="0" borderId="10062" xfId="0" applyFont="1" applyBorder="1" applyAlignment="1"/>
    <xf numFmtId="0" fontId="10063" fillId="0" borderId="10063" xfId="0" applyFont="1" applyBorder="1" applyAlignment="1"/>
    <xf numFmtId="0" fontId="10064" fillId="0" borderId="10064" xfId="0" applyFont="1" applyBorder="1" applyAlignment="1"/>
    <xf numFmtId="0" fontId="10065" fillId="0" borderId="10065" xfId="0" applyFont="1" applyBorder="1" applyAlignment="1"/>
    <xf numFmtId="0" fontId="10066" fillId="0" borderId="10066" xfId="0" applyFont="1" applyBorder="1" applyAlignment="1"/>
    <xf numFmtId="0" fontId="10067" fillId="0" borderId="10067" xfId="0" applyFont="1" applyBorder="1" applyAlignment="1"/>
    <xf numFmtId="0" fontId="10068" fillId="0" borderId="10068" xfId="0" applyFont="1" applyBorder="1" applyAlignment="1"/>
    <xf numFmtId="0" fontId="10069" fillId="0" borderId="10069" xfId="0" applyFont="1" applyBorder="1" applyAlignment="1"/>
    <xf numFmtId="0" fontId="10070" fillId="0" borderId="10070" xfId="0" applyFont="1" applyBorder="1" applyAlignment="1"/>
    <xf numFmtId="0" fontId="10071" fillId="0" borderId="10071" xfId="0" applyFont="1" applyBorder="1" applyAlignment="1"/>
    <xf numFmtId="0" fontId="10072" fillId="0" borderId="10072" xfId="0" applyFont="1" applyBorder="1" applyAlignment="1"/>
    <xf numFmtId="0" fontId="10073" fillId="0" borderId="10073" xfId="0" applyFont="1" applyBorder="1" applyAlignment="1"/>
    <xf numFmtId="0" fontId="10074" fillId="0" borderId="10074" xfId="0" applyFont="1" applyBorder="1" applyAlignment="1"/>
    <xf numFmtId="0" fontId="10075" fillId="0" borderId="10075" xfId="0" applyFont="1" applyBorder="1" applyAlignment="1"/>
    <xf numFmtId="0" fontId="10076" fillId="0" borderId="10076" xfId="0" applyFont="1" applyBorder="1" applyAlignment="1"/>
    <xf numFmtId="0" fontId="10077" fillId="0" borderId="10077" xfId="0" applyFont="1" applyBorder="1" applyAlignment="1"/>
    <xf numFmtId="0" fontId="10078" fillId="0" borderId="10078" xfId="0" applyFont="1" applyBorder="1" applyAlignment="1"/>
    <xf numFmtId="0" fontId="10079" fillId="0" borderId="10079" xfId="0" applyFont="1" applyBorder="1" applyAlignment="1"/>
    <xf numFmtId="0" fontId="10080" fillId="0" borderId="10080" xfId="0" applyFont="1" applyBorder="1" applyAlignment="1"/>
    <xf numFmtId="0" fontId="10081" fillId="0" borderId="10081" xfId="0" applyFont="1" applyBorder="1" applyAlignment="1"/>
    <xf numFmtId="0" fontId="10082" fillId="0" borderId="10082" xfId="0" applyFont="1" applyBorder="1" applyAlignment="1"/>
    <xf numFmtId="0" fontId="10083" fillId="0" borderId="10083" xfId="0" applyFont="1" applyBorder="1" applyAlignment="1"/>
    <xf numFmtId="0" fontId="10084" fillId="0" borderId="10084" xfId="0" applyFont="1" applyBorder="1" applyAlignment="1"/>
    <xf numFmtId="0" fontId="10085" fillId="0" borderId="10085" xfId="0" applyFont="1" applyBorder="1" applyAlignment="1"/>
    <xf numFmtId="0" fontId="10086" fillId="0" borderId="10086" xfId="0" applyFont="1" applyBorder="1" applyAlignment="1"/>
    <xf numFmtId="0" fontId="10087" fillId="0" borderId="10087" xfId="0" applyFont="1" applyBorder="1" applyAlignment="1"/>
    <xf numFmtId="0" fontId="10088" fillId="0" borderId="10088" xfId="0" applyFont="1" applyBorder="1" applyAlignment="1"/>
    <xf numFmtId="0" fontId="10089" fillId="0" borderId="10089" xfId="0" applyFont="1" applyBorder="1" applyAlignment="1"/>
    <xf numFmtId="0" fontId="10090" fillId="0" borderId="10090" xfId="0" applyFont="1" applyBorder="1" applyAlignment="1"/>
    <xf numFmtId="0" fontId="10091" fillId="0" borderId="10091" xfId="0" applyFont="1" applyBorder="1" applyAlignment="1"/>
    <xf numFmtId="0" fontId="10092" fillId="0" borderId="10092" xfId="0" applyFont="1" applyBorder="1" applyAlignment="1"/>
    <xf numFmtId="0" fontId="10093" fillId="0" borderId="10093" xfId="0" applyFont="1" applyBorder="1" applyAlignment="1"/>
    <xf numFmtId="0" fontId="10094" fillId="0" borderId="10094" xfId="0" applyFont="1" applyBorder="1" applyAlignment="1"/>
    <xf numFmtId="0" fontId="10095" fillId="0" borderId="10095" xfId="0" applyFont="1" applyBorder="1" applyAlignment="1"/>
    <xf numFmtId="0" fontId="10096" fillId="0" borderId="10096" xfId="0" applyFont="1" applyBorder="1" applyAlignment="1"/>
    <xf numFmtId="0" fontId="10097" fillId="0" borderId="10097" xfId="0" applyFont="1" applyBorder="1" applyAlignment="1"/>
    <xf numFmtId="0" fontId="10098" fillId="0" borderId="10098" xfId="0" applyFont="1" applyBorder="1" applyAlignment="1"/>
    <xf numFmtId="0" fontId="10099" fillId="0" borderId="10099" xfId="0" applyFont="1" applyBorder="1" applyAlignment="1"/>
    <xf numFmtId="0" fontId="10100" fillId="0" borderId="10100" xfId="0" applyFont="1" applyBorder="1" applyAlignment="1"/>
    <xf numFmtId="0" fontId="10101" fillId="0" borderId="10101" xfId="0" applyFont="1" applyBorder="1" applyAlignment="1"/>
    <xf numFmtId="0" fontId="10102" fillId="0" borderId="10102" xfId="0" applyFont="1" applyBorder="1" applyAlignment="1"/>
    <xf numFmtId="0" fontId="10103" fillId="0" borderId="10103" xfId="0" applyFont="1" applyBorder="1" applyAlignment="1"/>
    <xf numFmtId="0" fontId="10104" fillId="0" borderId="10104" xfId="0" applyFont="1" applyBorder="1" applyAlignment="1"/>
    <xf numFmtId="0" fontId="10105" fillId="0" borderId="10105" xfId="0" applyFont="1" applyBorder="1" applyAlignment="1"/>
    <xf numFmtId="0" fontId="10106" fillId="0" borderId="10106" xfId="0" applyFont="1" applyBorder="1" applyAlignment="1"/>
    <xf numFmtId="0" fontId="10107" fillId="0" borderId="10107" xfId="0" applyFont="1" applyBorder="1" applyAlignment="1"/>
    <xf numFmtId="0" fontId="10108" fillId="0" borderId="10108" xfId="0" applyFont="1" applyBorder="1" applyAlignment="1"/>
    <xf numFmtId="0" fontId="10109" fillId="0" borderId="10109" xfId="0" applyFont="1" applyBorder="1" applyAlignment="1"/>
    <xf numFmtId="0" fontId="10110" fillId="0" borderId="10110" xfId="0" applyFont="1" applyBorder="1" applyAlignment="1"/>
    <xf numFmtId="0" fontId="10111" fillId="0" borderId="10111" xfId="0" applyFont="1" applyBorder="1" applyAlignment="1"/>
    <xf numFmtId="0" fontId="10112" fillId="0" borderId="10112" xfId="0" applyFont="1" applyBorder="1" applyAlignment="1"/>
    <xf numFmtId="0" fontId="10113" fillId="0" borderId="10113" xfId="0" applyFont="1" applyBorder="1" applyAlignment="1"/>
    <xf numFmtId="0" fontId="10114" fillId="0" borderId="10114" xfId="0" applyFont="1" applyBorder="1" applyAlignment="1"/>
    <xf numFmtId="0" fontId="10115" fillId="0" borderId="10115" xfId="0" applyFont="1" applyBorder="1" applyAlignment="1"/>
    <xf numFmtId="0" fontId="10116" fillId="0" borderId="10116" xfId="0" applyFont="1" applyBorder="1" applyAlignment="1"/>
    <xf numFmtId="0" fontId="10117" fillId="0" borderId="10117" xfId="0" applyFont="1" applyBorder="1" applyAlignment="1"/>
    <xf numFmtId="0" fontId="10118" fillId="0" borderId="10118" xfId="0" applyFont="1" applyBorder="1" applyAlignment="1"/>
    <xf numFmtId="0" fontId="10119" fillId="0" borderId="10119" xfId="0" applyFont="1" applyBorder="1" applyAlignment="1"/>
    <xf numFmtId="0" fontId="10120" fillId="0" borderId="10120" xfId="0" applyFont="1" applyBorder="1" applyAlignment="1"/>
    <xf numFmtId="0" fontId="10121" fillId="0" borderId="10121" xfId="0" applyFont="1" applyBorder="1" applyAlignment="1"/>
    <xf numFmtId="0" fontId="10122" fillId="0" borderId="10122" xfId="0" applyFont="1" applyBorder="1" applyAlignment="1"/>
    <xf numFmtId="0" fontId="10123" fillId="0" borderId="10123" xfId="0" applyFont="1" applyBorder="1" applyAlignment="1"/>
    <xf numFmtId="0" fontId="10124" fillId="0" borderId="10124" xfId="0" applyFont="1" applyBorder="1" applyAlignment="1"/>
    <xf numFmtId="0" fontId="10125" fillId="0" borderId="10125" xfId="0" applyFont="1" applyBorder="1" applyAlignment="1"/>
    <xf numFmtId="0" fontId="10126" fillId="0" borderId="10126" xfId="0" applyFont="1" applyBorder="1" applyAlignment="1"/>
    <xf numFmtId="0" fontId="10127" fillId="0" borderId="10127" xfId="0" applyFont="1" applyBorder="1" applyAlignment="1"/>
    <xf numFmtId="0" fontId="10128" fillId="0" borderId="10128" xfId="0" applyFont="1" applyBorder="1" applyAlignment="1"/>
    <xf numFmtId="0" fontId="10129" fillId="0" borderId="10129" xfId="0" applyFont="1" applyBorder="1" applyAlignment="1"/>
    <xf numFmtId="0" fontId="10130" fillId="0" borderId="10130" xfId="0" applyFont="1" applyBorder="1" applyAlignment="1"/>
    <xf numFmtId="0" fontId="10131" fillId="0" borderId="10131" xfId="0" applyFont="1" applyBorder="1" applyAlignment="1"/>
    <xf numFmtId="0" fontId="10132" fillId="0" borderId="10132" xfId="0" applyFont="1" applyBorder="1" applyAlignment="1"/>
    <xf numFmtId="0" fontId="10133" fillId="0" borderId="10133" xfId="0" applyFont="1" applyBorder="1" applyAlignment="1"/>
    <xf numFmtId="0" fontId="10134" fillId="0" borderId="10134" xfId="0" applyFont="1" applyBorder="1" applyAlignment="1"/>
    <xf numFmtId="0" fontId="10135" fillId="0" borderId="10135" xfId="0" applyFont="1" applyBorder="1" applyAlignment="1"/>
    <xf numFmtId="0" fontId="10136" fillId="0" borderId="10136" xfId="0" applyFont="1" applyBorder="1" applyAlignment="1"/>
    <xf numFmtId="0" fontId="10137" fillId="0" borderId="10137" xfId="0" applyFont="1" applyBorder="1" applyAlignment="1"/>
    <xf numFmtId="0" fontId="10138" fillId="0" borderId="10138" xfId="0" applyFont="1" applyBorder="1" applyAlignment="1"/>
    <xf numFmtId="0" fontId="10139" fillId="0" borderId="10139" xfId="0" applyFont="1" applyBorder="1" applyAlignment="1"/>
    <xf numFmtId="0" fontId="10140" fillId="0" borderId="10140" xfId="0" applyFont="1" applyBorder="1" applyAlignment="1"/>
    <xf numFmtId="0" fontId="10141" fillId="0" borderId="10141" xfId="0" applyFont="1" applyBorder="1" applyAlignment="1"/>
    <xf numFmtId="0" fontId="10142" fillId="0" borderId="10142" xfId="0" applyFont="1" applyBorder="1" applyAlignment="1"/>
    <xf numFmtId="0" fontId="10143" fillId="0" borderId="10143" xfId="0" applyFont="1" applyBorder="1" applyAlignment="1"/>
    <xf numFmtId="0" fontId="10144" fillId="0" borderId="10144" xfId="0" applyFont="1" applyBorder="1" applyAlignment="1"/>
    <xf numFmtId="0" fontId="10145" fillId="0" borderId="10145" xfId="0" applyFont="1" applyBorder="1" applyAlignment="1"/>
    <xf numFmtId="0" fontId="10146" fillId="0" borderId="10146" xfId="0" applyFont="1" applyBorder="1" applyAlignment="1"/>
    <xf numFmtId="0" fontId="10147" fillId="0" borderId="10147" xfId="0" applyFont="1" applyBorder="1" applyAlignment="1"/>
    <xf numFmtId="0" fontId="10148" fillId="0" borderId="10148" xfId="0" applyFont="1" applyBorder="1" applyAlignment="1"/>
    <xf numFmtId="0" fontId="10149" fillId="0" borderId="10149" xfId="0" applyFont="1" applyBorder="1" applyAlignment="1"/>
    <xf numFmtId="0" fontId="10150" fillId="0" borderId="10150" xfId="0" applyFont="1" applyBorder="1" applyAlignment="1"/>
    <xf numFmtId="0" fontId="10151" fillId="0" borderId="10151" xfId="0" applyFont="1" applyBorder="1" applyAlignment="1"/>
    <xf numFmtId="0" fontId="10152" fillId="0" borderId="10152" xfId="0" applyFont="1" applyBorder="1" applyAlignment="1"/>
    <xf numFmtId="0" fontId="10153" fillId="0" borderId="10153" xfId="0" applyFont="1" applyBorder="1" applyAlignment="1"/>
    <xf numFmtId="0" fontId="10154" fillId="0" borderId="10154" xfId="0" applyFont="1" applyBorder="1" applyAlignment="1"/>
    <xf numFmtId="0" fontId="10155" fillId="0" borderId="10155" xfId="0" applyFont="1" applyBorder="1" applyAlignment="1"/>
    <xf numFmtId="0" fontId="10156" fillId="0" borderId="10156" xfId="0" applyFont="1" applyBorder="1" applyAlignment="1"/>
    <xf numFmtId="0" fontId="10157" fillId="0" borderId="10157" xfId="0" applyFont="1" applyBorder="1" applyAlignment="1"/>
    <xf numFmtId="0" fontId="10158" fillId="0" borderId="10158" xfId="0" applyFont="1" applyBorder="1" applyAlignment="1"/>
    <xf numFmtId="0" fontId="10159" fillId="0" borderId="10159" xfId="0" applyFont="1" applyBorder="1" applyAlignment="1"/>
    <xf numFmtId="0" fontId="10160" fillId="0" borderId="10160" xfId="0" applyFont="1" applyBorder="1" applyAlignment="1"/>
    <xf numFmtId="0" fontId="10161" fillId="0" borderId="10161" xfId="0" applyFont="1" applyBorder="1" applyAlignment="1"/>
    <xf numFmtId="0" fontId="10162" fillId="0" borderId="10162" xfId="0" applyFont="1" applyBorder="1" applyAlignment="1"/>
    <xf numFmtId="0" fontId="10163" fillId="0" borderId="10163" xfId="0" applyFont="1" applyBorder="1" applyAlignment="1"/>
    <xf numFmtId="0" fontId="10164" fillId="0" borderId="10164" xfId="0" applyFont="1" applyBorder="1" applyAlignment="1"/>
    <xf numFmtId="0" fontId="10165" fillId="0" borderId="10165" xfId="0" applyFont="1" applyBorder="1" applyAlignment="1"/>
    <xf numFmtId="0" fontId="10166" fillId="0" borderId="10166" xfId="0" applyFont="1" applyBorder="1" applyAlignment="1"/>
    <xf numFmtId="0" fontId="10167" fillId="0" borderId="10167" xfId="0" applyFont="1" applyBorder="1" applyAlignment="1"/>
    <xf numFmtId="0" fontId="10168" fillId="0" borderId="10168" xfId="0" applyFont="1" applyBorder="1" applyAlignment="1"/>
    <xf numFmtId="0" fontId="10169" fillId="0" borderId="10169" xfId="0" applyFont="1" applyBorder="1" applyAlignment="1"/>
    <xf numFmtId="0" fontId="10170" fillId="0" borderId="10170" xfId="0" applyFont="1" applyBorder="1" applyAlignment="1"/>
    <xf numFmtId="0" fontId="10171" fillId="0" borderId="10171" xfId="0" applyFont="1" applyBorder="1" applyAlignment="1"/>
    <xf numFmtId="0" fontId="10172" fillId="0" borderId="10172" xfId="0" applyFont="1" applyBorder="1" applyAlignment="1"/>
    <xf numFmtId="0" fontId="10173" fillId="0" borderId="10173" xfId="0" applyFont="1" applyBorder="1" applyAlignment="1"/>
    <xf numFmtId="0" fontId="10174" fillId="0" borderId="10174" xfId="0" applyFont="1" applyBorder="1" applyAlignment="1"/>
    <xf numFmtId="0" fontId="10175" fillId="0" borderId="10175" xfId="0" applyFont="1" applyBorder="1" applyAlignment="1"/>
    <xf numFmtId="0" fontId="10176" fillId="0" borderId="10176" xfId="0" applyFont="1" applyBorder="1" applyAlignment="1"/>
    <xf numFmtId="0" fontId="10177" fillId="0" borderId="10177" xfId="0" applyFont="1" applyBorder="1" applyAlignment="1"/>
    <xf numFmtId="0" fontId="10178" fillId="0" borderId="10178" xfId="0" applyFont="1" applyBorder="1" applyAlignment="1"/>
    <xf numFmtId="0" fontId="10179" fillId="0" borderId="10179" xfId="0" applyFont="1" applyBorder="1" applyAlignment="1"/>
    <xf numFmtId="0" fontId="10180" fillId="0" borderId="10180" xfId="0" applyFont="1" applyBorder="1" applyAlignment="1"/>
    <xf numFmtId="0" fontId="10181" fillId="0" borderId="10181" xfId="0" applyFont="1" applyBorder="1" applyAlignment="1"/>
    <xf numFmtId="0" fontId="10182" fillId="0" borderId="10182" xfId="0" applyFont="1" applyBorder="1" applyAlignment="1"/>
    <xf numFmtId="0" fontId="10183" fillId="0" borderId="10183" xfId="0" applyFont="1" applyBorder="1" applyAlignment="1"/>
    <xf numFmtId="0" fontId="10184" fillId="0" borderId="10184" xfId="0" applyFont="1" applyBorder="1" applyAlignment="1"/>
    <xf numFmtId="0" fontId="10185" fillId="0" borderId="10185" xfId="0" applyFont="1" applyBorder="1" applyAlignment="1"/>
    <xf numFmtId="0" fontId="10186" fillId="0" borderId="10186" xfId="0" applyFont="1" applyBorder="1" applyAlignment="1"/>
    <xf numFmtId="0" fontId="10187" fillId="0" borderId="10187" xfId="0" applyFont="1" applyBorder="1" applyAlignment="1"/>
    <xf numFmtId="0" fontId="10188" fillId="0" borderId="10188" xfId="0" applyFont="1" applyBorder="1" applyAlignment="1"/>
    <xf numFmtId="0" fontId="10189" fillId="0" borderId="10189" xfId="0" applyFont="1" applyBorder="1" applyAlignment="1"/>
    <xf numFmtId="0" fontId="10190" fillId="0" borderId="10190" xfId="0" applyFont="1" applyBorder="1" applyAlignment="1"/>
    <xf numFmtId="0" fontId="10191" fillId="0" borderId="10191" xfId="0" applyFont="1" applyBorder="1" applyAlignment="1"/>
    <xf numFmtId="0" fontId="10192" fillId="0" borderId="10192" xfId="0" applyFont="1" applyBorder="1" applyAlignment="1"/>
    <xf numFmtId="0" fontId="10193" fillId="0" borderId="10193" xfId="0" applyFont="1" applyBorder="1" applyAlignment="1"/>
    <xf numFmtId="0" fontId="10194" fillId="0" borderId="10194" xfId="0" applyFont="1" applyBorder="1" applyAlignment="1"/>
    <xf numFmtId="0" fontId="10195" fillId="0" borderId="10195" xfId="0" applyFont="1" applyBorder="1" applyAlignment="1"/>
    <xf numFmtId="0" fontId="10196" fillId="0" borderId="10196" xfId="0" applyFont="1" applyBorder="1" applyAlignment="1"/>
    <xf numFmtId="0" fontId="10197" fillId="0" borderId="10197" xfId="0" applyFont="1" applyBorder="1" applyAlignment="1"/>
    <xf numFmtId="0" fontId="10198" fillId="0" borderId="10198" xfId="0" applyFont="1" applyBorder="1" applyAlignment="1"/>
    <xf numFmtId="0" fontId="10199" fillId="0" borderId="10199" xfId="0" applyFont="1" applyBorder="1" applyAlignment="1"/>
    <xf numFmtId="0" fontId="10200" fillId="0" borderId="10200" xfId="0" applyFont="1" applyBorder="1" applyAlignment="1"/>
    <xf numFmtId="0" fontId="10201" fillId="0" borderId="10201" xfId="0" applyFont="1" applyBorder="1" applyAlignment="1"/>
    <xf numFmtId="0" fontId="10202" fillId="0" borderId="10202" xfId="0" applyFont="1" applyBorder="1" applyAlignment="1"/>
    <xf numFmtId="0" fontId="10203" fillId="0" borderId="10203" xfId="0" applyFont="1" applyBorder="1" applyAlignment="1"/>
    <xf numFmtId="0" fontId="10204" fillId="0" borderId="10204" xfId="0" applyFont="1" applyBorder="1" applyAlignment="1"/>
    <xf numFmtId="0" fontId="10205" fillId="0" borderId="10205" xfId="0" applyFont="1" applyBorder="1" applyAlignment="1"/>
    <xf numFmtId="0" fontId="10206" fillId="0" borderId="10206" xfId="0" applyFont="1" applyBorder="1" applyAlignment="1"/>
    <xf numFmtId="0" fontId="10207" fillId="0" borderId="10207" xfId="0" applyFont="1" applyBorder="1" applyAlignment="1"/>
    <xf numFmtId="0" fontId="10208" fillId="0" borderId="10208" xfId="0" applyFont="1" applyBorder="1" applyAlignment="1"/>
    <xf numFmtId="0" fontId="10209" fillId="0" borderId="10209" xfId="0" applyFont="1" applyBorder="1" applyAlignment="1"/>
    <xf numFmtId="0" fontId="10210" fillId="0" borderId="10210" xfId="0" applyFont="1" applyBorder="1" applyAlignment="1"/>
    <xf numFmtId="0" fontId="10211" fillId="0" borderId="10211" xfId="0" applyFont="1" applyBorder="1" applyAlignment="1"/>
    <xf numFmtId="0" fontId="10212" fillId="0" borderId="10212" xfId="0" applyFont="1" applyBorder="1" applyAlignment="1"/>
    <xf numFmtId="0" fontId="10213" fillId="0" borderId="10213" xfId="0" applyFont="1" applyBorder="1" applyAlignment="1"/>
    <xf numFmtId="0" fontId="10214" fillId="0" borderId="10214" xfId="0" applyFont="1" applyBorder="1" applyAlignment="1"/>
    <xf numFmtId="0" fontId="10215" fillId="0" borderId="10215" xfId="0" applyFont="1" applyBorder="1" applyAlignment="1"/>
    <xf numFmtId="0" fontId="10216" fillId="0" borderId="10216" xfId="0" applyFont="1" applyBorder="1" applyAlignment="1"/>
    <xf numFmtId="0" fontId="10217" fillId="0" borderId="10217" xfId="0" applyFont="1" applyBorder="1" applyAlignment="1"/>
    <xf numFmtId="0" fontId="10218" fillId="0" borderId="10218" xfId="0" applyFont="1" applyBorder="1" applyAlignment="1"/>
    <xf numFmtId="0" fontId="10219" fillId="0" borderId="10219" xfId="0" applyFont="1" applyBorder="1" applyAlignment="1"/>
    <xf numFmtId="0" fontId="10220" fillId="0" borderId="10220" xfId="0" applyFont="1" applyBorder="1" applyAlignment="1"/>
    <xf numFmtId="0" fontId="10221" fillId="0" borderId="10221" xfId="0" applyFont="1" applyBorder="1" applyAlignment="1"/>
    <xf numFmtId="0" fontId="10222" fillId="0" borderId="10222" xfId="0" applyFont="1" applyBorder="1" applyAlignment="1"/>
    <xf numFmtId="0" fontId="10223" fillId="0" borderId="10223" xfId="0" applyFont="1" applyBorder="1" applyAlignment="1"/>
    <xf numFmtId="0" fontId="10224" fillId="0" borderId="10224" xfId="0" applyFont="1" applyBorder="1" applyAlignment="1"/>
    <xf numFmtId="0" fontId="10225" fillId="0" borderId="10225" xfId="0" applyFont="1" applyBorder="1" applyAlignment="1"/>
    <xf numFmtId="0" fontId="10226" fillId="0" borderId="10226" xfId="0" applyFont="1" applyBorder="1" applyAlignment="1"/>
    <xf numFmtId="0" fontId="10227" fillId="0" borderId="10227" xfId="0" applyFont="1" applyBorder="1" applyAlignment="1"/>
    <xf numFmtId="0" fontId="10228" fillId="0" borderId="10228" xfId="0" applyFont="1" applyBorder="1" applyAlignment="1"/>
    <xf numFmtId="0" fontId="10229" fillId="0" borderId="10229" xfId="0" applyFont="1" applyBorder="1" applyAlignment="1"/>
    <xf numFmtId="0" fontId="10230" fillId="0" borderId="10230" xfId="0" applyFont="1" applyBorder="1" applyAlignment="1"/>
    <xf numFmtId="0" fontId="10231" fillId="0" borderId="10231" xfId="0" applyFont="1" applyBorder="1" applyAlignment="1"/>
    <xf numFmtId="0" fontId="10232" fillId="0" borderId="10232" xfId="0" applyFont="1" applyBorder="1" applyAlignment="1"/>
    <xf numFmtId="0" fontId="10233" fillId="0" borderId="10233" xfId="0" applyFont="1" applyBorder="1" applyAlignment="1"/>
    <xf numFmtId="0" fontId="10234" fillId="0" borderId="10234" xfId="0" applyFont="1" applyBorder="1" applyAlignment="1"/>
    <xf numFmtId="0" fontId="10235" fillId="0" borderId="10235" xfId="0" applyFont="1" applyBorder="1" applyAlignment="1"/>
    <xf numFmtId="0" fontId="10236" fillId="0" borderId="10236" xfId="0" applyFont="1" applyBorder="1" applyAlignment="1"/>
    <xf numFmtId="0" fontId="10237" fillId="0" borderId="10237" xfId="0" applyFont="1" applyBorder="1" applyAlignment="1"/>
    <xf numFmtId="0" fontId="10238" fillId="0" borderId="10238" xfId="0" applyFont="1" applyBorder="1" applyAlignment="1"/>
    <xf numFmtId="0" fontId="10239" fillId="0" borderId="10239" xfId="0" applyFont="1" applyBorder="1" applyAlignment="1"/>
    <xf numFmtId="0" fontId="10240" fillId="0" borderId="10240" xfId="0" applyFont="1" applyBorder="1" applyAlignment="1"/>
    <xf numFmtId="0" fontId="10241" fillId="0" borderId="10241" xfId="0" applyFont="1" applyBorder="1" applyAlignment="1"/>
    <xf numFmtId="0" fontId="10242" fillId="0" borderId="10242" xfId="0" applyFont="1" applyBorder="1" applyAlignment="1"/>
    <xf numFmtId="0" fontId="10243" fillId="0" borderId="10243" xfId="0" applyFont="1" applyBorder="1" applyAlignment="1"/>
    <xf numFmtId="0" fontId="10244" fillId="0" borderId="10244" xfId="0" applyFont="1" applyBorder="1" applyAlignment="1"/>
    <xf numFmtId="0" fontId="10245" fillId="0" borderId="10245" xfId="0" applyFont="1" applyBorder="1" applyAlignment="1"/>
    <xf numFmtId="0" fontId="10246" fillId="0" borderId="10246" xfId="0" applyFont="1" applyBorder="1" applyAlignment="1"/>
    <xf numFmtId="0" fontId="10247" fillId="0" borderId="10247" xfId="0" applyFont="1" applyBorder="1" applyAlignment="1"/>
    <xf numFmtId="0" fontId="10248" fillId="0" borderId="10248" xfId="0" applyFont="1" applyBorder="1" applyAlignment="1"/>
    <xf numFmtId="0" fontId="10249" fillId="0" borderId="10249" xfId="0" applyFont="1" applyBorder="1" applyAlignment="1"/>
    <xf numFmtId="0" fontId="10250" fillId="0" borderId="10250" xfId="0" applyFont="1" applyBorder="1" applyAlignment="1"/>
    <xf numFmtId="0" fontId="10251" fillId="0" borderId="10251" xfId="0" applyFont="1" applyBorder="1" applyAlignment="1"/>
    <xf numFmtId="0" fontId="10252" fillId="0" borderId="10252" xfId="0" applyFont="1" applyBorder="1" applyAlignment="1"/>
    <xf numFmtId="0" fontId="10253" fillId="0" borderId="10253" xfId="0" applyFont="1" applyBorder="1" applyAlignment="1"/>
    <xf numFmtId="0" fontId="10254" fillId="0" borderId="10254" xfId="0" applyFont="1" applyBorder="1" applyAlignment="1"/>
    <xf numFmtId="0" fontId="10255" fillId="0" borderId="10255" xfId="0" applyFont="1" applyBorder="1" applyAlignment="1"/>
    <xf numFmtId="0" fontId="10256" fillId="0" borderId="10256" xfId="0" applyFont="1" applyBorder="1" applyAlignment="1"/>
    <xf numFmtId="0" fontId="10257" fillId="0" borderId="10257" xfId="0" applyFont="1" applyBorder="1" applyAlignment="1"/>
    <xf numFmtId="0" fontId="10258" fillId="0" borderId="10258" xfId="0" applyFont="1" applyBorder="1" applyAlignment="1"/>
    <xf numFmtId="0" fontId="10259" fillId="0" borderId="10259" xfId="0" applyFont="1" applyBorder="1" applyAlignment="1"/>
    <xf numFmtId="0" fontId="10260" fillId="0" borderId="10260" xfId="0" applyFont="1" applyBorder="1" applyAlignment="1"/>
    <xf numFmtId="0" fontId="10261" fillId="0" borderId="10261" xfId="0" applyFont="1" applyBorder="1" applyAlignment="1"/>
    <xf numFmtId="0" fontId="10262" fillId="0" borderId="10262" xfId="0" applyFont="1" applyBorder="1" applyAlignment="1"/>
    <xf numFmtId="0" fontId="10263" fillId="0" borderId="10263" xfId="0" applyFont="1" applyBorder="1" applyAlignment="1"/>
    <xf numFmtId="0" fontId="10264" fillId="0" borderId="10264" xfId="0" applyFont="1" applyBorder="1" applyAlignment="1"/>
    <xf numFmtId="0" fontId="10265" fillId="0" borderId="10265" xfId="0" applyFont="1" applyBorder="1" applyAlignment="1"/>
    <xf numFmtId="0" fontId="10266" fillId="0" borderId="10266" xfId="0" applyFont="1" applyBorder="1" applyAlignment="1"/>
    <xf numFmtId="0" fontId="10267" fillId="0" borderId="10267" xfId="0" applyFont="1" applyBorder="1" applyAlignment="1"/>
    <xf numFmtId="0" fontId="10268" fillId="0" borderId="10268" xfId="0" applyFont="1" applyBorder="1" applyAlignment="1"/>
    <xf numFmtId="0" fontId="10269" fillId="0" borderId="10269" xfId="0" applyFont="1" applyBorder="1" applyAlignment="1"/>
    <xf numFmtId="0" fontId="10270" fillId="0" borderId="10270" xfId="0" applyFont="1" applyBorder="1" applyAlignment="1"/>
    <xf numFmtId="0" fontId="10271" fillId="0" borderId="10271" xfId="0" applyFont="1" applyBorder="1" applyAlignment="1"/>
    <xf numFmtId="0" fontId="10272" fillId="0" borderId="10272" xfId="0" applyFont="1" applyBorder="1" applyAlignment="1"/>
    <xf numFmtId="0" fontId="10273" fillId="0" borderId="10273" xfId="0" applyFont="1" applyBorder="1" applyAlignment="1"/>
    <xf numFmtId="0" fontId="10274" fillId="0" borderId="10274" xfId="0" applyFont="1" applyBorder="1" applyAlignment="1"/>
    <xf numFmtId="0" fontId="10275" fillId="0" borderId="10275" xfId="0" applyFont="1" applyBorder="1" applyAlignment="1"/>
    <xf numFmtId="0" fontId="10276" fillId="0" borderId="10276" xfId="0" applyFont="1" applyBorder="1" applyAlignment="1"/>
    <xf numFmtId="0" fontId="10277" fillId="0" borderId="10277" xfId="0" applyFont="1" applyBorder="1" applyAlignment="1"/>
    <xf numFmtId="0" fontId="10278" fillId="0" borderId="10278" xfId="0" applyFont="1" applyBorder="1" applyAlignment="1"/>
    <xf numFmtId="0" fontId="10279" fillId="0" borderId="10279" xfId="0" applyFont="1" applyBorder="1" applyAlignment="1"/>
    <xf numFmtId="0" fontId="10280" fillId="0" borderId="10280" xfId="0" applyFont="1" applyBorder="1" applyAlignment="1"/>
    <xf numFmtId="0" fontId="10281" fillId="0" borderId="10281" xfId="0" applyFont="1" applyBorder="1" applyAlignment="1"/>
    <xf numFmtId="0" fontId="10282" fillId="0" borderId="10282" xfId="0" applyFont="1" applyBorder="1" applyAlignment="1"/>
    <xf numFmtId="0" fontId="10283" fillId="0" borderId="10283" xfId="0" applyFont="1" applyBorder="1" applyAlignment="1"/>
    <xf numFmtId="0" fontId="10284" fillId="0" borderId="10284" xfId="0" applyFont="1" applyBorder="1" applyAlignment="1"/>
    <xf numFmtId="0" fontId="10285" fillId="0" borderId="10285" xfId="0" applyFont="1" applyBorder="1" applyAlignment="1"/>
    <xf numFmtId="0" fontId="10286" fillId="0" borderId="10286" xfId="0" applyFont="1" applyBorder="1" applyAlignment="1"/>
    <xf numFmtId="0" fontId="10287" fillId="0" borderId="10287" xfId="0" applyFont="1" applyBorder="1" applyAlignment="1"/>
    <xf numFmtId="0" fontId="10288" fillId="0" borderId="10288" xfId="0" applyFont="1" applyBorder="1" applyAlignment="1"/>
    <xf numFmtId="0" fontId="10289" fillId="0" borderId="10289" xfId="0" applyFont="1" applyBorder="1" applyAlignment="1"/>
    <xf numFmtId="0" fontId="10290" fillId="0" borderId="10290" xfId="0" applyFont="1" applyBorder="1" applyAlignment="1"/>
    <xf numFmtId="0" fontId="10291" fillId="0" borderId="10291" xfId="0" applyFont="1" applyBorder="1" applyAlignment="1"/>
    <xf numFmtId="0" fontId="10292" fillId="0" borderId="10292" xfId="0" applyFont="1" applyBorder="1" applyAlignment="1"/>
    <xf numFmtId="0" fontId="10293" fillId="0" borderId="10293" xfId="0" applyFont="1" applyBorder="1" applyAlignment="1"/>
    <xf numFmtId="0" fontId="10294" fillId="0" borderId="10294" xfId="0" applyFont="1" applyBorder="1" applyAlignment="1"/>
    <xf numFmtId="0" fontId="10295" fillId="0" borderId="10295" xfId="0" applyFont="1" applyBorder="1" applyAlignment="1"/>
    <xf numFmtId="0" fontId="10296" fillId="0" borderId="10296" xfId="0" applyFont="1" applyBorder="1" applyAlignment="1"/>
    <xf numFmtId="0" fontId="10297" fillId="0" borderId="10297" xfId="0" applyFont="1" applyBorder="1" applyAlignment="1"/>
    <xf numFmtId="0" fontId="10298" fillId="0" borderId="10298" xfId="0" applyFont="1" applyBorder="1" applyAlignment="1"/>
    <xf numFmtId="0" fontId="10299" fillId="0" borderId="10299" xfId="0" applyFont="1" applyBorder="1" applyAlignment="1"/>
    <xf numFmtId="0" fontId="10300" fillId="0" borderId="10300" xfId="0" applyFont="1" applyBorder="1" applyAlignment="1"/>
    <xf numFmtId="0" fontId="10301" fillId="0" borderId="10301" xfId="0" applyFont="1" applyBorder="1" applyAlignment="1"/>
    <xf numFmtId="0" fontId="10302" fillId="0" borderId="10302" xfId="0" applyFont="1" applyBorder="1" applyAlignment="1"/>
    <xf numFmtId="0" fontId="10303" fillId="0" borderId="10303" xfId="0" applyFont="1" applyBorder="1" applyAlignment="1"/>
    <xf numFmtId="0" fontId="10304" fillId="0" borderId="10304" xfId="0" applyFont="1" applyBorder="1" applyAlignment="1"/>
    <xf numFmtId="0" fontId="10305" fillId="0" borderId="10305" xfId="0" applyFont="1" applyBorder="1" applyAlignment="1"/>
    <xf numFmtId="0" fontId="10306" fillId="0" borderId="10306" xfId="0" applyFont="1" applyBorder="1" applyAlignment="1"/>
    <xf numFmtId="0" fontId="10307" fillId="0" borderId="10307" xfId="0" applyFont="1" applyBorder="1" applyAlignment="1"/>
    <xf numFmtId="0" fontId="10308" fillId="0" borderId="10308" xfId="0" applyFont="1" applyBorder="1" applyAlignment="1"/>
    <xf numFmtId="0" fontId="10309" fillId="0" borderId="10309" xfId="0" applyFont="1" applyBorder="1" applyAlignment="1"/>
    <xf numFmtId="0" fontId="10310" fillId="0" borderId="10310" xfId="0" applyFont="1" applyBorder="1" applyAlignment="1"/>
    <xf numFmtId="0" fontId="10311" fillId="0" borderId="10311" xfId="0" applyFont="1" applyBorder="1" applyAlignment="1"/>
    <xf numFmtId="0" fontId="10312" fillId="0" borderId="10312" xfId="0" applyFont="1" applyBorder="1" applyAlignment="1"/>
    <xf numFmtId="0" fontId="10313" fillId="0" borderId="10313" xfId="0" applyFont="1" applyBorder="1" applyAlignment="1"/>
    <xf numFmtId="0" fontId="10314" fillId="0" borderId="10314" xfId="0" applyFont="1" applyBorder="1" applyAlignment="1"/>
    <xf numFmtId="0" fontId="10315" fillId="0" borderId="10315" xfId="0" applyFont="1" applyBorder="1" applyAlignment="1"/>
    <xf numFmtId="0" fontId="10316" fillId="0" borderId="10316" xfId="0" applyFont="1" applyBorder="1" applyAlignment="1"/>
    <xf numFmtId="0" fontId="10317" fillId="0" borderId="10317" xfId="0" applyFont="1" applyBorder="1" applyAlignment="1"/>
    <xf numFmtId="0" fontId="10318" fillId="0" borderId="10318" xfId="0" applyFont="1" applyBorder="1" applyAlignment="1"/>
    <xf numFmtId="0" fontId="10319" fillId="0" borderId="10319" xfId="0" applyFont="1" applyBorder="1" applyAlignment="1"/>
    <xf numFmtId="0" fontId="10320" fillId="0" borderId="10320" xfId="0" applyFont="1" applyBorder="1" applyAlignment="1"/>
    <xf numFmtId="0" fontId="10321" fillId="0" borderId="10321" xfId="0" applyFont="1" applyBorder="1" applyAlignment="1"/>
    <xf numFmtId="0" fontId="10322" fillId="0" borderId="10322" xfId="0" applyFont="1" applyBorder="1" applyAlignment="1"/>
    <xf numFmtId="0" fontId="10323" fillId="0" borderId="10323" xfId="0" applyFont="1" applyBorder="1" applyAlignment="1"/>
    <xf numFmtId="0" fontId="10324" fillId="0" borderId="10324" xfId="0" applyFont="1" applyBorder="1" applyAlignment="1"/>
    <xf numFmtId="0" fontId="10325" fillId="0" borderId="10325" xfId="0" applyFont="1" applyBorder="1" applyAlignment="1"/>
    <xf numFmtId="0" fontId="10326" fillId="0" borderId="10326" xfId="0" applyFont="1" applyBorder="1" applyAlignment="1"/>
    <xf numFmtId="0" fontId="10327" fillId="0" borderId="10327" xfId="0" applyFont="1" applyBorder="1" applyAlignment="1"/>
    <xf numFmtId="0" fontId="10328" fillId="0" borderId="10328" xfId="0" applyFont="1" applyBorder="1" applyAlignment="1"/>
    <xf numFmtId="0" fontId="10329" fillId="0" borderId="10329" xfId="0" applyFont="1" applyBorder="1" applyAlignment="1"/>
    <xf numFmtId="0" fontId="10330" fillId="0" borderId="10330" xfId="0" applyFont="1" applyBorder="1" applyAlignment="1"/>
    <xf numFmtId="0" fontId="10331" fillId="0" borderId="10331" xfId="0" applyFont="1" applyBorder="1" applyAlignment="1"/>
    <xf numFmtId="0" fontId="10332" fillId="0" borderId="10332" xfId="0" applyFont="1" applyBorder="1" applyAlignment="1"/>
    <xf numFmtId="0" fontId="10333" fillId="0" borderId="10333" xfId="0" applyFont="1" applyBorder="1" applyAlignment="1"/>
    <xf numFmtId="0" fontId="10334" fillId="0" borderId="10334" xfId="0" applyFont="1" applyBorder="1" applyAlignment="1"/>
    <xf numFmtId="0" fontId="10335" fillId="0" borderId="10335" xfId="0" applyFont="1" applyBorder="1" applyAlignment="1"/>
    <xf numFmtId="0" fontId="10336" fillId="0" borderId="10336" xfId="0" applyFont="1" applyBorder="1" applyAlignment="1"/>
    <xf numFmtId="0" fontId="10337" fillId="0" borderId="10337" xfId="0" applyFont="1" applyBorder="1" applyAlignment="1"/>
    <xf numFmtId="0" fontId="10338" fillId="0" borderId="10338" xfId="0" applyFont="1" applyBorder="1" applyAlignment="1"/>
    <xf numFmtId="0" fontId="10339" fillId="0" borderId="10339" xfId="0" applyFont="1" applyBorder="1" applyAlignment="1"/>
    <xf numFmtId="0" fontId="10340" fillId="0" borderId="10340" xfId="0" applyFont="1" applyBorder="1" applyAlignment="1"/>
    <xf numFmtId="0" fontId="10341" fillId="0" borderId="10341" xfId="0" applyFont="1" applyBorder="1" applyAlignment="1"/>
    <xf numFmtId="0" fontId="10342" fillId="0" borderId="10342" xfId="0" applyFont="1" applyBorder="1" applyAlignment="1"/>
    <xf numFmtId="0" fontId="10343" fillId="0" borderId="10343" xfId="0" applyFont="1" applyBorder="1" applyAlignment="1"/>
    <xf numFmtId="0" fontId="10344" fillId="0" borderId="10344" xfId="0" applyFont="1" applyBorder="1" applyAlignment="1"/>
    <xf numFmtId="0" fontId="10345" fillId="0" borderId="10345" xfId="0" applyFont="1" applyBorder="1" applyAlignment="1"/>
    <xf numFmtId="0" fontId="10346" fillId="0" borderId="10346" xfId="0" applyFont="1" applyBorder="1" applyAlignment="1"/>
    <xf numFmtId="0" fontId="10347" fillId="0" borderId="10347" xfId="0" applyFont="1" applyBorder="1" applyAlignment="1"/>
    <xf numFmtId="0" fontId="10348" fillId="0" borderId="10348" xfId="0" applyFont="1" applyBorder="1" applyAlignment="1"/>
    <xf numFmtId="0" fontId="10349" fillId="0" borderId="10349" xfId="0" applyFont="1" applyBorder="1" applyAlignment="1"/>
    <xf numFmtId="0" fontId="10350" fillId="0" borderId="10350" xfId="0" applyFont="1" applyBorder="1" applyAlignment="1"/>
    <xf numFmtId="0" fontId="10351" fillId="0" borderId="10351" xfId="0" applyFont="1" applyBorder="1" applyAlignment="1"/>
    <xf numFmtId="0" fontId="10352" fillId="0" borderId="10352" xfId="0" applyFont="1" applyBorder="1" applyAlignment="1"/>
    <xf numFmtId="0" fontId="10353" fillId="0" borderId="10353" xfId="0" applyFont="1" applyBorder="1" applyAlignment="1"/>
    <xf numFmtId="0" fontId="10354" fillId="0" borderId="10354" xfId="0" applyFont="1" applyBorder="1" applyAlignment="1"/>
    <xf numFmtId="0" fontId="10355" fillId="0" borderId="10355" xfId="0" applyFont="1" applyBorder="1" applyAlignment="1"/>
    <xf numFmtId="0" fontId="10356" fillId="0" borderId="10356" xfId="0" applyFont="1" applyBorder="1" applyAlignment="1"/>
    <xf numFmtId="0" fontId="10357" fillId="0" borderId="10357" xfId="0" applyFont="1" applyBorder="1" applyAlignment="1"/>
    <xf numFmtId="0" fontId="10358" fillId="0" borderId="10358" xfId="0" applyFont="1" applyBorder="1" applyAlignment="1"/>
    <xf numFmtId="0" fontId="10359" fillId="0" borderId="10359" xfId="0" applyFont="1" applyBorder="1" applyAlignment="1"/>
    <xf numFmtId="0" fontId="10360" fillId="0" borderId="10360" xfId="0" applyFont="1" applyBorder="1" applyAlignment="1"/>
    <xf numFmtId="0" fontId="10361" fillId="0" borderId="10361" xfId="0" applyFont="1" applyBorder="1" applyAlignment="1"/>
    <xf numFmtId="0" fontId="10362" fillId="0" borderId="10362" xfId="0" applyFont="1" applyBorder="1" applyAlignment="1"/>
    <xf numFmtId="0" fontId="10363" fillId="0" borderId="10363" xfId="0" applyFont="1" applyBorder="1" applyAlignment="1"/>
    <xf numFmtId="0" fontId="10364" fillId="0" borderId="10364" xfId="0" applyFont="1" applyBorder="1" applyAlignment="1"/>
    <xf numFmtId="0" fontId="10365" fillId="0" borderId="10365" xfId="0" applyFont="1" applyBorder="1" applyAlignment="1"/>
    <xf numFmtId="0" fontId="10366" fillId="0" borderId="10366" xfId="0" applyFont="1" applyBorder="1" applyAlignment="1"/>
    <xf numFmtId="0" fontId="10367" fillId="0" borderId="10367" xfId="0" applyFont="1" applyBorder="1" applyAlignment="1"/>
    <xf numFmtId="0" fontId="10368" fillId="0" borderId="10368" xfId="0" applyFont="1" applyBorder="1" applyAlignment="1"/>
    <xf numFmtId="0" fontId="10369" fillId="0" borderId="10369" xfId="0" applyFont="1" applyBorder="1" applyAlignment="1"/>
    <xf numFmtId="0" fontId="10370" fillId="0" borderId="10370" xfId="0" applyFont="1" applyBorder="1" applyAlignment="1"/>
    <xf numFmtId="0" fontId="10371" fillId="0" borderId="10371" xfId="0" applyFont="1" applyBorder="1" applyAlignment="1"/>
    <xf numFmtId="0" fontId="10372" fillId="0" borderId="10372" xfId="0" applyFont="1" applyBorder="1" applyAlignment="1"/>
    <xf numFmtId="0" fontId="10373" fillId="0" borderId="10373" xfId="0" applyFont="1" applyBorder="1" applyAlignment="1"/>
    <xf numFmtId="0" fontId="10374" fillId="0" borderId="10374" xfId="0" applyFont="1" applyBorder="1" applyAlignment="1"/>
    <xf numFmtId="0" fontId="10375" fillId="0" borderId="10375" xfId="0" applyFont="1" applyBorder="1" applyAlignment="1"/>
    <xf numFmtId="0" fontId="10376" fillId="0" borderId="10376" xfId="0" applyFont="1" applyBorder="1" applyAlignment="1"/>
    <xf numFmtId="0" fontId="10377" fillId="0" borderId="10377" xfId="0" applyFont="1" applyBorder="1" applyAlignment="1"/>
    <xf numFmtId="0" fontId="10378" fillId="0" borderId="10378" xfId="0" applyFont="1" applyBorder="1" applyAlignment="1"/>
    <xf numFmtId="0" fontId="10379" fillId="0" borderId="10379" xfId="0" applyFont="1" applyBorder="1" applyAlignment="1"/>
    <xf numFmtId="0" fontId="10380" fillId="0" borderId="10380" xfId="0" applyFont="1" applyBorder="1" applyAlignment="1"/>
    <xf numFmtId="0" fontId="10381" fillId="0" borderId="10381" xfId="0" applyFont="1" applyBorder="1" applyAlignment="1"/>
    <xf numFmtId="0" fontId="10382" fillId="0" borderId="10382" xfId="0" applyFont="1" applyBorder="1" applyAlignment="1"/>
    <xf numFmtId="0" fontId="10383" fillId="0" borderId="10383" xfId="0" applyFont="1" applyBorder="1" applyAlignment="1"/>
    <xf numFmtId="0" fontId="10384" fillId="0" borderId="10384" xfId="0" applyFont="1" applyBorder="1" applyAlignment="1"/>
    <xf numFmtId="0" fontId="10385" fillId="0" borderId="10385" xfId="0" applyFont="1" applyBorder="1" applyAlignment="1"/>
    <xf numFmtId="0" fontId="10386" fillId="0" borderId="10386" xfId="0" applyFont="1" applyBorder="1" applyAlignment="1"/>
    <xf numFmtId="0" fontId="10387" fillId="0" borderId="10387" xfId="0" applyFont="1" applyBorder="1" applyAlignment="1"/>
    <xf numFmtId="0" fontId="10388" fillId="0" borderId="10388" xfId="0" applyFont="1" applyBorder="1" applyAlignment="1"/>
    <xf numFmtId="0" fontId="10389" fillId="0" borderId="10389" xfId="0" applyFont="1" applyBorder="1" applyAlignment="1"/>
    <xf numFmtId="0" fontId="10390" fillId="0" borderId="10390" xfId="0" applyFont="1" applyBorder="1" applyAlignment="1"/>
    <xf numFmtId="0" fontId="10391" fillId="0" borderId="10391" xfId="0" applyFont="1" applyBorder="1" applyAlignment="1"/>
    <xf numFmtId="0" fontId="10392" fillId="0" borderId="10392" xfId="0" applyFont="1" applyBorder="1" applyAlignment="1"/>
    <xf numFmtId="0" fontId="10393" fillId="0" borderId="10393" xfId="0" applyFont="1" applyBorder="1" applyAlignment="1"/>
    <xf numFmtId="0" fontId="10394" fillId="0" borderId="10394" xfId="0" applyFont="1" applyBorder="1" applyAlignment="1"/>
    <xf numFmtId="0" fontId="10395" fillId="0" borderId="10395" xfId="0" applyFont="1" applyBorder="1" applyAlignment="1"/>
    <xf numFmtId="0" fontId="10396" fillId="0" borderId="10396" xfId="0" applyFont="1" applyBorder="1" applyAlignment="1"/>
    <xf numFmtId="0" fontId="10397" fillId="0" borderId="10397" xfId="0" applyFont="1" applyBorder="1" applyAlignment="1"/>
    <xf numFmtId="0" fontId="10398" fillId="0" borderId="10398" xfId="0" applyFont="1" applyBorder="1" applyAlignment="1"/>
    <xf numFmtId="0" fontId="10399" fillId="0" borderId="10399" xfId="0" applyFont="1" applyBorder="1" applyAlignment="1"/>
    <xf numFmtId="0" fontId="10400" fillId="0" borderId="10400" xfId="0" applyFont="1" applyBorder="1" applyAlignment="1"/>
    <xf numFmtId="0" fontId="10401" fillId="0" borderId="10401" xfId="0" applyFont="1" applyBorder="1" applyAlignment="1"/>
    <xf numFmtId="0" fontId="10402" fillId="0" borderId="10402" xfId="0" applyFont="1" applyBorder="1" applyAlignment="1"/>
    <xf numFmtId="0" fontId="10403" fillId="0" borderId="10403" xfId="0" applyFont="1" applyBorder="1" applyAlignment="1"/>
    <xf numFmtId="0" fontId="10404" fillId="0" borderId="10404" xfId="0" applyFont="1" applyBorder="1" applyAlignment="1"/>
    <xf numFmtId="0" fontId="10405" fillId="0" borderId="10405" xfId="0" applyFont="1" applyBorder="1" applyAlignment="1"/>
    <xf numFmtId="0" fontId="10406" fillId="0" borderId="10406" xfId="0" applyFont="1" applyBorder="1" applyAlignment="1"/>
    <xf numFmtId="0" fontId="10407" fillId="0" borderId="10407" xfId="0" applyFont="1" applyBorder="1" applyAlignment="1"/>
    <xf numFmtId="0" fontId="10408" fillId="0" borderId="10408" xfId="0" applyFont="1" applyBorder="1" applyAlignment="1"/>
    <xf numFmtId="0" fontId="10409" fillId="0" borderId="10409" xfId="0" applyFont="1" applyBorder="1" applyAlignment="1"/>
    <xf numFmtId="0" fontId="10410" fillId="0" borderId="10410" xfId="0" applyFont="1" applyBorder="1" applyAlignment="1"/>
    <xf numFmtId="0" fontId="10411" fillId="0" borderId="10411" xfId="0" applyFont="1" applyBorder="1" applyAlignment="1"/>
    <xf numFmtId="0" fontId="10412" fillId="0" borderId="10412" xfId="0" applyFont="1" applyBorder="1" applyAlignment="1"/>
    <xf numFmtId="0" fontId="10413" fillId="0" borderId="10413" xfId="0" applyFont="1" applyBorder="1" applyAlignment="1"/>
    <xf numFmtId="0" fontId="10414" fillId="0" borderId="10414" xfId="0" applyFont="1" applyBorder="1" applyAlignment="1"/>
    <xf numFmtId="0" fontId="10415" fillId="0" borderId="10415" xfId="0" applyFont="1" applyBorder="1" applyAlignment="1"/>
    <xf numFmtId="0" fontId="10416" fillId="0" borderId="10416" xfId="0" applyFont="1" applyBorder="1" applyAlignment="1"/>
    <xf numFmtId="0" fontId="10417" fillId="0" borderId="10417" xfId="0" applyFont="1" applyBorder="1" applyAlignment="1"/>
    <xf numFmtId="0" fontId="10418" fillId="0" borderId="10418" xfId="0" applyFont="1" applyBorder="1" applyAlignment="1"/>
    <xf numFmtId="0" fontId="10419" fillId="0" borderId="10419" xfId="0" applyFont="1" applyBorder="1" applyAlignment="1"/>
    <xf numFmtId="0" fontId="10420" fillId="0" borderId="10420" xfId="0" applyFont="1" applyBorder="1" applyAlignment="1"/>
    <xf numFmtId="0" fontId="10421" fillId="0" borderId="10421" xfId="0" applyFont="1" applyBorder="1" applyAlignment="1"/>
    <xf numFmtId="0" fontId="10422" fillId="0" borderId="10422" xfId="0" applyFont="1" applyBorder="1" applyAlignment="1"/>
    <xf numFmtId="0" fontId="10423" fillId="0" borderId="10423" xfId="0" applyFont="1" applyBorder="1" applyAlignment="1"/>
    <xf numFmtId="0" fontId="10424" fillId="0" borderId="10424" xfId="0" applyFont="1" applyBorder="1" applyAlignment="1"/>
    <xf numFmtId="0" fontId="10425" fillId="0" borderId="10425" xfId="0" applyFont="1" applyBorder="1" applyAlignment="1"/>
    <xf numFmtId="0" fontId="10426" fillId="0" borderId="10426" xfId="0" applyFont="1" applyBorder="1" applyAlignment="1"/>
    <xf numFmtId="0" fontId="10427" fillId="0" borderId="10427" xfId="0" applyFont="1" applyBorder="1" applyAlignment="1"/>
    <xf numFmtId="0" fontId="10428" fillId="0" borderId="10428" xfId="0" applyFont="1" applyBorder="1" applyAlignment="1"/>
    <xf numFmtId="0" fontId="10429" fillId="0" borderId="10429" xfId="0" applyFont="1" applyBorder="1" applyAlignment="1"/>
    <xf numFmtId="0" fontId="10430" fillId="0" borderId="10430" xfId="0" applyFont="1" applyBorder="1" applyAlignment="1"/>
    <xf numFmtId="0" fontId="10431" fillId="0" borderId="10431" xfId="0" applyFont="1" applyBorder="1" applyAlignment="1"/>
    <xf numFmtId="0" fontId="10432" fillId="0" borderId="10432" xfId="0" applyFont="1" applyBorder="1" applyAlignment="1"/>
    <xf numFmtId="0" fontId="10433" fillId="0" borderId="10433" xfId="0" applyFont="1" applyBorder="1" applyAlignment="1"/>
    <xf numFmtId="0" fontId="10434" fillId="0" borderId="10434" xfId="0" applyFont="1" applyBorder="1" applyAlignment="1"/>
    <xf numFmtId="0" fontId="10435" fillId="0" borderId="10435" xfId="0" applyFont="1" applyBorder="1" applyAlignment="1"/>
    <xf numFmtId="0" fontId="10436" fillId="0" borderId="10436" xfId="0" applyFont="1" applyBorder="1" applyAlignment="1"/>
    <xf numFmtId="0" fontId="10437" fillId="0" borderId="10437" xfId="0" applyFont="1" applyBorder="1" applyAlignment="1"/>
    <xf numFmtId="0" fontId="10438" fillId="0" borderId="10438" xfId="0" applyFont="1" applyBorder="1" applyAlignment="1"/>
    <xf numFmtId="0" fontId="10439" fillId="0" borderId="10439" xfId="0" applyFont="1" applyBorder="1" applyAlignment="1"/>
    <xf numFmtId="0" fontId="10440" fillId="0" borderId="10440" xfId="0" applyFont="1" applyBorder="1" applyAlignment="1"/>
    <xf numFmtId="0" fontId="10441" fillId="0" borderId="10441" xfId="0" applyFont="1" applyBorder="1" applyAlignment="1"/>
    <xf numFmtId="0" fontId="10442" fillId="0" borderId="10442" xfId="0" applyFont="1" applyBorder="1" applyAlignment="1"/>
    <xf numFmtId="0" fontId="10443" fillId="0" borderId="10443" xfId="0" applyFont="1" applyBorder="1" applyAlignment="1"/>
    <xf numFmtId="0" fontId="10444" fillId="0" borderId="10444" xfId="0" applyFont="1" applyBorder="1" applyAlignment="1"/>
    <xf numFmtId="0" fontId="10445" fillId="0" borderId="10445" xfId="0" applyFont="1" applyBorder="1" applyAlignment="1"/>
    <xf numFmtId="0" fontId="10446" fillId="0" borderId="10446" xfId="0" applyFont="1" applyBorder="1" applyAlignment="1"/>
    <xf numFmtId="0" fontId="10447" fillId="0" borderId="10447" xfId="0" applyFont="1" applyBorder="1" applyAlignment="1"/>
    <xf numFmtId="0" fontId="10448" fillId="0" borderId="10448" xfId="0" applyFont="1" applyBorder="1" applyAlignment="1"/>
    <xf numFmtId="0" fontId="10449" fillId="0" borderId="10449" xfId="0" applyFont="1" applyBorder="1" applyAlignment="1"/>
    <xf numFmtId="0" fontId="10450" fillId="0" borderId="10450" xfId="0" applyFont="1" applyBorder="1" applyAlignment="1"/>
    <xf numFmtId="0" fontId="10451" fillId="0" borderId="10451" xfId="0" applyFont="1" applyBorder="1" applyAlignment="1"/>
    <xf numFmtId="0" fontId="10452" fillId="0" borderId="10452" xfId="0" applyFont="1" applyBorder="1" applyAlignment="1"/>
    <xf numFmtId="0" fontId="10453" fillId="0" borderId="10453" xfId="0" applyFont="1" applyBorder="1" applyAlignment="1"/>
    <xf numFmtId="0" fontId="10454" fillId="0" borderId="10454" xfId="0" applyFont="1" applyBorder="1" applyAlignment="1"/>
    <xf numFmtId="0" fontId="10455" fillId="0" borderId="10455" xfId="0" applyFont="1" applyBorder="1" applyAlignment="1"/>
    <xf numFmtId="0" fontId="10456" fillId="0" borderId="10456" xfId="0" applyFont="1" applyBorder="1" applyAlignment="1"/>
    <xf numFmtId="0" fontId="10457" fillId="0" borderId="10457" xfId="0" applyFont="1" applyBorder="1" applyAlignment="1"/>
    <xf numFmtId="0" fontId="10458" fillId="0" borderId="10458" xfId="0" applyFont="1" applyBorder="1" applyAlignment="1"/>
    <xf numFmtId="0" fontId="10459" fillId="0" borderId="10459" xfId="0" applyFont="1" applyBorder="1" applyAlignment="1"/>
    <xf numFmtId="0" fontId="10460" fillId="0" borderId="10460" xfId="0" applyFont="1" applyBorder="1" applyAlignment="1"/>
    <xf numFmtId="0" fontId="10461" fillId="0" borderId="10461" xfId="0" applyFont="1" applyBorder="1" applyAlignment="1"/>
    <xf numFmtId="0" fontId="10462" fillId="0" borderId="10462" xfId="0" applyFont="1" applyBorder="1" applyAlignment="1"/>
    <xf numFmtId="0" fontId="10463" fillId="0" borderId="10463" xfId="0" applyFont="1" applyBorder="1" applyAlignment="1"/>
    <xf numFmtId="0" fontId="10464" fillId="0" borderId="10464" xfId="0" applyFont="1" applyBorder="1" applyAlignment="1"/>
    <xf numFmtId="0" fontId="10465" fillId="0" borderId="10465" xfId="0" applyFont="1" applyBorder="1" applyAlignment="1"/>
    <xf numFmtId="0" fontId="10466" fillId="0" borderId="10466" xfId="0" applyFont="1" applyBorder="1" applyAlignment="1"/>
    <xf numFmtId="0" fontId="10467" fillId="0" borderId="10467" xfId="0" applyFont="1" applyBorder="1" applyAlignment="1"/>
    <xf numFmtId="0" fontId="10468" fillId="0" borderId="10468" xfId="0" applyFont="1" applyBorder="1" applyAlignment="1"/>
    <xf numFmtId="0" fontId="10469" fillId="0" borderId="10469" xfId="0" applyFont="1" applyBorder="1" applyAlignment="1"/>
    <xf numFmtId="0" fontId="10470" fillId="0" borderId="10470" xfId="0" applyFont="1" applyBorder="1" applyAlignment="1"/>
    <xf numFmtId="0" fontId="10471" fillId="0" borderId="10471" xfId="0" applyFont="1" applyBorder="1" applyAlignment="1"/>
    <xf numFmtId="0" fontId="10472" fillId="0" borderId="10472" xfId="0" applyFont="1" applyBorder="1" applyAlignment="1"/>
    <xf numFmtId="0" fontId="10473" fillId="0" borderId="10473" xfId="0" applyFont="1" applyBorder="1" applyAlignment="1"/>
    <xf numFmtId="0" fontId="10474" fillId="0" borderId="10474" xfId="0" applyFont="1" applyBorder="1" applyAlignment="1"/>
    <xf numFmtId="0" fontId="10475" fillId="0" borderId="10475" xfId="0" applyFont="1" applyBorder="1" applyAlignment="1"/>
    <xf numFmtId="0" fontId="10476" fillId="0" borderId="10476" xfId="0" applyFont="1" applyBorder="1" applyAlignment="1"/>
    <xf numFmtId="0" fontId="10477" fillId="0" borderId="10477" xfId="0" applyFont="1" applyBorder="1" applyAlignment="1"/>
    <xf numFmtId="0" fontId="10478" fillId="0" borderId="10478" xfId="0" applyFont="1" applyBorder="1" applyAlignment="1"/>
    <xf numFmtId="0" fontId="10479" fillId="0" borderId="10479" xfId="0" applyFont="1" applyBorder="1" applyAlignment="1"/>
    <xf numFmtId="0" fontId="10480" fillId="0" borderId="10480" xfId="0" applyFont="1" applyBorder="1" applyAlignment="1"/>
    <xf numFmtId="0" fontId="10481" fillId="0" borderId="10481" xfId="0" applyFont="1" applyBorder="1" applyAlignment="1"/>
    <xf numFmtId="0" fontId="10482" fillId="0" borderId="10482" xfId="0" applyFont="1" applyBorder="1" applyAlignment="1"/>
    <xf numFmtId="0" fontId="10483" fillId="0" borderId="10483" xfId="0" applyFont="1" applyBorder="1" applyAlignment="1"/>
    <xf numFmtId="0" fontId="10484" fillId="0" borderId="10484" xfId="0" applyFont="1" applyBorder="1" applyAlignment="1"/>
    <xf numFmtId="0" fontId="10485" fillId="0" borderId="10485" xfId="0" applyFont="1" applyBorder="1" applyAlignment="1"/>
    <xf numFmtId="0" fontId="10486" fillId="0" borderId="10486" xfId="0" applyFont="1" applyBorder="1" applyAlignment="1"/>
    <xf numFmtId="0" fontId="10487" fillId="0" borderId="10487" xfId="0" applyFont="1" applyBorder="1" applyAlignment="1"/>
    <xf numFmtId="0" fontId="10488" fillId="0" borderId="10488" xfId="0" applyFont="1" applyBorder="1" applyAlignment="1"/>
    <xf numFmtId="0" fontId="10489" fillId="0" borderId="10489" xfId="0" applyFont="1" applyBorder="1" applyAlignment="1"/>
    <xf numFmtId="0" fontId="10490" fillId="0" borderId="10490" xfId="0" applyFont="1" applyBorder="1" applyAlignment="1"/>
    <xf numFmtId="0" fontId="10491" fillId="0" borderId="10491" xfId="0" applyFont="1" applyBorder="1" applyAlignment="1"/>
    <xf numFmtId="0" fontId="10492" fillId="0" borderId="10492" xfId="0" applyFont="1" applyBorder="1" applyAlignment="1"/>
    <xf numFmtId="0" fontId="10493" fillId="0" borderId="10493" xfId="0" applyFont="1" applyBorder="1" applyAlignment="1"/>
    <xf numFmtId="0" fontId="10494" fillId="0" borderId="10494" xfId="0" applyFont="1" applyBorder="1" applyAlignment="1"/>
    <xf numFmtId="0" fontId="10495" fillId="0" borderId="10495" xfId="0" applyFont="1" applyBorder="1" applyAlignment="1"/>
    <xf numFmtId="0" fontId="10496" fillId="0" borderId="10496" xfId="0" applyFont="1" applyBorder="1" applyAlignment="1"/>
    <xf numFmtId="0" fontId="10497" fillId="0" borderId="10497" xfId="0" applyFont="1" applyBorder="1" applyAlignment="1"/>
    <xf numFmtId="0" fontId="10498" fillId="0" borderId="10498" xfId="0" applyFont="1" applyBorder="1" applyAlignment="1"/>
    <xf numFmtId="0" fontId="10499" fillId="0" borderId="10499" xfId="0" applyFont="1" applyBorder="1" applyAlignment="1"/>
    <xf numFmtId="0" fontId="10500" fillId="0" borderId="10500" xfId="0" applyFont="1" applyBorder="1" applyAlignment="1"/>
    <xf numFmtId="0" fontId="10501" fillId="0" borderId="10501" xfId="0" applyFont="1" applyBorder="1" applyAlignment="1"/>
    <xf numFmtId="0" fontId="10502" fillId="0" borderId="10502" xfId="0" applyFont="1" applyBorder="1" applyAlignment="1"/>
    <xf numFmtId="0" fontId="10503" fillId="0" borderId="10503" xfId="0" applyFont="1" applyBorder="1" applyAlignment="1"/>
    <xf numFmtId="0" fontId="10504" fillId="0" borderId="10504" xfId="0" applyFont="1" applyBorder="1" applyAlignment="1"/>
    <xf numFmtId="0" fontId="10505" fillId="0" borderId="10505" xfId="0" applyFont="1" applyBorder="1" applyAlignment="1"/>
    <xf numFmtId="0" fontId="10506" fillId="0" borderId="10506" xfId="0" applyFont="1" applyBorder="1" applyAlignment="1"/>
    <xf numFmtId="0" fontId="10507" fillId="0" borderId="10507" xfId="0" applyFont="1" applyBorder="1" applyAlignment="1"/>
    <xf numFmtId="0" fontId="10508" fillId="0" borderId="10508" xfId="0" applyFont="1" applyBorder="1" applyAlignment="1"/>
    <xf numFmtId="0" fontId="10509" fillId="0" borderId="10509" xfId="0" applyFont="1" applyBorder="1" applyAlignment="1"/>
    <xf numFmtId="0" fontId="10510" fillId="0" borderId="10510" xfId="0" applyFont="1" applyBorder="1" applyAlignment="1"/>
    <xf numFmtId="0" fontId="10511" fillId="0" borderId="10511" xfId="0" applyFont="1" applyBorder="1" applyAlignment="1"/>
    <xf numFmtId="0" fontId="10512" fillId="0" borderId="10512" xfId="0" applyFont="1" applyBorder="1" applyAlignment="1"/>
    <xf numFmtId="0" fontId="10513" fillId="0" borderId="10513" xfId="0" applyFont="1" applyBorder="1" applyAlignment="1"/>
    <xf numFmtId="0" fontId="10514" fillId="0" borderId="10514" xfId="0" applyFont="1" applyBorder="1" applyAlignment="1"/>
    <xf numFmtId="0" fontId="10515" fillId="0" borderId="10515" xfId="0" applyFont="1" applyBorder="1" applyAlignment="1"/>
    <xf numFmtId="0" fontId="10516" fillId="0" borderId="10516" xfId="0" applyFont="1" applyBorder="1" applyAlignment="1"/>
    <xf numFmtId="0" fontId="10517" fillId="0" borderId="10517" xfId="0" applyFont="1" applyBorder="1" applyAlignment="1"/>
    <xf numFmtId="0" fontId="10518" fillId="0" borderId="10518" xfId="0" applyFont="1" applyBorder="1" applyAlignment="1"/>
    <xf numFmtId="0" fontId="10519" fillId="0" borderId="10519" xfId="0" applyFont="1" applyBorder="1" applyAlignment="1"/>
    <xf numFmtId="0" fontId="10520" fillId="0" borderId="10520" xfId="0" applyFont="1" applyBorder="1" applyAlignment="1"/>
    <xf numFmtId="0" fontId="10521" fillId="0" borderId="10521" xfId="0" applyFont="1" applyBorder="1" applyAlignment="1"/>
    <xf numFmtId="0" fontId="10522" fillId="0" borderId="10522" xfId="0" applyFont="1" applyBorder="1" applyAlignment="1"/>
    <xf numFmtId="0" fontId="10523" fillId="0" borderId="10523" xfId="0" applyFont="1" applyBorder="1" applyAlignment="1"/>
    <xf numFmtId="0" fontId="10524" fillId="0" borderId="10524" xfId="0" applyFont="1" applyBorder="1" applyAlignment="1"/>
    <xf numFmtId="0" fontId="10525" fillId="0" borderId="10525" xfId="0" applyFont="1" applyBorder="1" applyAlignment="1"/>
    <xf numFmtId="0" fontId="10526" fillId="0" borderId="10526" xfId="0" applyFont="1" applyBorder="1" applyAlignment="1"/>
    <xf numFmtId="0" fontId="10527" fillId="0" borderId="10527" xfId="0" applyFont="1" applyBorder="1" applyAlignment="1"/>
    <xf numFmtId="0" fontId="10528" fillId="0" borderId="10528" xfId="0" applyFont="1" applyBorder="1" applyAlignment="1"/>
    <xf numFmtId="0" fontId="10529" fillId="0" borderId="10529" xfId="0" applyFont="1" applyBorder="1" applyAlignment="1"/>
    <xf numFmtId="0" fontId="10530" fillId="0" borderId="10530" xfId="0" applyFont="1" applyBorder="1" applyAlignment="1"/>
    <xf numFmtId="0" fontId="10531" fillId="0" borderId="10531" xfId="0" applyFont="1" applyBorder="1" applyAlignment="1"/>
    <xf numFmtId="0" fontId="10532" fillId="0" borderId="10532" xfId="0" applyFont="1" applyBorder="1" applyAlignment="1"/>
    <xf numFmtId="0" fontId="10533" fillId="0" borderId="10533" xfId="0" applyFont="1" applyBorder="1" applyAlignment="1"/>
    <xf numFmtId="0" fontId="10534" fillId="0" borderId="10534" xfId="0" applyFont="1" applyBorder="1" applyAlignment="1"/>
    <xf numFmtId="0" fontId="10535" fillId="0" borderId="10535" xfId="0" applyFont="1" applyBorder="1" applyAlignment="1"/>
    <xf numFmtId="0" fontId="10536" fillId="0" borderId="10536" xfId="0" applyFont="1" applyBorder="1" applyAlignment="1"/>
    <xf numFmtId="0" fontId="10537" fillId="0" borderId="10537" xfId="0" applyFont="1" applyBorder="1" applyAlignment="1"/>
    <xf numFmtId="0" fontId="10538" fillId="0" borderId="10538" xfId="0" applyFont="1" applyBorder="1" applyAlignment="1"/>
    <xf numFmtId="0" fontId="10539" fillId="0" borderId="10539" xfId="0" applyFont="1" applyBorder="1" applyAlignment="1"/>
    <xf numFmtId="0" fontId="10540" fillId="0" borderId="10540" xfId="0" applyFont="1" applyBorder="1" applyAlignment="1"/>
    <xf numFmtId="0" fontId="10541" fillId="0" borderId="10541" xfId="0" applyFont="1" applyBorder="1" applyAlignment="1"/>
    <xf numFmtId="0" fontId="10542" fillId="0" borderId="10542" xfId="0" applyFont="1" applyBorder="1" applyAlignment="1"/>
    <xf numFmtId="0" fontId="10543" fillId="0" borderId="10543" xfId="0" applyFont="1" applyBorder="1" applyAlignment="1"/>
    <xf numFmtId="0" fontId="10544" fillId="0" borderId="10544" xfId="0" applyFont="1" applyBorder="1" applyAlignment="1"/>
    <xf numFmtId="0" fontId="10545" fillId="0" borderId="10545" xfId="0" applyFont="1" applyBorder="1" applyAlignment="1"/>
    <xf numFmtId="0" fontId="10546" fillId="0" borderId="10546" xfId="0" applyFont="1" applyBorder="1" applyAlignment="1"/>
    <xf numFmtId="0" fontId="10547" fillId="0" borderId="10547" xfId="0" applyFont="1" applyBorder="1" applyAlignment="1"/>
    <xf numFmtId="0" fontId="10548" fillId="0" borderId="10548" xfId="0" applyFont="1" applyBorder="1" applyAlignment="1"/>
    <xf numFmtId="0" fontId="10549" fillId="0" borderId="10549" xfId="0" applyFont="1" applyBorder="1" applyAlignment="1"/>
    <xf numFmtId="0" fontId="10550" fillId="0" borderId="10550" xfId="0" applyFont="1" applyBorder="1" applyAlignment="1"/>
    <xf numFmtId="0" fontId="10551" fillId="0" borderId="10551" xfId="0" applyFont="1" applyBorder="1" applyAlignment="1"/>
    <xf numFmtId="0" fontId="10552" fillId="0" borderId="10552" xfId="0" applyFont="1" applyBorder="1" applyAlignment="1"/>
    <xf numFmtId="0" fontId="10553" fillId="0" borderId="10553" xfId="0" applyFont="1" applyBorder="1" applyAlignment="1"/>
    <xf numFmtId="0" fontId="10554" fillId="0" borderId="10554" xfId="0" applyFont="1" applyBorder="1" applyAlignment="1"/>
    <xf numFmtId="0" fontId="10555" fillId="0" borderId="10555" xfId="0" applyFont="1" applyBorder="1" applyAlignment="1"/>
    <xf numFmtId="0" fontId="10556" fillId="0" borderId="10556" xfId="0" applyFont="1" applyBorder="1" applyAlignment="1"/>
    <xf numFmtId="0" fontId="10557" fillId="0" borderId="10557" xfId="0" applyFont="1" applyBorder="1" applyAlignment="1"/>
    <xf numFmtId="0" fontId="10558" fillId="0" borderId="10558" xfId="0" applyFont="1" applyBorder="1" applyAlignment="1"/>
    <xf numFmtId="0" fontId="10559" fillId="0" borderId="10559" xfId="0" applyFont="1" applyBorder="1" applyAlignment="1"/>
    <xf numFmtId="0" fontId="10560" fillId="0" borderId="10560" xfId="0" applyFont="1" applyBorder="1" applyAlignment="1"/>
    <xf numFmtId="0" fontId="10561" fillId="0" borderId="10561" xfId="0" applyFont="1" applyBorder="1" applyAlignment="1"/>
    <xf numFmtId="0" fontId="10562" fillId="0" borderId="10562" xfId="0" applyFont="1" applyBorder="1" applyAlignment="1"/>
    <xf numFmtId="0" fontId="10563" fillId="0" borderId="10563" xfId="0" applyFont="1" applyBorder="1" applyAlignment="1"/>
    <xf numFmtId="0" fontId="10564" fillId="0" borderId="10564" xfId="0" applyFont="1" applyBorder="1" applyAlignment="1"/>
    <xf numFmtId="0" fontId="10565" fillId="0" borderId="10565" xfId="0" applyFont="1" applyBorder="1" applyAlignment="1"/>
    <xf numFmtId="0" fontId="10566" fillId="0" borderId="10566" xfId="0" applyFont="1" applyBorder="1" applyAlignment="1"/>
    <xf numFmtId="0" fontId="10567" fillId="0" borderId="10567" xfId="0" applyFont="1" applyBorder="1" applyAlignment="1"/>
    <xf numFmtId="0" fontId="10568" fillId="0" borderId="10568" xfId="0" applyFont="1" applyBorder="1" applyAlignment="1"/>
    <xf numFmtId="0" fontId="10569" fillId="0" borderId="10569" xfId="0" applyFont="1" applyBorder="1" applyAlignment="1"/>
    <xf numFmtId="0" fontId="10570" fillId="0" borderId="10570" xfId="0" applyFont="1" applyBorder="1" applyAlignment="1"/>
    <xf numFmtId="0" fontId="10571" fillId="0" borderId="10571" xfId="0" applyFont="1" applyBorder="1" applyAlignment="1"/>
    <xf numFmtId="0" fontId="10572" fillId="0" borderId="10572" xfId="0" applyFont="1" applyBorder="1" applyAlignment="1"/>
    <xf numFmtId="0" fontId="10573" fillId="0" borderId="10573" xfId="0" applyFont="1" applyBorder="1" applyAlignment="1"/>
    <xf numFmtId="0" fontId="10574" fillId="0" borderId="10574" xfId="0" applyFont="1" applyBorder="1" applyAlignment="1"/>
    <xf numFmtId="0" fontId="10575" fillId="0" borderId="10575" xfId="0" applyFont="1" applyBorder="1" applyAlignment="1"/>
    <xf numFmtId="0" fontId="10576" fillId="0" borderId="10576" xfId="0" applyFont="1" applyBorder="1" applyAlignment="1"/>
    <xf numFmtId="0" fontId="10577" fillId="0" borderId="10577" xfId="0" applyFont="1" applyBorder="1" applyAlignment="1"/>
    <xf numFmtId="0" fontId="10578" fillId="0" borderId="10578" xfId="0" applyFont="1" applyBorder="1" applyAlignment="1"/>
    <xf numFmtId="0" fontId="10579" fillId="0" borderId="10579" xfId="0" applyFont="1" applyBorder="1" applyAlignment="1"/>
    <xf numFmtId="0" fontId="10580" fillId="0" borderId="10580" xfId="0" applyFont="1" applyBorder="1" applyAlignment="1"/>
    <xf numFmtId="0" fontId="10581" fillId="0" borderId="10581" xfId="0" applyFont="1" applyBorder="1" applyAlignment="1"/>
    <xf numFmtId="0" fontId="10582" fillId="0" borderId="10582" xfId="0" applyFont="1" applyBorder="1" applyAlignment="1"/>
    <xf numFmtId="0" fontId="10583" fillId="0" borderId="10583" xfId="0" applyFont="1" applyBorder="1" applyAlignment="1"/>
    <xf numFmtId="0" fontId="10584" fillId="0" borderId="10584" xfId="0" applyFont="1" applyBorder="1" applyAlignment="1"/>
    <xf numFmtId="0" fontId="10585" fillId="0" borderId="10585" xfId="0" applyFont="1" applyBorder="1" applyAlignment="1"/>
    <xf numFmtId="0" fontId="10586" fillId="0" borderId="10586" xfId="0" applyFont="1" applyBorder="1" applyAlignment="1"/>
    <xf numFmtId="0" fontId="10587" fillId="0" borderId="10587" xfId="0" applyFont="1" applyBorder="1" applyAlignment="1"/>
    <xf numFmtId="0" fontId="10588" fillId="0" borderId="10588" xfId="0" applyFont="1" applyBorder="1" applyAlignment="1"/>
    <xf numFmtId="0" fontId="10589" fillId="0" borderId="10589" xfId="0" applyFont="1" applyBorder="1" applyAlignment="1"/>
    <xf numFmtId="0" fontId="10590" fillId="0" borderId="10590" xfId="0" applyFont="1" applyBorder="1" applyAlignment="1"/>
    <xf numFmtId="0" fontId="10591" fillId="0" borderId="10591" xfId="0" applyFont="1" applyBorder="1" applyAlignment="1"/>
    <xf numFmtId="0" fontId="10592" fillId="0" borderId="10592" xfId="0" applyFont="1" applyBorder="1" applyAlignment="1"/>
    <xf numFmtId="0" fontId="10593" fillId="0" borderId="10593" xfId="0" applyFont="1" applyBorder="1" applyAlignment="1"/>
    <xf numFmtId="0" fontId="10594" fillId="0" borderId="10594" xfId="0" applyFont="1" applyBorder="1" applyAlignment="1"/>
    <xf numFmtId="0" fontId="10595" fillId="0" borderId="10595" xfId="0" applyFont="1" applyBorder="1" applyAlignment="1"/>
    <xf numFmtId="0" fontId="10596" fillId="0" borderId="10596" xfId="0" applyFont="1" applyBorder="1" applyAlignment="1"/>
    <xf numFmtId="0" fontId="10597" fillId="0" borderId="10597" xfId="0" applyFont="1" applyBorder="1" applyAlignment="1"/>
    <xf numFmtId="0" fontId="10598" fillId="0" borderId="10598" xfId="0" applyFont="1" applyBorder="1" applyAlignment="1"/>
    <xf numFmtId="0" fontId="10599" fillId="0" borderId="10599" xfId="0" applyFont="1" applyBorder="1" applyAlignment="1"/>
    <xf numFmtId="0" fontId="10600" fillId="0" borderId="10600" xfId="0" applyFont="1" applyBorder="1" applyAlignment="1"/>
    <xf numFmtId="0" fontId="10601" fillId="0" borderId="10601" xfId="0" applyFont="1" applyBorder="1" applyAlignment="1"/>
    <xf numFmtId="0" fontId="10602" fillId="0" borderId="10602" xfId="0" applyFont="1" applyBorder="1" applyAlignment="1"/>
    <xf numFmtId="0" fontId="10603" fillId="0" borderId="10603" xfId="0" applyFont="1" applyBorder="1" applyAlignment="1"/>
    <xf numFmtId="0" fontId="10604" fillId="0" borderId="10604" xfId="0" applyFont="1" applyBorder="1" applyAlignment="1"/>
    <xf numFmtId="0" fontId="10605" fillId="0" borderId="10605" xfId="0" applyFont="1" applyBorder="1" applyAlignment="1"/>
    <xf numFmtId="0" fontId="10606" fillId="0" borderId="10606" xfId="0" applyFont="1" applyBorder="1" applyAlignment="1"/>
    <xf numFmtId="0" fontId="10607" fillId="0" borderId="10607" xfId="0" applyFont="1" applyBorder="1" applyAlignment="1"/>
    <xf numFmtId="0" fontId="10608" fillId="0" borderId="10608" xfId="0" applyFont="1" applyBorder="1" applyAlignment="1"/>
    <xf numFmtId="0" fontId="10609" fillId="0" borderId="10609" xfId="0" applyFont="1" applyBorder="1" applyAlignment="1"/>
    <xf numFmtId="0" fontId="10610" fillId="0" borderId="10610" xfId="0" applyFont="1" applyBorder="1" applyAlignment="1"/>
    <xf numFmtId="0" fontId="10611" fillId="0" borderId="10611" xfId="0" applyFont="1" applyBorder="1" applyAlignment="1"/>
    <xf numFmtId="0" fontId="10612" fillId="0" borderId="10612" xfId="0" applyFont="1" applyBorder="1" applyAlignment="1"/>
    <xf numFmtId="0" fontId="10613" fillId="0" borderId="10613" xfId="0" applyFont="1" applyBorder="1" applyAlignment="1"/>
    <xf numFmtId="0" fontId="10614" fillId="0" borderId="10614" xfId="0" applyFont="1" applyBorder="1" applyAlignment="1"/>
    <xf numFmtId="0" fontId="10615" fillId="0" borderId="10615" xfId="0" applyFont="1" applyBorder="1" applyAlignment="1"/>
    <xf numFmtId="0" fontId="10616" fillId="0" borderId="10616" xfId="0" applyFont="1" applyBorder="1" applyAlignment="1"/>
    <xf numFmtId="0" fontId="10617" fillId="0" borderId="10617" xfId="0" applyFont="1" applyBorder="1" applyAlignment="1"/>
    <xf numFmtId="0" fontId="10618" fillId="0" borderId="10618" xfId="0" applyFont="1" applyBorder="1" applyAlignment="1"/>
    <xf numFmtId="0" fontId="10619" fillId="0" borderId="10619" xfId="0" applyFont="1" applyBorder="1" applyAlignment="1"/>
    <xf numFmtId="0" fontId="10620" fillId="0" borderId="10620" xfId="0" applyFont="1" applyBorder="1" applyAlignment="1"/>
    <xf numFmtId="0" fontId="10621" fillId="0" borderId="10621" xfId="0" applyFont="1" applyBorder="1" applyAlignment="1"/>
    <xf numFmtId="0" fontId="10622" fillId="0" borderId="10622" xfId="0" applyFont="1" applyBorder="1" applyAlignment="1"/>
    <xf numFmtId="0" fontId="10623" fillId="0" borderId="10623" xfId="0" applyFont="1" applyBorder="1" applyAlignment="1"/>
    <xf numFmtId="0" fontId="10624" fillId="0" borderId="10624" xfId="0" applyFont="1" applyBorder="1" applyAlignment="1"/>
    <xf numFmtId="0" fontId="10625" fillId="0" borderId="10625" xfId="0" applyFont="1" applyBorder="1" applyAlignment="1"/>
    <xf numFmtId="0" fontId="10626" fillId="0" borderId="10626" xfId="0" applyFont="1" applyBorder="1" applyAlignment="1"/>
    <xf numFmtId="0" fontId="10627" fillId="0" borderId="10627" xfId="0" applyFont="1" applyBorder="1" applyAlignment="1"/>
    <xf numFmtId="0" fontId="10628" fillId="0" borderId="10628" xfId="0" applyFont="1" applyBorder="1" applyAlignment="1"/>
    <xf numFmtId="0" fontId="10629" fillId="0" borderId="10629" xfId="0" applyFont="1" applyBorder="1" applyAlignment="1"/>
    <xf numFmtId="0" fontId="10630" fillId="0" borderId="10630" xfId="0" applyFont="1" applyBorder="1" applyAlignment="1"/>
    <xf numFmtId="0" fontId="10631" fillId="0" borderId="10631" xfId="0" applyFont="1" applyBorder="1" applyAlignment="1"/>
    <xf numFmtId="0" fontId="10632" fillId="0" borderId="10632" xfId="0" applyFont="1" applyBorder="1" applyAlignment="1"/>
    <xf numFmtId="0" fontId="10633" fillId="0" borderId="10633" xfId="0" applyFont="1" applyBorder="1" applyAlignment="1"/>
    <xf numFmtId="0" fontId="10634" fillId="0" borderId="10634" xfId="0" applyFont="1" applyBorder="1" applyAlignment="1"/>
    <xf numFmtId="0" fontId="10635" fillId="0" borderId="10635" xfId="0" applyFont="1" applyBorder="1" applyAlignment="1"/>
    <xf numFmtId="0" fontId="10636" fillId="0" borderId="10636" xfId="0" applyFont="1" applyBorder="1" applyAlignment="1"/>
    <xf numFmtId="0" fontId="10637" fillId="0" borderId="10637" xfId="0" applyFont="1" applyBorder="1" applyAlignment="1"/>
    <xf numFmtId="0" fontId="10638" fillId="0" borderId="10638" xfId="0" applyFont="1" applyBorder="1" applyAlignment="1"/>
    <xf numFmtId="0" fontId="10639" fillId="0" borderId="10639" xfId="0" applyFont="1" applyBorder="1" applyAlignment="1"/>
    <xf numFmtId="0" fontId="10640" fillId="0" borderId="10640" xfId="0" applyFont="1" applyBorder="1" applyAlignment="1"/>
    <xf numFmtId="0" fontId="10641" fillId="0" borderId="10641" xfId="0" applyFont="1" applyBorder="1" applyAlignment="1"/>
    <xf numFmtId="0" fontId="10642" fillId="0" borderId="10642" xfId="0" applyFont="1" applyBorder="1" applyAlignment="1"/>
    <xf numFmtId="0" fontId="10643" fillId="0" borderId="10643" xfId="0" applyFont="1" applyBorder="1" applyAlignment="1"/>
    <xf numFmtId="0" fontId="10644" fillId="0" borderId="10644" xfId="0" applyFont="1" applyBorder="1" applyAlignment="1"/>
    <xf numFmtId="0" fontId="10645" fillId="0" borderId="10645" xfId="0" applyFont="1" applyBorder="1" applyAlignment="1"/>
    <xf numFmtId="0" fontId="10646" fillId="0" borderId="10646" xfId="0" applyFont="1" applyBorder="1" applyAlignment="1"/>
    <xf numFmtId="0" fontId="10647" fillId="0" borderId="10647" xfId="0" applyFont="1" applyBorder="1" applyAlignment="1"/>
    <xf numFmtId="0" fontId="10648" fillId="0" borderId="10648" xfId="0" applyFont="1" applyBorder="1" applyAlignment="1"/>
    <xf numFmtId="0" fontId="10649" fillId="0" borderId="10649" xfId="0" applyFont="1" applyBorder="1" applyAlignment="1"/>
    <xf numFmtId="0" fontId="10650" fillId="0" borderId="10650" xfId="0" applyFont="1" applyBorder="1" applyAlignment="1"/>
    <xf numFmtId="0" fontId="10651" fillId="0" borderId="10651" xfId="0" applyFont="1" applyBorder="1" applyAlignment="1"/>
    <xf numFmtId="0" fontId="10652" fillId="0" borderId="10652" xfId="0" applyFont="1" applyBorder="1" applyAlignment="1"/>
    <xf numFmtId="0" fontId="10653" fillId="0" borderId="10653" xfId="0" applyFont="1" applyBorder="1" applyAlignment="1"/>
    <xf numFmtId="0" fontId="10654" fillId="0" borderId="10654" xfId="0" applyFont="1" applyBorder="1" applyAlignment="1"/>
    <xf numFmtId="0" fontId="10655" fillId="0" borderId="10655" xfId="0" applyFont="1" applyBorder="1" applyAlignment="1"/>
    <xf numFmtId="0" fontId="10656" fillId="0" borderId="10656" xfId="0" applyFont="1" applyBorder="1" applyAlignment="1"/>
    <xf numFmtId="0" fontId="10657" fillId="0" borderId="10657" xfId="0" applyFont="1" applyBorder="1" applyAlignment="1"/>
    <xf numFmtId="0" fontId="10658" fillId="0" borderId="10658" xfId="0" applyFont="1" applyBorder="1" applyAlignment="1"/>
    <xf numFmtId="0" fontId="10659" fillId="0" borderId="10659" xfId="0" applyFont="1" applyBorder="1" applyAlignment="1"/>
    <xf numFmtId="0" fontId="10660" fillId="0" borderId="10660" xfId="0" applyFont="1" applyBorder="1" applyAlignment="1"/>
    <xf numFmtId="0" fontId="10661" fillId="0" borderId="10661" xfId="0" applyFont="1" applyBorder="1" applyAlignment="1"/>
    <xf numFmtId="0" fontId="10662" fillId="0" borderId="10662" xfId="0" applyFont="1" applyBorder="1" applyAlignment="1"/>
    <xf numFmtId="0" fontId="10663" fillId="0" borderId="10663" xfId="0" applyFont="1" applyBorder="1" applyAlignment="1"/>
    <xf numFmtId="0" fontId="10664" fillId="0" borderId="10664" xfId="0" applyFont="1" applyBorder="1" applyAlignment="1"/>
    <xf numFmtId="0" fontId="10665" fillId="0" borderId="10665" xfId="0" applyFont="1" applyBorder="1" applyAlignment="1"/>
    <xf numFmtId="0" fontId="10666" fillId="0" borderId="10666" xfId="0" applyFont="1" applyBorder="1" applyAlignment="1"/>
    <xf numFmtId="0" fontId="10667" fillId="0" borderId="10667" xfId="0" applyFont="1" applyBorder="1" applyAlignment="1"/>
    <xf numFmtId="0" fontId="10668" fillId="0" borderId="10668" xfId="0" applyFont="1" applyBorder="1" applyAlignment="1"/>
    <xf numFmtId="0" fontId="10669" fillId="0" borderId="10669" xfId="0" applyFont="1" applyBorder="1" applyAlignment="1"/>
    <xf numFmtId="0" fontId="10670" fillId="0" borderId="10670" xfId="0" applyFont="1" applyBorder="1" applyAlignment="1"/>
    <xf numFmtId="0" fontId="10671" fillId="0" borderId="10671" xfId="0" applyFont="1" applyBorder="1" applyAlignment="1"/>
    <xf numFmtId="0" fontId="10672" fillId="0" borderId="10672" xfId="0" applyFont="1" applyBorder="1" applyAlignment="1"/>
    <xf numFmtId="0" fontId="10673" fillId="0" borderId="10673" xfId="0" applyFont="1" applyBorder="1" applyAlignment="1"/>
    <xf numFmtId="0" fontId="10674" fillId="0" borderId="10674" xfId="0" applyFont="1" applyBorder="1" applyAlignment="1"/>
    <xf numFmtId="0" fontId="10675" fillId="0" borderId="10675" xfId="0" applyFont="1" applyBorder="1" applyAlignment="1"/>
    <xf numFmtId="0" fontId="10676" fillId="0" borderId="10676" xfId="0" applyFont="1" applyBorder="1" applyAlignment="1"/>
    <xf numFmtId="0" fontId="10677" fillId="0" borderId="10677" xfId="0" applyFont="1" applyBorder="1" applyAlignment="1"/>
    <xf numFmtId="0" fontId="10678" fillId="0" borderId="10678" xfId="0" applyFont="1" applyBorder="1" applyAlignment="1"/>
    <xf numFmtId="0" fontId="10679" fillId="0" borderId="10679" xfId="0" applyFont="1" applyBorder="1" applyAlignment="1"/>
    <xf numFmtId="0" fontId="10680" fillId="0" borderId="10680" xfId="0" applyFont="1" applyBorder="1" applyAlignment="1"/>
    <xf numFmtId="0" fontId="10681" fillId="0" borderId="10681" xfId="0" applyFont="1" applyBorder="1" applyAlignment="1"/>
    <xf numFmtId="0" fontId="10682" fillId="0" borderId="10682" xfId="0" applyFont="1" applyBorder="1" applyAlignment="1"/>
    <xf numFmtId="0" fontId="10683" fillId="0" borderId="10683" xfId="0" applyFont="1" applyBorder="1" applyAlignment="1"/>
    <xf numFmtId="0" fontId="10684" fillId="0" borderId="10684" xfId="0" applyFont="1" applyBorder="1" applyAlignment="1"/>
    <xf numFmtId="0" fontId="10685" fillId="0" borderId="10685" xfId="0" applyFont="1" applyBorder="1" applyAlignment="1"/>
    <xf numFmtId="0" fontId="10686" fillId="0" borderId="10686" xfId="0" applyFont="1" applyBorder="1" applyAlignment="1"/>
    <xf numFmtId="0" fontId="10687" fillId="0" borderId="10687" xfId="0" applyFont="1" applyBorder="1" applyAlignment="1"/>
    <xf numFmtId="0" fontId="10688" fillId="0" borderId="10688" xfId="0" applyFont="1" applyBorder="1" applyAlignment="1"/>
    <xf numFmtId="0" fontId="10689" fillId="0" borderId="10689" xfId="0" applyFont="1" applyBorder="1" applyAlignment="1"/>
    <xf numFmtId="0" fontId="10690" fillId="0" borderId="10690" xfId="0" applyFont="1" applyBorder="1" applyAlignment="1"/>
    <xf numFmtId="0" fontId="10691" fillId="0" borderId="10691" xfId="0" applyFont="1" applyBorder="1" applyAlignment="1"/>
    <xf numFmtId="0" fontId="10692" fillId="0" borderId="10692" xfId="0" applyFont="1" applyBorder="1" applyAlignment="1"/>
    <xf numFmtId="0" fontId="10693" fillId="0" borderId="10693" xfId="0" applyFont="1" applyBorder="1" applyAlignment="1"/>
    <xf numFmtId="0" fontId="10694" fillId="0" borderId="10694" xfId="0" applyFont="1" applyBorder="1" applyAlignment="1"/>
    <xf numFmtId="0" fontId="10695" fillId="0" borderId="10695" xfId="0" applyFont="1" applyBorder="1" applyAlignment="1"/>
    <xf numFmtId="0" fontId="10696" fillId="0" borderId="10696" xfId="0" applyFont="1" applyBorder="1" applyAlignment="1"/>
    <xf numFmtId="0" fontId="10697" fillId="0" borderId="10697" xfId="0" applyFont="1" applyBorder="1" applyAlignment="1"/>
    <xf numFmtId="0" fontId="10698" fillId="0" borderId="10698" xfId="0" applyFont="1" applyBorder="1" applyAlignment="1"/>
    <xf numFmtId="0" fontId="10699" fillId="0" borderId="10699" xfId="0" applyFont="1" applyBorder="1" applyAlignment="1"/>
    <xf numFmtId="0" fontId="10700" fillId="0" borderId="10700" xfId="0" applyFont="1" applyBorder="1" applyAlignment="1"/>
    <xf numFmtId="0" fontId="10701" fillId="0" borderId="10701" xfId="0" applyFont="1" applyBorder="1" applyAlignment="1"/>
    <xf numFmtId="0" fontId="10702" fillId="0" borderId="10702" xfId="0" applyFont="1" applyBorder="1" applyAlignment="1"/>
    <xf numFmtId="0" fontId="10703" fillId="0" borderId="10703" xfId="0" applyFont="1" applyBorder="1" applyAlignment="1"/>
    <xf numFmtId="0" fontId="10704" fillId="0" borderId="10704" xfId="0" applyFont="1" applyBorder="1" applyAlignment="1"/>
    <xf numFmtId="0" fontId="10705" fillId="0" borderId="10705" xfId="0" applyFont="1" applyBorder="1" applyAlignment="1"/>
    <xf numFmtId="0" fontId="10706" fillId="0" borderId="10706" xfId="0" applyFont="1" applyBorder="1" applyAlignment="1"/>
    <xf numFmtId="0" fontId="10707" fillId="0" borderId="10707" xfId="0" applyFont="1" applyBorder="1" applyAlignment="1"/>
    <xf numFmtId="0" fontId="10708" fillId="0" borderId="10708" xfId="0" applyFont="1" applyBorder="1" applyAlignment="1"/>
    <xf numFmtId="0" fontId="10709" fillId="0" borderId="10709" xfId="0" applyFont="1" applyBorder="1" applyAlignment="1"/>
    <xf numFmtId="0" fontId="10710" fillId="0" borderId="10710" xfId="0" applyFont="1" applyBorder="1" applyAlignment="1"/>
    <xf numFmtId="0" fontId="10711" fillId="0" borderId="10711" xfId="0" applyFont="1" applyBorder="1" applyAlignment="1"/>
    <xf numFmtId="0" fontId="10712" fillId="0" borderId="10712" xfId="0" applyFont="1" applyBorder="1" applyAlignment="1"/>
    <xf numFmtId="0" fontId="10713" fillId="0" borderId="10713" xfId="0" applyFont="1" applyBorder="1" applyAlignment="1"/>
    <xf numFmtId="0" fontId="10714" fillId="0" borderId="10714" xfId="0" applyFont="1" applyBorder="1" applyAlignment="1"/>
    <xf numFmtId="0" fontId="10715" fillId="0" borderId="10715" xfId="0" applyFont="1" applyBorder="1" applyAlignment="1"/>
    <xf numFmtId="0" fontId="10716" fillId="0" borderId="10716" xfId="0" applyFont="1" applyBorder="1" applyAlignment="1"/>
    <xf numFmtId="0" fontId="10717" fillId="0" borderId="10717" xfId="0" applyFont="1" applyBorder="1" applyAlignment="1"/>
    <xf numFmtId="0" fontId="10718" fillId="0" borderId="10718" xfId="0" applyFont="1" applyBorder="1" applyAlignment="1"/>
    <xf numFmtId="0" fontId="10719" fillId="0" borderId="10719" xfId="0" applyFont="1" applyBorder="1" applyAlignment="1"/>
    <xf numFmtId="0" fontId="10720" fillId="0" borderId="10720" xfId="0" applyFont="1" applyBorder="1" applyAlignment="1"/>
    <xf numFmtId="0" fontId="10721" fillId="0" borderId="10721" xfId="0" applyFont="1" applyBorder="1" applyAlignment="1"/>
    <xf numFmtId="0" fontId="10722" fillId="0" borderId="10722" xfId="0" applyFont="1" applyBorder="1" applyAlignment="1"/>
    <xf numFmtId="0" fontId="10723" fillId="0" borderId="10723" xfId="0" applyFont="1" applyBorder="1" applyAlignment="1"/>
    <xf numFmtId="0" fontId="10724" fillId="0" borderId="10724" xfId="0" applyFont="1" applyBorder="1" applyAlignment="1"/>
    <xf numFmtId="0" fontId="10725" fillId="0" borderId="10725" xfId="0" applyFont="1" applyBorder="1" applyAlignment="1"/>
    <xf numFmtId="0" fontId="10726" fillId="0" borderId="10726" xfId="0" applyFont="1" applyBorder="1" applyAlignment="1"/>
    <xf numFmtId="0" fontId="10727" fillId="0" borderId="10727" xfId="0" applyFont="1" applyBorder="1" applyAlignment="1"/>
    <xf numFmtId="0" fontId="10728" fillId="0" borderId="10728" xfId="0" applyFont="1" applyBorder="1" applyAlignment="1"/>
    <xf numFmtId="0" fontId="10729" fillId="0" borderId="10729" xfId="0" applyFont="1" applyBorder="1" applyAlignment="1"/>
    <xf numFmtId="0" fontId="10730" fillId="0" borderId="10730" xfId="0" applyFont="1" applyBorder="1" applyAlignment="1"/>
    <xf numFmtId="0" fontId="10731" fillId="0" borderId="10731" xfId="0" applyFont="1" applyBorder="1" applyAlignment="1"/>
    <xf numFmtId="0" fontId="10732" fillId="0" borderId="10732" xfId="0" applyFont="1" applyBorder="1" applyAlignment="1"/>
    <xf numFmtId="0" fontId="10733" fillId="0" borderId="10733" xfId="0" applyFont="1" applyBorder="1" applyAlignment="1"/>
    <xf numFmtId="0" fontId="10734" fillId="0" borderId="10734" xfId="0" applyFont="1" applyBorder="1" applyAlignment="1"/>
    <xf numFmtId="0" fontId="10735" fillId="0" borderId="10735" xfId="0" applyFont="1" applyBorder="1" applyAlignment="1"/>
    <xf numFmtId="0" fontId="10736" fillId="0" borderId="10736" xfId="0" applyFont="1" applyBorder="1" applyAlignment="1"/>
    <xf numFmtId="0" fontId="10737" fillId="0" borderId="10737" xfId="0" applyFont="1" applyBorder="1" applyAlignment="1"/>
    <xf numFmtId="0" fontId="10738" fillId="0" borderId="10738" xfId="0" applyFont="1" applyBorder="1" applyAlignment="1"/>
    <xf numFmtId="0" fontId="10739" fillId="0" borderId="10739" xfId="0" applyFont="1" applyBorder="1" applyAlignment="1"/>
    <xf numFmtId="0" fontId="10740" fillId="0" borderId="10740" xfId="0" applyFont="1" applyBorder="1" applyAlignment="1"/>
    <xf numFmtId="0" fontId="10741" fillId="0" borderId="10741" xfId="0" applyFont="1" applyBorder="1" applyAlignment="1"/>
    <xf numFmtId="0" fontId="10742" fillId="0" borderId="10742" xfId="0" applyFont="1" applyBorder="1" applyAlignment="1"/>
    <xf numFmtId="0" fontId="10743" fillId="0" borderId="10743" xfId="0" applyFont="1" applyBorder="1" applyAlignment="1"/>
    <xf numFmtId="0" fontId="10744" fillId="0" borderId="10744" xfId="0" applyFont="1" applyBorder="1" applyAlignment="1"/>
    <xf numFmtId="0" fontId="10745" fillId="0" borderId="10745" xfId="0" applyFont="1" applyBorder="1" applyAlignment="1"/>
    <xf numFmtId="0" fontId="10746" fillId="0" borderId="10746" xfId="0" applyFont="1" applyBorder="1" applyAlignment="1"/>
    <xf numFmtId="0" fontId="10747" fillId="0" borderId="10747" xfId="0" applyFont="1" applyBorder="1" applyAlignment="1"/>
    <xf numFmtId="0" fontId="10748" fillId="0" borderId="10748" xfId="0" applyFont="1" applyBorder="1" applyAlignment="1"/>
    <xf numFmtId="0" fontId="10749" fillId="0" borderId="10749" xfId="0" applyFont="1" applyBorder="1" applyAlignment="1"/>
    <xf numFmtId="0" fontId="10750" fillId="0" borderId="10750" xfId="0" applyFont="1" applyBorder="1" applyAlignment="1"/>
    <xf numFmtId="0" fontId="10751" fillId="0" borderId="10751" xfId="0" applyFont="1" applyBorder="1" applyAlignment="1"/>
    <xf numFmtId="0" fontId="10752" fillId="0" borderId="10752" xfId="0" applyFont="1" applyBorder="1" applyAlignment="1"/>
    <xf numFmtId="0" fontId="10753" fillId="0" borderId="10753" xfId="0" applyFont="1" applyBorder="1" applyAlignment="1"/>
    <xf numFmtId="0" fontId="10754" fillId="0" borderId="10754" xfId="0" applyFont="1" applyBorder="1" applyAlignment="1"/>
    <xf numFmtId="0" fontId="10755" fillId="0" borderId="10755" xfId="0" applyFont="1" applyBorder="1" applyAlignment="1"/>
    <xf numFmtId="0" fontId="10756" fillId="0" borderId="10756" xfId="0" applyFont="1" applyBorder="1" applyAlignment="1"/>
    <xf numFmtId="0" fontId="10757" fillId="0" borderId="10757" xfId="0" applyFont="1" applyBorder="1" applyAlignment="1"/>
    <xf numFmtId="0" fontId="10758" fillId="0" borderId="10758" xfId="0" applyFont="1" applyBorder="1" applyAlignment="1"/>
    <xf numFmtId="0" fontId="10759" fillId="0" borderId="10759" xfId="0" applyFont="1" applyBorder="1" applyAlignment="1"/>
    <xf numFmtId="0" fontId="10760" fillId="0" borderId="10760" xfId="0" applyFont="1" applyBorder="1" applyAlignment="1"/>
    <xf numFmtId="0" fontId="10761" fillId="0" borderId="10761" xfId="0" applyFont="1" applyBorder="1" applyAlignment="1"/>
    <xf numFmtId="0" fontId="10762" fillId="0" borderId="10762" xfId="0" applyFont="1" applyBorder="1" applyAlignment="1"/>
    <xf numFmtId="0" fontId="10763" fillId="0" borderId="10763" xfId="0" applyFont="1" applyBorder="1" applyAlignment="1"/>
    <xf numFmtId="0" fontId="10764" fillId="0" borderId="10764" xfId="0" applyFont="1" applyBorder="1" applyAlignment="1"/>
    <xf numFmtId="0" fontId="10765" fillId="0" borderId="10765" xfId="0" applyFont="1" applyBorder="1" applyAlignment="1"/>
    <xf numFmtId="0" fontId="10766" fillId="0" borderId="10766" xfId="0" applyFont="1" applyBorder="1" applyAlignment="1"/>
    <xf numFmtId="0" fontId="10767" fillId="0" borderId="10767" xfId="0" applyFont="1" applyBorder="1" applyAlignment="1"/>
    <xf numFmtId="0" fontId="10768" fillId="0" borderId="10768" xfId="0" applyFont="1" applyBorder="1" applyAlignment="1"/>
    <xf numFmtId="0" fontId="10769" fillId="0" borderId="10769" xfId="0" applyFont="1" applyBorder="1" applyAlignment="1"/>
    <xf numFmtId="0" fontId="10770" fillId="0" borderId="10770" xfId="0" applyFont="1" applyBorder="1" applyAlignment="1"/>
    <xf numFmtId="0" fontId="10771" fillId="0" borderId="10771" xfId="0" applyFont="1" applyBorder="1" applyAlignment="1"/>
    <xf numFmtId="0" fontId="10772" fillId="0" borderId="10772" xfId="0" applyFont="1" applyBorder="1" applyAlignment="1"/>
    <xf numFmtId="0" fontId="10773" fillId="0" borderId="10773" xfId="0" applyFont="1" applyBorder="1" applyAlignment="1"/>
    <xf numFmtId="0" fontId="10774" fillId="0" borderId="10774" xfId="0" applyFont="1" applyBorder="1" applyAlignment="1"/>
    <xf numFmtId="0" fontId="10775" fillId="0" borderId="10775" xfId="0" applyFont="1" applyBorder="1" applyAlignment="1"/>
    <xf numFmtId="0" fontId="10776" fillId="0" borderId="10776" xfId="0" applyFont="1" applyBorder="1" applyAlignment="1"/>
    <xf numFmtId="0" fontId="10777" fillId="0" borderId="10777" xfId="0" applyFont="1" applyBorder="1" applyAlignment="1"/>
    <xf numFmtId="0" fontId="10778" fillId="0" borderId="10778" xfId="0" applyFont="1" applyBorder="1" applyAlignment="1"/>
    <xf numFmtId="0" fontId="10779" fillId="0" borderId="10779" xfId="0" applyFont="1" applyBorder="1" applyAlignment="1"/>
    <xf numFmtId="0" fontId="10780" fillId="0" borderId="10780" xfId="0" applyFont="1" applyBorder="1" applyAlignment="1"/>
    <xf numFmtId="0" fontId="10781" fillId="0" borderId="10781" xfId="0" applyFont="1" applyBorder="1" applyAlignment="1"/>
    <xf numFmtId="0" fontId="10782" fillId="0" borderId="10782" xfId="0" applyFont="1" applyBorder="1" applyAlignment="1"/>
    <xf numFmtId="0" fontId="10783" fillId="0" borderId="10783" xfId="0" applyFont="1" applyBorder="1" applyAlignment="1"/>
    <xf numFmtId="0" fontId="10784" fillId="0" borderId="10784" xfId="0" applyFont="1" applyBorder="1" applyAlignment="1"/>
    <xf numFmtId="0" fontId="10785" fillId="0" borderId="10785" xfId="0" applyFont="1" applyBorder="1" applyAlignment="1"/>
    <xf numFmtId="0" fontId="10786" fillId="0" borderId="10786" xfId="0" applyFont="1" applyBorder="1" applyAlignment="1"/>
    <xf numFmtId="0" fontId="10787" fillId="0" borderId="10787" xfId="0" applyFont="1" applyBorder="1" applyAlignment="1"/>
    <xf numFmtId="0" fontId="10788" fillId="0" borderId="10788" xfId="0" applyFont="1" applyBorder="1" applyAlignment="1"/>
    <xf numFmtId="0" fontId="10789" fillId="0" borderId="10789" xfId="0" applyFont="1" applyBorder="1" applyAlignment="1"/>
    <xf numFmtId="0" fontId="10790" fillId="0" borderId="10790" xfId="0" applyFont="1" applyBorder="1" applyAlignment="1"/>
    <xf numFmtId="0" fontId="10791" fillId="0" borderId="10791" xfId="0" applyFont="1" applyBorder="1" applyAlignment="1"/>
    <xf numFmtId="0" fontId="10792" fillId="0" borderId="10792" xfId="0" applyFont="1" applyBorder="1" applyAlignment="1"/>
    <xf numFmtId="0" fontId="10793" fillId="0" borderId="10793" xfId="0" applyFont="1" applyBorder="1" applyAlignment="1"/>
    <xf numFmtId="0" fontId="10794" fillId="0" borderId="10794" xfId="0" applyFont="1" applyBorder="1" applyAlignment="1"/>
    <xf numFmtId="0" fontId="10795" fillId="0" borderId="10795" xfId="0" applyFont="1" applyBorder="1" applyAlignment="1"/>
    <xf numFmtId="0" fontId="10796" fillId="0" borderId="10796" xfId="0" applyFont="1" applyBorder="1" applyAlignment="1"/>
    <xf numFmtId="0" fontId="10797" fillId="0" borderId="10797" xfId="0" applyFont="1" applyBorder="1" applyAlignment="1"/>
    <xf numFmtId="0" fontId="10798" fillId="0" borderId="10798" xfId="0" applyFont="1" applyBorder="1" applyAlignment="1"/>
    <xf numFmtId="0" fontId="10799" fillId="0" borderId="10799" xfId="0" applyFont="1" applyBorder="1" applyAlignment="1"/>
    <xf numFmtId="0" fontId="10800" fillId="0" borderId="10800" xfId="0" applyFont="1" applyBorder="1" applyAlignment="1"/>
    <xf numFmtId="0" fontId="10801" fillId="0" borderId="10801" xfId="0" applyFont="1" applyBorder="1" applyAlignment="1"/>
    <xf numFmtId="0" fontId="10802" fillId="0" borderId="10802" xfId="0" applyFont="1" applyBorder="1" applyAlignment="1"/>
    <xf numFmtId="0" fontId="10803" fillId="0" borderId="10803" xfId="0" applyFont="1" applyBorder="1" applyAlignment="1"/>
    <xf numFmtId="0" fontId="10804" fillId="0" borderId="10804" xfId="0" applyFont="1" applyBorder="1" applyAlignment="1"/>
    <xf numFmtId="0" fontId="10805" fillId="0" borderId="10805" xfId="0" applyFont="1" applyBorder="1" applyAlignment="1"/>
    <xf numFmtId="0" fontId="10806" fillId="0" borderId="10806" xfId="0" applyFont="1" applyBorder="1" applyAlignment="1"/>
    <xf numFmtId="0" fontId="10807" fillId="0" borderId="10807" xfId="0" applyFont="1" applyBorder="1" applyAlignment="1"/>
    <xf numFmtId="0" fontId="10808" fillId="0" borderId="10808" xfId="0" applyFont="1" applyBorder="1" applyAlignment="1"/>
    <xf numFmtId="0" fontId="10809" fillId="0" borderId="10809" xfId="0" applyFont="1" applyBorder="1" applyAlignment="1"/>
    <xf numFmtId="0" fontId="10810" fillId="0" borderId="10810" xfId="0" applyFont="1" applyBorder="1" applyAlignment="1"/>
    <xf numFmtId="0" fontId="10811" fillId="0" borderId="10811" xfId="0" applyFont="1" applyBorder="1" applyAlignment="1"/>
    <xf numFmtId="0" fontId="10812" fillId="0" borderId="10812" xfId="0" applyFont="1" applyBorder="1" applyAlignment="1"/>
    <xf numFmtId="0" fontId="10813" fillId="0" borderId="10813" xfId="0" applyFont="1" applyBorder="1" applyAlignment="1"/>
    <xf numFmtId="0" fontId="10814" fillId="0" borderId="10814" xfId="0" applyFont="1" applyBorder="1" applyAlignment="1"/>
    <xf numFmtId="0" fontId="10815" fillId="0" borderId="10815" xfId="0" applyFont="1" applyBorder="1" applyAlignment="1"/>
    <xf numFmtId="0" fontId="10816" fillId="0" borderId="10816" xfId="0" applyFont="1" applyBorder="1" applyAlignment="1"/>
    <xf numFmtId="0" fontId="10817" fillId="0" borderId="10817" xfId="0" applyFont="1" applyBorder="1" applyAlignment="1"/>
    <xf numFmtId="0" fontId="10818" fillId="0" borderId="10818" xfId="0" applyFont="1" applyBorder="1" applyAlignment="1"/>
    <xf numFmtId="0" fontId="10819" fillId="0" borderId="10819" xfId="0" applyFont="1" applyBorder="1" applyAlignment="1"/>
    <xf numFmtId="0" fontId="10820" fillId="0" borderId="10820" xfId="0" applyFont="1" applyBorder="1" applyAlignment="1"/>
    <xf numFmtId="0" fontId="10821" fillId="0" borderId="10821" xfId="0" applyFont="1" applyBorder="1" applyAlignment="1"/>
    <xf numFmtId="0" fontId="10822" fillId="0" borderId="10822" xfId="0" applyFont="1" applyBorder="1" applyAlignment="1"/>
    <xf numFmtId="0" fontId="10823" fillId="0" borderId="10823" xfId="0" applyFont="1" applyBorder="1" applyAlignment="1"/>
    <xf numFmtId="0" fontId="10824" fillId="0" borderId="10824" xfId="0" applyFont="1" applyBorder="1" applyAlignment="1"/>
    <xf numFmtId="0" fontId="10825" fillId="0" borderId="10825" xfId="0" applyFont="1" applyBorder="1" applyAlignment="1"/>
    <xf numFmtId="0" fontId="10826" fillId="0" borderId="10826" xfId="0" applyFont="1" applyBorder="1" applyAlignment="1"/>
    <xf numFmtId="0" fontId="10827" fillId="0" borderId="10827" xfId="0" applyFont="1" applyBorder="1" applyAlignment="1"/>
    <xf numFmtId="0" fontId="10828" fillId="0" borderId="10828" xfId="0" applyFont="1" applyBorder="1" applyAlignment="1"/>
    <xf numFmtId="0" fontId="10829" fillId="0" borderId="10829" xfId="0" applyFont="1" applyBorder="1" applyAlignment="1"/>
    <xf numFmtId="0" fontId="10830" fillId="0" borderId="10830" xfId="0" applyFont="1" applyBorder="1" applyAlignment="1"/>
    <xf numFmtId="0" fontId="10831" fillId="0" borderId="10831" xfId="0" applyFont="1" applyBorder="1" applyAlignment="1"/>
    <xf numFmtId="0" fontId="10832" fillId="0" borderId="10832" xfId="0" applyFont="1" applyBorder="1" applyAlignment="1"/>
    <xf numFmtId="0" fontId="10833" fillId="0" borderId="10833" xfId="0" applyFont="1" applyBorder="1" applyAlignment="1"/>
    <xf numFmtId="0" fontId="10834" fillId="0" borderId="10834" xfId="0" applyFont="1" applyBorder="1" applyAlignment="1"/>
    <xf numFmtId="0" fontId="10835" fillId="0" borderId="10835" xfId="0" applyFont="1" applyBorder="1" applyAlignment="1"/>
    <xf numFmtId="0" fontId="10836" fillId="0" borderId="10836" xfId="0" applyFont="1" applyBorder="1" applyAlignment="1"/>
    <xf numFmtId="0" fontId="10837" fillId="0" borderId="10837" xfId="0" applyFont="1" applyBorder="1" applyAlignment="1"/>
    <xf numFmtId="0" fontId="10838" fillId="0" borderId="10838" xfId="0" applyFont="1" applyBorder="1" applyAlignment="1"/>
    <xf numFmtId="0" fontId="10839" fillId="0" borderId="10839" xfId="0" applyFont="1" applyBorder="1" applyAlignment="1"/>
    <xf numFmtId="0" fontId="10840" fillId="0" borderId="10840" xfId="0" applyFont="1" applyBorder="1" applyAlignment="1"/>
    <xf numFmtId="0" fontId="10841" fillId="0" borderId="10841" xfId="0" applyFont="1" applyBorder="1" applyAlignment="1"/>
    <xf numFmtId="0" fontId="10842" fillId="0" borderId="10842" xfId="0" applyFont="1" applyBorder="1" applyAlignment="1"/>
    <xf numFmtId="0" fontId="10843" fillId="0" borderId="10843" xfId="0" applyFont="1" applyBorder="1" applyAlignment="1"/>
    <xf numFmtId="0" fontId="10844" fillId="0" borderId="10844" xfId="0" applyFont="1" applyBorder="1" applyAlignment="1"/>
    <xf numFmtId="0" fontId="10845" fillId="0" borderId="10845" xfId="0" applyFont="1" applyBorder="1" applyAlignment="1"/>
    <xf numFmtId="0" fontId="10846" fillId="0" borderId="10846" xfId="0" applyFont="1" applyBorder="1" applyAlignment="1"/>
    <xf numFmtId="0" fontId="10847" fillId="0" borderId="10847" xfId="0" applyFont="1" applyBorder="1" applyAlignment="1"/>
    <xf numFmtId="0" fontId="10848" fillId="0" borderId="10848" xfId="0" applyFont="1" applyBorder="1" applyAlignment="1"/>
    <xf numFmtId="0" fontId="10849" fillId="0" borderId="10849" xfId="0" applyFont="1" applyBorder="1" applyAlignment="1"/>
    <xf numFmtId="0" fontId="10850" fillId="0" borderId="10850" xfId="0" applyFont="1" applyBorder="1" applyAlignment="1"/>
    <xf numFmtId="0" fontId="10851" fillId="0" borderId="10851" xfId="0" applyFont="1" applyBorder="1" applyAlignment="1"/>
    <xf numFmtId="0" fontId="10852" fillId="0" borderId="10852" xfId="0" applyFont="1" applyBorder="1" applyAlignment="1"/>
    <xf numFmtId="0" fontId="10853" fillId="0" borderId="10853" xfId="0" applyFont="1" applyBorder="1" applyAlignment="1"/>
    <xf numFmtId="0" fontId="10854" fillId="0" borderId="10854" xfId="0" applyFont="1" applyBorder="1" applyAlignment="1"/>
    <xf numFmtId="0" fontId="10855" fillId="0" borderId="10855" xfId="0" applyFont="1" applyBorder="1" applyAlignment="1"/>
    <xf numFmtId="0" fontId="10856" fillId="0" borderId="10856" xfId="0" applyFont="1" applyBorder="1" applyAlignment="1"/>
    <xf numFmtId="0" fontId="10857" fillId="0" borderId="10857" xfId="0" applyFont="1" applyBorder="1" applyAlignment="1"/>
    <xf numFmtId="0" fontId="10858" fillId="0" borderId="10858" xfId="0" applyFont="1" applyBorder="1" applyAlignment="1"/>
    <xf numFmtId="0" fontId="10859" fillId="0" borderId="10859" xfId="0" applyFont="1" applyBorder="1" applyAlignment="1"/>
    <xf numFmtId="0" fontId="10860" fillId="0" borderId="10860" xfId="0" applyFont="1" applyBorder="1" applyAlignment="1"/>
    <xf numFmtId="0" fontId="10861" fillId="0" borderId="10861" xfId="0" applyFont="1" applyBorder="1" applyAlignment="1"/>
    <xf numFmtId="0" fontId="10862" fillId="0" borderId="10862" xfId="0" applyFont="1" applyBorder="1" applyAlignment="1"/>
    <xf numFmtId="0" fontId="10863" fillId="0" borderId="10863" xfId="0" applyFont="1" applyBorder="1" applyAlignment="1"/>
    <xf numFmtId="0" fontId="10864" fillId="0" borderId="10864" xfId="0" applyFont="1" applyBorder="1" applyAlignment="1"/>
    <xf numFmtId="0" fontId="10865" fillId="0" borderId="10865" xfId="0" applyFont="1" applyBorder="1" applyAlignment="1"/>
    <xf numFmtId="0" fontId="10866" fillId="0" borderId="10866" xfId="0" applyFont="1" applyBorder="1" applyAlignment="1"/>
    <xf numFmtId="0" fontId="10867" fillId="0" borderId="10867" xfId="0" applyFont="1" applyBorder="1" applyAlignment="1"/>
    <xf numFmtId="0" fontId="10868" fillId="0" borderId="10868" xfId="0" applyFont="1" applyBorder="1" applyAlignment="1"/>
    <xf numFmtId="0" fontId="10869" fillId="0" borderId="10869" xfId="0" applyFont="1" applyBorder="1" applyAlignment="1"/>
    <xf numFmtId="0" fontId="10870" fillId="0" borderId="10870" xfId="0" applyFont="1" applyBorder="1" applyAlignment="1"/>
    <xf numFmtId="0" fontId="10871" fillId="0" borderId="10871" xfId="0" applyFont="1" applyBorder="1" applyAlignment="1"/>
    <xf numFmtId="0" fontId="10872" fillId="0" borderId="10872" xfId="0" applyFont="1" applyBorder="1" applyAlignment="1"/>
    <xf numFmtId="0" fontId="10873" fillId="0" borderId="10873" xfId="0" applyFont="1" applyBorder="1" applyAlignment="1"/>
    <xf numFmtId="0" fontId="10874" fillId="0" borderId="10874" xfId="0" applyFont="1" applyBorder="1" applyAlignment="1"/>
    <xf numFmtId="0" fontId="10875" fillId="0" borderId="10875" xfId="0" applyFont="1" applyBorder="1" applyAlignment="1"/>
    <xf numFmtId="0" fontId="10876" fillId="0" borderId="10876" xfId="0" applyFont="1" applyBorder="1" applyAlignment="1"/>
    <xf numFmtId="0" fontId="10877" fillId="0" borderId="10877" xfId="0" applyFont="1" applyBorder="1" applyAlignment="1"/>
    <xf numFmtId="0" fontId="10878" fillId="0" borderId="10878" xfId="0" applyFont="1" applyBorder="1" applyAlignment="1"/>
    <xf numFmtId="0" fontId="10879" fillId="0" borderId="10879" xfId="0" applyFont="1" applyBorder="1" applyAlignment="1"/>
    <xf numFmtId="0" fontId="10880" fillId="0" borderId="10880" xfId="0" applyFont="1" applyBorder="1" applyAlignment="1"/>
    <xf numFmtId="0" fontId="10881" fillId="0" borderId="10881" xfId="0" applyFont="1" applyBorder="1" applyAlignment="1"/>
    <xf numFmtId="0" fontId="10882" fillId="0" borderId="10882" xfId="0" applyFont="1" applyBorder="1" applyAlignment="1"/>
    <xf numFmtId="0" fontId="10883" fillId="0" borderId="10883" xfId="0" applyFont="1" applyBorder="1" applyAlignment="1"/>
    <xf numFmtId="0" fontId="10884" fillId="0" borderId="10884" xfId="0" applyFont="1" applyBorder="1" applyAlignment="1"/>
    <xf numFmtId="0" fontId="10885" fillId="0" borderId="10885" xfId="0" applyFont="1" applyBorder="1" applyAlignment="1"/>
    <xf numFmtId="0" fontId="10886" fillId="0" borderId="10886" xfId="0" applyFont="1" applyBorder="1" applyAlignment="1"/>
    <xf numFmtId="0" fontId="10887" fillId="0" borderId="10887" xfId="0" applyFont="1" applyBorder="1" applyAlignment="1"/>
    <xf numFmtId="0" fontId="10888" fillId="0" borderId="10888" xfId="0" applyFont="1" applyBorder="1" applyAlignment="1"/>
    <xf numFmtId="0" fontId="10889" fillId="0" borderId="10889" xfId="0" applyFont="1" applyBorder="1" applyAlignment="1"/>
    <xf numFmtId="0" fontId="10890" fillId="0" borderId="10890" xfId="0" applyFont="1" applyBorder="1" applyAlignment="1"/>
    <xf numFmtId="0" fontId="10891" fillId="0" borderId="10891" xfId="0" applyFont="1" applyBorder="1" applyAlignment="1"/>
    <xf numFmtId="0" fontId="10892" fillId="0" borderId="10892" xfId="0" applyFont="1" applyBorder="1" applyAlignment="1"/>
    <xf numFmtId="0" fontId="10893" fillId="0" borderId="10893" xfId="0" applyFont="1" applyBorder="1" applyAlignment="1"/>
    <xf numFmtId="0" fontId="10894" fillId="0" borderId="10894" xfId="0" applyFont="1" applyBorder="1" applyAlignment="1"/>
    <xf numFmtId="0" fontId="10895" fillId="0" borderId="10895" xfId="0" applyFont="1" applyBorder="1" applyAlignment="1"/>
    <xf numFmtId="0" fontId="10896" fillId="0" borderId="10896" xfId="0" applyFont="1" applyBorder="1" applyAlignment="1"/>
    <xf numFmtId="0" fontId="10897" fillId="0" borderId="10897" xfId="0" applyFont="1" applyBorder="1" applyAlignment="1"/>
    <xf numFmtId="0" fontId="10898" fillId="0" borderId="10898" xfId="0" applyFont="1" applyBorder="1" applyAlignment="1"/>
    <xf numFmtId="0" fontId="10899" fillId="0" borderId="10899" xfId="0" applyFont="1" applyBorder="1" applyAlignment="1"/>
    <xf numFmtId="0" fontId="10900" fillId="0" borderId="10900" xfId="0" applyFont="1" applyBorder="1" applyAlignment="1"/>
    <xf numFmtId="0" fontId="10901" fillId="0" borderId="10901" xfId="0" applyFont="1" applyBorder="1" applyAlignment="1"/>
    <xf numFmtId="0" fontId="10902" fillId="0" borderId="10902" xfId="0" applyFont="1" applyBorder="1" applyAlignment="1"/>
    <xf numFmtId="0" fontId="10903" fillId="0" borderId="10903" xfId="0" applyFont="1" applyBorder="1" applyAlignment="1"/>
    <xf numFmtId="0" fontId="10904" fillId="0" borderId="10904" xfId="0" applyFont="1" applyBorder="1" applyAlignment="1"/>
    <xf numFmtId="0" fontId="10905" fillId="0" borderId="10905" xfId="0" applyFont="1" applyBorder="1" applyAlignment="1"/>
    <xf numFmtId="0" fontId="10906" fillId="0" borderId="10906" xfId="0" applyFont="1" applyBorder="1" applyAlignment="1"/>
    <xf numFmtId="0" fontId="10907" fillId="0" borderId="10907" xfId="0" applyFont="1" applyBorder="1" applyAlignment="1"/>
    <xf numFmtId="0" fontId="10908" fillId="0" borderId="10908" xfId="0" applyFont="1" applyBorder="1" applyAlignment="1"/>
    <xf numFmtId="0" fontId="10909" fillId="0" borderId="10909" xfId="0" applyFont="1" applyBorder="1" applyAlignment="1"/>
    <xf numFmtId="0" fontId="10910" fillId="0" borderId="10910" xfId="0" applyFont="1" applyBorder="1" applyAlignment="1"/>
    <xf numFmtId="0" fontId="10911" fillId="0" borderId="10911" xfId="0" applyFont="1" applyBorder="1" applyAlignment="1"/>
    <xf numFmtId="0" fontId="10912" fillId="0" borderId="10912" xfId="0" applyFont="1" applyBorder="1" applyAlignment="1"/>
    <xf numFmtId="0" fontId="10913" fillId="0" borderId="10913" xfId="0" applyFont="1" applyBorder="1" applyAlignment="1"/>
    <xf numFmtId="0" fontId="10914" fillId="0" borderId="10914" xfId="0" applyFont="1" applyBorder="1" applyAlignment="1"/>
    <xf numFmtId="0" fontId="10915" fillId="0" borderId="10915" xfId="0" applyFont="1" applyBorder="1" applyAlignment="1"/>
    <xf numFmtId="0" fontId="10916" fillId="0" borderId="10916" xfId="0" applyFont="1" applyBorder="1" applyAlignment="1"/>
    <xf numFmtId="0" fontId="10917" fillId="0" borderId="10917" xfId="0" applyFont="1" applyBorder="1" applyAlignment="1"/>
    <xf numFmtId="0" fontId="10918" fillId="0" borderId="10918" xfId="0" applyFont="1" applyBorder="1" applyAlignment="1"/>
    <xf numFmtId="0" fontId="10919" fillId="0" borderId="10919" xfId="0" applyFont="1" applyBorder="1" applyAlignment="1"/>
    <xf numFmtId="0" fontId="10920" fillId="0" borderId="10920" xfId="0" applyFont="1" applyBorder="1" applyAlignment="1"/>
    <xf numFmtId="0" fontId="10921" fillId="0" borderId="10921" xfId="0" applyFont="1" applyBorder="1" applyAlignment="1"/>
    <xf numFmtId="0" fontId="10922" fillId="0" borderId="10922" xfId="0" applyFont="1" applyBorder="1" applyAlignment="1"/>
    <xf numFmtId="0" fontId="10923" fillId="0" borderId="10923" xfId="0" applyFont="1" applyBorder="1" applyAlignment="1"/>
    <xf numFmtId="0" fontId="10924" fillId="0" borderId="10924" xfId="0" applyFont="1" applyBorder="1" applyAlignment="1"/>
    <xf numFmtId="0" fontId="10925" fillId="0" borderId="10925" xfId="0" applyFont="1" applyBorder="1" applyAlignment="1"/>
    <xf numFmtId="0" fontId="10926" fillId="0" borderId="10926" xfId="0" applyFont="1" applyBorder="1" applyAlignment="1"/>
    <xf numFmtId="0" fontId="10927" fillId="0" borderId="10927" xfId="0" applyFont="1" applyBorder="1" applyAlignment="1"/>
    <xf numFmtId="0" fontId="10928" fillId="0" borderId="10928" xfId="0" applyFont="1" applyBorder="1" applyAlignment="1"/>
    <xf numFmtId="0" fontId="10929" fillId="0" borderId="10929" xfId="0" applyFont="1" applyBorder="1" applyAlignment="1"/>
    <xf numFmtId="0" fontId="10930" fillId="0" borderId="10930" xfId="0" applyFont="1" applyBorder="1" applyAlignment="1"/>
    <xf numFmtId="0" fontId="10931" fillId="0" borderId="10931" xfId="0" applyFont="1" applyBorder="1" applyAlignment="1"/>
    <xf numFmtId="0" fontId="10932" fillId="0" borderId="10932" xfId="0" applyFont="1" applyBorder="1" applyAlignment="1"/>
    <xf numFmtId="0" fontId="10933" fillId="0" borderId="10933" xfId="0" applyFont="1" applyBorder="1" applyAlignment="1"/>
    <xf numFmtId="0" fontId="10934" fillId="0" borderId="10934" xfId="0" applyFont="1" applyBorder="1" applyAlignment="1"/>
    <xf numFmtId="0" fontId="10935" fillId="0" borderId="10935" xfId="0" applyFont="1" applyBorder="1" applyAlignment="1"/>
    <xf numFmtId="0" fontId="10936" fillId="0" borderId="10936" xfId="0" applyFont="1" applyBorder="1" applyAlignment="1"/>
    <xf numFmtId="0" fontId="10937" fillId="0" borderId="10937" xfId="0" applyFont="1" applyBorder="1" applyAlignment="1"/>
    <xf numFmtId="0" fontId="10938" fillId="0" borderId="10938" xfId="0" applyFont="1" applyBorder="1" applyAlignment="1"/>
    <xf numFmtId="0" fontId="10939" fillId="0" borderId="10939" xfId="0" applyFont="1" applyBorder="1" applyAlignment="1"/>
    <xf numFmtId="0" fontId="10940" fillId="0" borderId="10940" xfId="0" applyFont="1" applyBorder="1" applyAlignment="1"/>
    <xf numFmtId="0" fontId="10941" fillId="0" borderId="10941" xfId="0" applyFont="1" applyBorder="1" applyAlignment="1"/>
    <xf numFmtId="0" fontId="10942" fillId="0" borderId="10942" xfId="0" applyFont="1" applyBorder="1" applyAlignment="1"/>
    <xf numFmtId="0" fontId="10943" fillId="0" borderId="10943" xfId="0" applyFont="1" applyBorder="1" applyAlignment="1"/>
    <xf numFmtId="0" fontId="10944" fillId="0" borderId="10944" xfId="0" applyFont="1" applyBorder="1" applyAlignment="1"/>
    <xf numFmtId="0" fontId="10945" fillId="0" borderId="10945" xfId="0" applyFont="1" applyBorder="1" applyAlignment="1"/>
    <xf numFmtId="0" fontId="10946" fillId="0" borderId="10946" xfId="0" applyFont="1" applyBorder="1" applyAlignment="1"/>
    <xf numFmtId="0" fontId="10947" fillId="0" borderId="10947" xfId="0" applyFont="1" applyBorder="1" applyAlignment="1"/>
    <xf numFmtId="0" fontId="10948" fillId="0" borderId="10948" xfId="0" applyFont="1" applyBorder="1" applyAlignment="1"/>
    <xf numFmtId="0" fontId="10949" fillId="0" borderId="10949" xfId="0" applyFont="1" applyBorder="1" applyAlignment="1"/>
    <xf numFmtId="0" fontId="10950" fillId="0" borderId="10950" xfId="0" applyFont="1" applyBorder="1" applyAlignment="1"/>
    <xf numFmtId="0" fontId="10951" fillId="0" borderId="10951" xfId="0" applyFont="1" applyBorder="1" applyAlignment="1"/>
    <xf numFmtId="0" fontId="10952" fillId="0" borderId="10952" xfId="0" applyFont="1" applyBorder="1" applyAlignment="1"/>
    <xf numFmtId="0" fontId="10953" fillId="0" borderId="10953" xfId="0" applyFont="1" applyBorder="1" applyAlignment="1"/>
    <xf numFmtId="0" fontId="10954" fillId="0" borderId="10954" xfId="0" applyFont="1" applyBorder="1" applyAlignment="1"/>
    <xf numFmtId="0" fontId="10955" fillId="0" borderId="10955" xfId="0" applyFont="1" applyBorder="1" applyAlignment="1"/>
    <xf numFmtId="0" fontId="10956" fillId="0" borderId="10956" xfId="0" applyFont="1" applyBorder="1" applyAlignment="1"/>
    <xf numFmtId="0" fontId="10957" fillId="0" borderId="10957" xfId="0" applyFont="1" applyBorder="1" applyAlignment="1"/>
    <xf numFmtId="0" fontId="10958" fillId="0" borderId="10958" xfId="0" applyFont="1" applyBorder="1" applyAlignment="1"/>
    <xf numFmtId="0" fontId="10959" fillId="0" borderId="10959" xfId="0" applyFont="1" applyBorder="1" applyAlignment="1"/>
    <xf numFmtId="0" fontId="10960" fillId="0" borderId="10960" xfId="0" applyFont="1" applyBorder="1" applyAlignment="1"/>
    <xf numFmtId="0" fontId="10961" fillId="0" borderId="10961" xfId="0" applyFont="1" applyBorder="1" applyAlignment="1"/>
    <xf numFmtId="0" fontId="10962" fillId="0" borderId="10962" xfId="0" applyFont="1" applyBorder="1" applyAlignment="1"/>
    <xf numFmtId="0" fontId="10963" fillId="0" borderId="10963" xfId="0" applyFont="1" applyBorder="1" applyAlignment="1"/>
    <xf numFmtId="0" fontId="10964" fillId="0" borderId="10964" xfId="0" applyFont="1" applyBorder="1" applyAlignment="1"/>
    <xf numFmtId="0" fontId="10965" fillId="0" borderId="10965" xfId="0" applyFont="1" applyBorder="1" applyAlignment="1"/>
    <xf numFmtId="0" fontId="10966" fillId="0" borderId="10966" xfId="0" applyFont="1" applyBorder="1" applyAlignment="1"/>
    <xf numFmtId="0" fontId="10967" fillId="0" borderId="10967" xfId="0" applyFont="1" applyBorder="1" applyAlignment="1"/>
    <xf numFmtId="0" fontId="10968" fillId="0" borderId="10968" xfId="0" applyFont="1" applyBorder="1" applyAlignment="1"/>
    <xf numFmtId="0" fontId="10969" fillId="0" borderId="10969" xfId="0" applyFont="1" applyBorder="1" applyAlignment="1"/>
    <xf numFmtId="0" fontId="10970" fillId="0" borderId="10970" xfId="0" applyFont="1" applyBorder="1" applyAlignment="1"/>
    <xf numFmtId="0" fontId="10971" fillId="0" borderId="10971" xfId="0" applyFont="1" applyBorder="1" applyAlignment="1"/>
    <xf numFmtId="0" fontId="10972" fillId="0" borderId="10972" xfId="0" applyFont="1" applyBorder="1" applyAlignment="1"/>
    <xf numFmtId="0" fontId="10973" fillId="0" borderId="10973" xfId="0" applyFont="1" applyBorder="1" applyAlignment="1"/>
    <xf numFmtId="0" fontId="10974" fillId="0" borderId="10974" xfId="0" applyFont="1" applyBorder="1" applyAlignment="1"/>
    <xf numFmtId="0" fontId="10975" fillId="0" borderId="10975" xfId="0" applyFont="1" applyBorder="1" applyAlignment="1"/>
    <xf numFmtId="0" fontId="10976" fillId="0" borderId="10976" xfId="0" applyFont="1" applyBorder="1" applyAlignment="1"/>
    <xf numFmtId="0" fontId="10977" fillId="0" borderId="10977" xfId="0" applyFont="1" applyBorder="1" applyAlignment="1"/>
    <xf numFmtId="0" fontId="10978" fillId="0" borderId="10978" xfId="0" applyFont="1" applyBorder="1" applyAlignment="1"/>
    <xf numFmtId="0" fontId="10979" fillId="0" borderId="10979" xfId="0" applyFont="1" applyBorder="1" applyAlignment="1"/>
    <xf numFmtId="0" fontId="10980" fillId="0" borderId="10980" xfId="0" applyFont="1" applyBorder="1" applyAlignment="1"/>
    <xf numFmtId="0" fontId="10981" fillId="0" borderId="10981" xfId="0" applyFont="1" applyBorder="1" applyAlignment="1"/>
    <xf numFmtId="0" fontId="10982" fillId="0" borderId="10982" xfId="0" applyFont="1" applyBorder="1" applyAlignment="1"/>
    <xf numFmtId="0" fontId="10983" fillId="0" borderId="10983" xfId="0" applyFont="1" applyBorder="1" applyAlignment="1"/>
    <xf numFmtId="0" fontId="10984" fillId="0" borderId="10984" xfId="0" applyFont="1" applyBorder="1" applyAlignment="1"/>
    <xf numFmtId="0" fontId="10985" fillId="0" borderId="10985" xfId="0" applyFont="1" applyBorder="1" applyAlignment="1"/>
    <xf numFmtId="0" fontId="10986" fillId="0" borderId="10986" xfId="0" applyFont="1" applyBorder="1" applyAlignment="1"/>
    <xf numFmtId="0" fontId="10987" fillId="0" borderId="10987" xfId="0" applyFont="1" applyBorder="1" applyAlignment="1"/>
    <xf numFmtId="0" fontId="10988" fillId="0" borderId="10988" xfId="0" applyFont="1" applyBorder="1" applyAlignment="1"/>
    <xf numFmtId="0" fontId="10989" fillId="0" borderId="10989" xfId="0" applyFont="1" applyBorder="1" applyAlignment="1"/>
    <xf numFmtId="0" fontId="10990" fillId="0" borderId="10990" xfId="0" applyFont="1" applyBorder="1" applyAlignment="1"/>
    <xf numFmtId="0" fontId="10991" fillId="0" borderId="10991" xfId="0" applyFont="1" applyBorder="1" applyAlignment="1"/>
    <xf numFmtId="0" fontId="10992" fillId="0" borderId="10992" xfId="0" applyFont="1" applyBorder="1" applyAlignment="1"/>
    <xf numFmtId="0" fontId="10993" fillId="0" borderId="10993" xfId="0" applyFont="1" applyBorder="1" applyAlignment="1"/>
    <xf numFmtId="0" fontId="10994" fillId="0" borderId="10994" xfId="0" applyFont="1" applyBorder="1" applyAlignment="1"/>
    <xf numFmtId="0" fontId="10995" fillId="0" borderId="10995" xfId="0" applyFont="1" applyBorder="1" applyAlignment="1"/>
    <xf numFmtId="0" fontId="10996" fillId="0" borderId="10996" xfId="0" applyFont="1" applyBorder="1" applyAlignment="1"/>
    <xf numFmtId="0" fontId="10997" fillId="0" borderId="10997" xfId="0" applyFont="1" applyBorder="1" applyAlignment="1"/>
    <xf numFmtId="0" fontId="10998" fillId="0" borderId="10998" xfId="0" applyFont="1" applyBorder="1" applyAlignment="1"/>
    <xf numFmtId="0" fontId="10999" fillId="0" borderId="10999" xfId="0" applyFont="1" applyBorder="1" applyAlignment="1"/>
    <xf numFmtId="0" fontId="11000" fillId="0" borderId="11000" xfId="0" applyFont="1" applyBorder="1" applyAlignment="1"/>
    <xf numFmtId="0" fontId="11001" fillId="0" borderId="11001" xfId="0" applyFont="1" applyBorder="1" applyAlignment="1"/>
    <xf numFmtId="0" fontId="11002" fillId="0" borderId="11002" xfId="0" applyFont="1" applyBorder="1" applyAlignment="1"/>
    <xf numFmtId="0" fontId="11003" fillId="0" borderId="11003" xfId="0" applyFont="1" applyBorder="1" applyAlignment="1"/>
    <xf numFmtId="0" fontId="11004" fillId="0" borderId="11004" xfId="0" applyFont="1" applyBorder="1" applyAlignment="1"/>
    <xf numFmtId="0" fontId="11005" fillId="0" borderId="11005" xfId="0" applyFont="1" applyBorder="1" applyAlignment="1"/>
    <xf numFmtId="0" fontId="11006" fillId="0" borderId="11006" xfId="0" applyFont="1" applyBorder="1" applyAlignment="1"/>
    <xf numFmtId="0" fontId="11007" fillId="0" borderId="11007" xfId="0" applyFont="1" applyBorder="1" applyAlignment="1"/>
    <xf numFmtId="0" fontId="11008" fillId="0" borderId="11008" xfId="0" applyFont="1" applyBorder="1" applyAlignment="1"/>
    <xf numFmtId="0" fontId="11009" fillId="0" borderId="11009" xfId="0" applyFont="1" applyBorder="1" applyAlignment="1"/>
    <xf numFmtId="0" fontId="11010" fillId="0" borderId="11010" xfId="0" applyFont="1" applyBorder="1" applyAlignment="1"/>
    <xf numFmtId="0" fontId="11011" fillId="0" borderId="11011" xfId="0" applyFont="1" applyBorder="1" applyAlignment="1"/>
    <xf numFmtId="0" fontId="11012" fillId="0" borderId="11012" xfId="0" applyFont="1" applyBorder="1" applyAlignment="1"/>
    <xf numFmtId="0" fontId="11013" fillId="0" borderId="11013" xfId="0" applyFont="1" applyBorder="1" applyAlignment="1"/>
    <xf numFmtId="0" fontId="11014" fillId="0" borderId="11014" xfId="0" applyFont="1" applyBorder="1" applyAlignment="1"/>
    <xf numFmtId="0" fontId="11015" fillId="0" borderId="11015" xfId="0" applyFont="1" applyBorder="1" applyAlignment="1"/>
    <xf numFmtId="0" fontId="11016" fillId="0" borderId="11016" xfId="0" applyFont="1" applyBorder="1" applyAlignment="1"/>
    <xf numFmtId="0" fontId="11017" fillId="0" borderId="11017" xfId="0" applyFont="1" applyBorder="1" applyAlignment="1"/>
    <xf numFmtId="0" fontId="11018" fillId="0" borderId="11018" xfId="0" applyFont="1" applyBorder="1" applyAlignment="1"/>
    <xf numFmtId="0" fontId="11019" fillId="0" borderId="11019" xfId="0" applyFont="1" applyBorder="1" applyAlignment="1"/>
    <xf numFmtId="0" fontId="11020" fillId="0" borderId="11020" xfId="0" applyFont="1" applyBorder="1" applyAlignment="1"/>
    <xf numFmtId="0" fontId="11021" fillId="0" borderId="11021" xfId="0" applyFont="1" applyBorder="1" applyAlignment="1"/>
    <xf numFmtId="0" fontId="11022" fillId="0" borderId="11022" xfId="0" applyFont="1" applyBorder="1" applyAlignment="1"/>
    <xf numFmtId="0" fontId="11023" fillId="0" borderId="11023" xfId="0" applyFont="1" applyBorder="1" applyAlignment="1"/>
    <xf numFmtId="0" fontId="11024" fillId="0" borderId="11024" xfId="0" applyFont="1" applyBorder="1" applyAlignment="1"/>
    <xf numFmtId="0" fontId="11025" fillId="0" borderId="11025" xfId="0" applyFont="1" applyBorder="1" applyAlignment="1"/>
    <xf numFmtId="0" fontId="11026" fillId="0" borderId="11026" xfId="0" applyFont="1" applyBorder="1" applyAlignment="1"/>
    <xf numFmtId="0" fontId="11027" fillId="0" borderId="11027" xfId="0" applyFont="1" applyBorder="1" applyAlignment="1"/>
    <xf numFmtId="0" fontId="11028" fillId="0" borderId="11028" xfId="0" applyFont="1" applyBorder="1" applyAlignment="1"/>
    <xf numFmtId="0" fontId="11029" fillId="0" borderId="11029" xfId="0" applyFont="1" applyBorder="1" applyAlignment="1"/>
    <xf numFmtId="0" fontId="11030" fillId="0" borderId="11030" xfId="0" applyFont="1" applyBorder="1" applyAlignment="1"/>
    <xf numFmtId="0" fontId="11031" fillId="0" borderId="11031" xfId="0" applyFont="1" applyBorder="1" applyAlignment="1"/>
    <xf numFmtId="0" fontId="11032" fillId="0" borderId="11032" xfId="0" applyFont="1" applyBorder="1" applyAlignment="1"/>
    <xf numFmtId="0" fontId="11033" fillId="0" borderId="11033" xfId="0" applyFont="1" applyBorder="1" applyAlignment="1"/>
    <xf numFmtId="0" fontId="11034" fillId="0" borderId="11034" xfId="0" applyFont="1" applyBorder="1" applyAlignment="1"/>
    <xf numFmtId="0" fontId="11035" fillId="0" borderId="11035" xfId="0" applyFont="1" applyBorder="1" applyAlignment="1"/>
    <xf numFmtId="0" fontId="11036" fillId="0" borderId="11036" xfId="0" applyFont="1" applyBorder="1" applyAlignment="1"/>
    <xf numFmtId="0" fontId="11037" fillId="0" borderId="11037" xfId="0" applyFont="1" applyBorder="1" applyAlignment="1"/>
    <xf numFmtId="0" fontId="11038" fillId="0" borderId="11038" xfId="0" applyFont="1" applyBorder="1" applyAlignment="1"/>
    <xf numFmtId="0" fontId="11039" fillId="0" borderId="11039" xfId="0" applyFont="1" applyBorder="1" applyAlignment="1"/>
    <xf numFmtId="0" fontId="11040" fillId="0" borderId="11040" xfId="0" applyFont="1" applyBorder="1" applyAlignment="1"/>
    <xf numFmtId="0" fontId="11041" fillId="0" borderId="11041" xfId="0" applyFont="1" applyBorder="1" applyAlignment="1"/>
    <xf numFmtId="0" fontId="11042" fillId="0" borderId="11042" xfId="0" applyFont="1" applyBorder="1" applyAlignment="1"/>
    <xf numFmtId="0" fontId="11043" fillId="0" borderId="11043" xfId="0" applyFont="1" applyBorder="1" applyAlignment="1"/>
    <xf numFmtId="0" fontId="11044" fillId="0" borderId="11044" xfId="0" applyFont="1" applyBorder="1" applyAlignment="1"/>
    <xf numFmtId="0" fontId="11045" fillId="0" borderId="11045" xfId="0" applyFont="1" applyBorder="1" applyAlignment="1"/>
    <xf numFmtId="0" fontId="11046" fillId="0" borderId="11046" xfId="0" applyFont="1" applyBorder="1" applyAlignment="1"/>
    <xf numFmtId="0" fontId="11047" fillId="0" borderId="11047" xfId="0" applyFont="1" applyBorder="1" applyAlignment="1"/>
    <xf numFmtId="0" fontId="11048" fillId="0" borderId="11048" xfId="0" applyFont="1" applyBorder="1" applyAlignment="1"/>
    <xf numFmtId="0" fontId="11049" fillId="0" borderId="11049" xfId="0" applyFont="1" applyBorder="1" applyAlignment="1"/>
    <xf numFmtId="0" fontId="11050" fillId="0" borderId="11050" xfId="0" applyFont="1" applyBorder="1" applyAlignment="1"/>
    <xf numFmtId="0" fontId="11051" fillId="0" borderId="11051" xfId="0" applyFont="1" applyBorder="1" applyAlignment="1"/>
    <xf numFmtId="0" fontId="11052" fillId="0" borderId="11052" xfId="0" applyFont="1" applyBorder="1" applyAlignment="1"/>
    <xf numFmtId="0" fontId="11053" fillId="0" borderId="11053" xfId="0" applyFont="1" applyBorder="1" applyAlignment="1"/>
    <xf numFmtId="0" fontId="11054" fillId="0" borderId="11054" xfId="0" applyFont="1" applyBorder="1" applyAlignment="1"/>
    <xf numFmtId="0" fontId="11055" fillId="0" borderId="11055" xfId="0" applyFont="1" applyBorder="1" applyAlignment="1"/>
    <xf numFmtId="0" fontId="11056" fillId="0" borderId="11056" xfId="0" applyFont="1" applyBorder="1" applyAlignment="1"/>
    <xf numFmtId="0" fontId="11057" fillId="0" borderId="11057" xfId="0" applyFont="1" applyBorder="1" applyAlignment="1"/>
    <xf numFmtId="0" fontId="11058" fillId="0" borderId="11058" xfId="0" applyFont="1" applyBorder="1" applyAlignment="1"/>
    <xf numFmtId="0" fontId="11059" fillId="0" borderId="11059" xfId="0" applyFont="1" applyBorder="1" applyAlignment="1"/>
    <xf numFmtId="0" fontId="11060" fillId="0" borderId="11060" xfId="0" applyFont="1" applyBorder="1" applyAlignment="1"/>
    <xf numFmtId="0" fontId="11061" fillId="0" borderId="11061" xfId="0" applyFont="1" applyBorder="1" applyAlignment="1"/>
    <xf numFmtId="0" fontId="11062" fillId="0" borderId="11062" xfId="0" applyFont="1" applyBorder="1" applyAlignment="1"/>
    <xf numFmtId="0" fontId="11063" fillId="0" borderId="11063" xfId="0" applyFont="1" applyBorder="1" applyAlignment="1"/>
    <xf numFmtId="0" fontId="11064" fillId="0" borderId="11064" xfId="0" applyFont="1" applyBorder="1" applyAlignment="1"/>
    <xf numFmtId="0" fontId="11065" fillId="0" borderId="11065" xfId="0" applyFont="1" applyBorder="1" applyAlignment="1"/>
    <xf numFmtId="0" fontId="11066" fillId="0" borderId="11066" xfId="0" applyFont="1" applyBorder="1" applyAlignment="1"/>
    <xf numFmtId="0" fontId="11067" fillId="0" borderId="11067" xfId="0" applyFont="1" applyBorder="1" applyAlignment="1"/>
    <xf numFmtId="0" fontId="11068" fillId="0" borderId="11068" xfId="0" applyFont="1" applyBorder="1" applyAlignment="1"/>
    <xf numFmtId="0" fontId="11069" fillId="0" borderId="11069" xfId="0" applyFont="1" applyBorder="1" applyAlignment="1"/>
    <xf numFmtId="0" fontId="11070" fillId="0" borderId="11070" xfId="0" applyFont="1" applyBorder="1" applyAlignment="1"/>
    <xf numFmtId="0" fontId="11071" fillId="0" borderId="11071" xfId="0" applyFont="1" applyBorder="1" applyAlignment="1"/>
    <xf numFmtId="0" fontId="11072" fillId="0" borderId="11072" xfId="0" applyFont="1" applyBorder="1" applyAlignment="1"/>
    <xf numFmtId="0" fontId="11073" fillId="0" borderId="11073" xfId="0" applyFont="1" applyBorder="1" applyAlignment="1"/>
    <xf numFmtId="0" fontId="11074" fillId="0" borderId="11074" xfId="0" applyFont="1" applyBorder="1" applyAlignment="1"/>
    <xf numFmtId="0" fontId="11075" fillId="0" borderId="11075" xfId="0" applyFont="1" applyBorder="1" applyAlignment="1"/>
    <xf numFmtId="0" fontId="11076" fillId="0" borderId="11076" xfId="0" applyFont="1" applyBorder="1" applyAlignment="1"/>
    <xf numFmtId="0" fontId="11077" fillId="0" borderId="11077" xfId="0" applyFont="1" applyBorder="1" applyAlignment="1"/>
    <xf numFmtId="0" fontId="11078" fillId="0" borderId="11078" xfId="0" applyFont="1" applyBorder="1" applyAlignment="1"/>
    <xf numFmtId="0" fontId="11079" fillId="0" borderId="11079" xfId="0" applyFont="1" applyBorder="1" applyAlignment="1"/>
    <xf numFmtId="0" fontId="11080" fillId="0" borderId="11080" xfId="0" applyFont="1" applyBorder="1" applyAlignment="1"/>
    <xf numFmtId="0" fontId="11081" fillId="0" borderId="11081" xfId="0" applyFont="1" applyBorder="1" applyAlignment="1"/>
    <xf numFmtId="0" fontId="11082" fillId="0" borderId="11082" xfId="0" applyFont="1" applyBorder="1" applyAlignment="1"/>
    <xf numFmtId="0" fontId="11083" fillId="0" borderId="11083" xfId="0" applyFont="1" applyBorder="1" applyAlignment="1"/>
    <xf numFmtId="0" fontId="11084" fillId="0" borderId="11084" xfId="0" applyFont="1" applyBorder="1" applyAlignment="1"/>
    <xf numFmtId="0" fontId="11085" fillId="0" borderId="11085" xfId="0" applyFont="1" applyBorder="1" applyAlignment="1"/>
    <xf numFmtId="0" fontId="11086" fillId="0" borderId="11086" xfId="0" applyFont="1" applyBorder="1" applyAlignment="1"/>
    <xf numFmtId="0" fontId="11087" fillId="0" borderId="11087" xfId="0" applyFont="1" applyBorder="1" applyAlignment="1"/>
    <xf numFmtId="0" fontId="11088" fillId="0" borderId="11088" xfId="0" applyFont="1" applyBorder="1" applyAlignment="1"/>
    <xf numFmtId="0" fontId="11089" fillId="0" borderId="11089" xfId="0" applyFont="1" applyBorder="1" applyAlignment="1"/>
    <xf numFmtId="0" fontId="11090" fillId="0" borderId="11090" xfId="0" applyFont="1" applyBorder="1" applyAlignment="1"/>
    <xf numFmtId="0" fontId="11091" fillId="0" borderId="11091" xfId="0" applyFont="1" applyBorder="1" applyAlignment="1"/>
    <xf numFmtId="0" fontId="11092" fillId="0" borderId="11092" xfId="0" applyFont="1" applyBorder="1" applyAlignment="1"/>
    <xf numFmtId="0" fontId="11093" fillId="0" borderId="11093" xfId="0" applyFont="1" applyBorder="1" applyAlignment="1"/>
    <xf numFmtId="0" fontId="11094" fillId="0" borderId="11094" xfId="0" applyFont="1" applyBorder="1" applyAlignment="1"/>
    <xf numFmtId="0" fontId="11095" fillId="0" borderId="11095" xfId="0" applyFont="1" applyBorder="1" applyAlignment="1"/>
    <xf numFmtId="0" fontId="11096" fillId="0" borderId="11096" xfId="0" applyFont="1" applyBorder="1" applyAlignment="1"/>
    <xf numFmtId="0" fontId="11097" fillId="0" borderId="11097" xfId="0" applyFont="1" applyBorder="1" applyAlignment="1"/>
    <xf numFmtId="0" fontId="11098" fillId="0" borderId="11098" xfId="0" applyFont="1" applyBorder="1" applyAlignment="1"/>
    <xf numFmtId="0" fontId="11099" fillId="0" borderId="11099" xfId="0" applyFont="1" applyBorder="1" applyAlignment="1"/>
    <xf numFmtId="0" fontId="11100" fillId="0" borderId="11100" xfId="0" applyFont="1" applyBorder="1" applyAlignment="1"/>
    <xf numFmtId="0" fontId="11101" fillId="0" borderId="11101" xfId="0" applyFont="1" applyBorder="1" applyAlignment="1"/>
    <xf numFmtId="0" fontId="11102" fillId="0" borderId="11102" xfId="0" applyFont="1" applyBorder="1" applyAlignment="1"/>
    <xf numFmtId="0" fontId="11103" fillId="0" borderId="11103" xfId="0" applyFont="1" applyBorder="1" applyAlignment="1"/>
    <xf numFmtId="0" fontId="11104" fillId="0" borderId="11104" xfId="0" applyFont="1" applyBorder="1" applyAlignment="1"/>
    <xf numFmtId="0" fontId="11105" fillId="0" borderId="11105" xfId="0" applyFont="1" applyBorder="1" applyAlignment="1"/>
    <xf numFmtId="0" fontId="11106" fillId="0" borderId="11106" xfId="0" applyFont="1" applyBorder="1" applyAlignment="1"/>
    <xf numFmtId="0" fontId="11107" fillId="0" borderId="11107" xfId="0" applyFont="1" applyBorder="1" applyAlignment="1"/>
    <xf numFmtId="0" fontId="11108" fillId="0" borderId="11108" xfId="0" applyFont="1" applyBorder="1" applyAlignment="1"/>
    <xf numFmtId="0" fontId="11109" fillId="0" borderId="11109" xfId="0" applyFont="1" applyBorder="1" applyAlignment="1"/>
    <xf numFmtId="0" fontId="11110" fillId="0" borderId="11110" xfId="0" applyFont="1" applyBorder="1" applyAlignment="1"/>
    <xf numFmtId="0" fontId="11111" fillId="0" borderId="11111" xfId="0" applyFont="1" applyBorder="1" applyAlignment="1"/>
    <xf numFmtId="0" fontId="11112" fillId="0" borderId="11112" xfId="0" applyFont="1" applyBorder="1" applyAlignment="1"/>
    <xf numFmtId="0" fontId="11113" fillId="0" borderId="11113" xfId="0" applyFont="1" applyBorder="1" applyAlignment="1"/>
    <xf numFmtId="0" fontId="11114" fillId="0" borderId="11114" xfId="0" applyFont="1" applyBorder="1" applyAlignment="1"/>
    <xf numFmtId="0" fontId="11115" fillId="0" borderId="11115" xfId="0" applyFont="1" applyBorder="1" applyAlignment="1"/>
    <xf numFmtId="0" fontId="11116" fillId="0" borderId="11116" xfId="0" applyFont="1" applyBorder="1" applyAlignment="1"/>
    <xf numFmtId="0" fontId="11117" fillId="0" borderId="11117" xfId="0" applyFont="1" applyBorder="1" applyAlignment="1"/>
    <xf numFmtId="0" fontId="11118" fillId="0" borderId="11118" xfId="0" applyFont="1" applyBorder="1" applyAlignment="1"/>
    <xf numFmtId="0" fontId="11119" fillId="0" borderId="11119" xfId="0" applyFont="1" applyBorder="1" applyAlignment="1"/>
    <xf numFmtId="0" fontId="11120" fillId="0" borderId="11120" xfId="0" applyFont="1" applyBorder="1" applyAlignment="1"/>
    <xf numFmtId="0" fontId="11121" fillId="0" borderId="11121" xfId="0" applyFont="1" applyBorder="1" applyAlignment="1"/>
    <xf numFmtId="0" fontId="11122" fillId="0" borderId="11122" xfId="0" applyFont="1" applyBorder="1" applyAlignment="1"/>
    <xf numFmtId="0" fontId="11123" fillId="0" borderId="11123" xfId="0" applyFont="1" applyBorder="1" applyAlignment="1"/>
    <xf numFmtId="0" fontId="11124" fillId="0" borderId="11124" xfId="0" applyFont="1" applyBorder="1" applyAlignment="1"/>
    <xf numFmtId="0" fontId="11125" fillId="0" borderId="11125" xfId="0" applyFont="1" applyBorder="1" applyAlignment="1"/>
    <xf numFmtId="0" fontId="11126" fillId="0" borderId="11126" xfId="0" applyFont="1" applyBorder="1" applyAlignment="1"/>
    <xf numFmtId="0" fontId="11127" fillId="0" borderId="11127" xfId="0" applyFont="1" applyBorder="1" applyAlignment="1"/>
    <xf numFmtId="0" fontId="11128" fillId="0" borderId="11128" xfId="0" applyFont="1" applyBorder="1" applyAlignment="1"/>
    <xf numFmtId="0" fontId="11129" fillId="0" borderId="11129" xfId="0" applyFont="1" applyBorder="1" applyAlignment="1"/>
    <xf numFmtId="0" fontId="11130" fillId="0" borderId="11130" xfId="0" applyFont="1" applyBorder="1" applyAlignment="1"/>
    <xf numFmtId="0" fontId="11131" fillId="0" borderId="11131" xfId="0" applyFont="1" applyBorder="1" applyAlignment="1"/>
    <xf numFmtId="0" fontId="11132" fillId="0" borderId="11132" xfId="0" applyFont="1" applyBorder="1" applyAlignment="1"/>
    <xf numFmtId="0" fontId="11133" fillId="0" borderId="11133" xfId="0" applyFont="1" applyBorder="1" applyAlignment="1"/>
    <xf numFmtId="0" fontId="11134" fillId="0" borderId="11134" xfId="0" applyFont="1" applyBorder="1" applyAlignment="1"/>
    <xf numFmtId="0" fontId="11135" fillId="0" borderId="11135" xfId="0" applyFont="1" applyBorder="1" applyAlignment="1"/>
    <xf numFmtId="0" fontId="11136" fillId="0" borderId="11136" xfId="0" applyFont="1" applyBorder="1" applyAlignment="1"/>
    <xf numFmtId="0" fontId="11137" fillId="0" borderId="11137" xfId="0" applyFont="1" applyBorder="1" applyAlignment="1"/>
    <xf numFmtId="0" fontId="11138" fillId="0" borderId="11138" xfId="0" applyFont="1" applyBorder="1" applyAlignment="1"/>
    <xf numFmtId="0" fontId="11139" fillId="0" borderId="11139" xfId="0" applyFont="1" applyBorder="1" applyAlignment="1"/>
    <xf numFmtId="0" fontId="11140" fillId="0" borderId="11140" xfId="0" applyFont="1" applyBorder="1" applyAlignment="1"/>
    <xf numFmtId="0" fontId="11141" fillId="0" borderId="11141" xfId="0" applyFont="1" applyBorder="1" applyAlignment="1"/>
    <xf numFmtId="0" fontId="11142" fillId="0" borderId="11142" xfId="0" applyFont="1" applyBorder="1" applyAlignment="1"/>
    <xf numFmtId="0" fontId="11143" fillId="0" borderId="11143" xfId="0" applyFont="1" applyBorder="1" applyAlignment="1"/>
    <xf numFmtId="0" fontId="11144" fillId="0" borderId="11144" xfId="0" applyFont="1" applyBorder="1" applyAlignment="1"/>
    <xf numFmtId="0" fontId="11145" fillId="0" borderId="11145" xfId="0" applyFont="1" applyBorder="1" applyAlignment="1"/>
    <xf numFmtId="0" fontId="11146" fillId="0" borderId="11146" xfId="0" applyFont="1" applyBorder="1" applyAlignment="1"/>
    <xf numFmtId="0" fontId="11147" fillId="0" borderId="11147" xfId="0" applyFont="1" applyBorder="1" applyAlignment="1"/>
    <xf numFmtId="0" fontId="11148" fillId="0" borderId="11148" xfId="0" applyFont="1" applyBorder="1" applyAlignment="1"/>
    <xf numFmtId="0" fontId="11149" fillId="0" borderId="11149" xfId="0" applyFont="1" applyBorder="1" applyAlignment="1"/>
    <xf numFmtId="0" fontId="11150" fillId="0" borderId="11150" xfId="0" applyFont="1" applyBorder="1" applyAlignment="1"/>
    <xf numFmtId="0" fontId="11151" fillId="0" borderId="11151" xfId="0" applyFont="1" applyBorder="1" applyAlignment="1"/>
    <xf numFmtId="0" fontId="11152" fillId="0" borderId="11152" xfId="0" applyFont="1" applyBorder="1" applyAlignment="1"/>
    <xf numFmtId="0" fontId="11153" fillId="0" borderId="11153" xfId="0" applyFont="1" applyBorder="1" applyAlignment="1"/>
    <xf numFmtId="0" fontId="11154" fillId="0" borderId="11154" xfId="0" applyFont="1" applyBorder="1" applyAlignment="1"/>
    <xf numFmtId="0" fontId="11155" fillId="0" borderId="11155" xfId="0" applyFont="1" applyBorder="1" applyAlignment="1"/>
    <xf numFmtId="0" fontId="11156" fillId="0" borderId="11156" xfId="0" applyFont="1" applyBorder="1" applyAlignment="1"/>
    <xf numFmtId="0" fontId="11157" fillId="0" borderId="11157" xfId="0" applyFont="1" applyBorder="1" applyAlignment="1"/>
    <xf numFmtId="0" fontId="11158" fillId="0" borderId="11158" xfId="0" applyFont="1" applyBorder="1" applyAlignment="1"/>
    <xf numFmtId="0" fontId="11159" fillId="0" borderId="11159" xfId="0" applyFont="1" applyBorder="1" applyAlignment="1"/>
    <xf numFmtId="0" fontId="11160" fillId="0" borderId="11160" xfId="0" applyFont="1" applyBorder="1" applyAlignment="1"/>
    <xf numFmtId="0" fontId="11161" fillId="0" borderId="11161" xfId="0" applyFont="1" applyBorder="1" applyAlignment="1"/>
    <xf numFmtId="0" fontId="11162" fillId="0" borderId="11162" xfId="0" applyFont="1" applyBorder="1" applyAlignment="1"/>
    <xf numFmtId="0" fontId="11163" fillId="0" borderId="11163" xfId="0" applyFont="1" applyBorder="1" applyAlignment="1"/>
    <xf numFmtId="0" fontId="11164" fillId="0" borderId="11164" xfId="0" applyFont="1" applyBorder="1" applyAlignment="1"/>
    <xf numFmtId="0" fontId="11165" fillId="0" borderId="11165" xfId="0" applyFont="1" applyBorder="1" applyAlignment="1"/>
    <xf numFmtId="0" fontId="11166" fillId="0" borderId="11166" xfId="0" applyFont="1" applyBorder="1" applyAlignment="1"/>
    <xf numFmtId="0" fontId="11167" fillId="0" borderId="11167" xfId="0" applyFont="1" applyBorder="1" applyAlignment="1"/>
    <xf numFmtId="0" fontId="11168" fillId="0" borderId="11168" xfId="0" applyFont="1" applyBorder="1" applyAlignment="1"/>
    <xf numFmtId="0" fontId="11169" fillId="0" borderId="11169" xfId="0" applyFont="1" applyBorder="1" applyAlignment="1"/>
    <xf numFmtId="0" fontId="11170" fillId="0" borderId="11170" xfId="0" applyFont="1" applyBorder="1" applyAlignment="1"/>
    <xf numFmtId="0" fontId="11171" fillId="0" borderId="11171" xfId="0" applyFont="1" applyBorder="1" applyAlignment="1"/>
    <xf numFmtId="0" fontId="11172" fillId="0" borderId="11172" xfId="0" applyFont="1" applyBorder="1" applyAlignment="1"/>
    <xf numFmtId="0" fontId="11173" fillId="0" borderId="11173" xfId="0" applyFont="1" applyBorder="1" applyAlignment="1"/>
    <xf numFmtId="0" fontId="11174" fillId="0" borderId="11174" xfId="0" applyFont="1" applyBorder="1" applyAlignment="1"/>
    <xf numFmtId="0" fontId="11175" fillId="0" borderId="11175" xfId="0" applyFont="1" applyBorder="1" applyAlignment="1"/>
    <xf numFmtId="0" fontId="11176" fillId="0" borderId="11176" xfId="0" applyFont="1" applyBorder="1" applyAlignment="1"/>
    <xf numFmtId="0" fontId="11177" fillId="0" borderId="11177" xfId="0" applyFont="1" applyBorder="1" applyAlignment="1"/>
    <xf numFmtId="0" fontId="11178" fillId="0" borderId="11178" xfId="0" applyFont="1" applyBorder="1" applyAlignment="1"/>
    <xf numFmtId="0" fontId="11179" fillId="0" borderId="11179" xfId="0" applyFont="1" applyBorder="1" applyAlignment="1"/>
    <xf numFmtId="0" fontId="11180" fillId="0" borderId="11180" xfId="0" applyFont="1" applyBorder="1" applyAlignment="1"/>
    <xf numFmtId="0" fontId="11181" fillId="0" borderId="11181" xfId="0" applyFont="1" applyBorder="1" applyAlignment="1"/>
    <xf numFmtId="0" fontId="11182" fillId="0" borderId="11182" xfId="0" applyFont="1" applyBorder="1" applyAlignment="1"/>
    <xf numFmtId="0" fontId="11183" fillId="0" borderId="11183" xfId="0" applyFont="1" applyBorder="1" applyAlignment="1"/>
    <xf numFmtId="0" fontId="11184" fillId="0" borderId="11184" xfId="0" applyFont="1" applyBorder="1" applyAlignment="1"/>
    <xf numFmtId="0" fontId="11185" fillId="0" borderId="11185" xfId="0" applyFont="1" applyBorder="1" applyAlignment="1"/>
    <xf numFmtId="0" fontId="11186" fillId="0" borderId="11186" xfId="0" applyFont="1" applyBorder="1" applyAlignment="1"/>
    <xf numFmtId="0" fontId="11187" fillId="0" borderId="11187" xfId="0" applyFont="1" applyBorder="1" applyAlignment="1"/>
    <xf numFmtId="0" fontId="11188" fillId="0" borderId="11188" xfId="0" applyFont="1" applyBorder="1" applyAlignment="1"/>
    <xf numFmtId="0" fontId="11189" fillId="0" borderId="11189" xfId="0" applyFont="1" applyBorder="1" applyAlignment="1"/>
    <xf numFmtId="0" fontId="11190" fillId="0" borderId="11190" xfId="0" applyFont="1" applyBorder="1" applyAlignment="1"/>
    <xf numFmtId="0" fontId="11191" fillId="0" borderId="11191" xfId="0" applyFont="1" applyBorder="1" applyAlignment="1"/>
    <xf numFmtId="0" fontId="11192" fillId="0" borderId="11192" xfId="0" applyFont="1" applyBorder="1" applyAlignment="1"/>
    <xf numFmtId="0" fontId="11193" fillId="0" borderId="11193" xfId="0" applyFont="1" applyBorder="1" applyAlignment="1"/>
    <xf numFmtId="0" fontId="11194" fillId="0" borderId="11194" xfId="0" applyFont="1" applyBorder="1" applyAlignment="1"/>
    <xf numFmtId="0" fontId="11195" fillId="0" borderId="11195" xfId="0" applyFont="1" applyBorder="1" applyAlignment="1"/>
    <xf numFmtId="0" fontId="11196" fillId="0" borderId="11196" xfId="0" applyFont="1" applyBorder="1" applyAlignment="1"/>
    <xf numFmtId="0" fontId="11197" fillId="0" borderId="11197" xfId="0" applyFont="1" applyBorder="1" applyAlignment="1"/>
    <xf numFmtId="0" fontId="11198" fillId="0" borderId="11198" xfId="0" applyFont="1" applyBorder="1" applyAlignment="1"/>
    <xf numFmtId="0" fontId="11199" fillId="0" borderId="11199" xfId="0" applyFont="1" applyBorder="1" applyAlignment="1"/>
    <xf numFmtId="0" fontId="11200" fillId="0" borderId="11200" xfId="0" applyFont="1" applyBorder="1" applyAlignment="1"/>
    <xf numFmtId="0" fontId="11201" fillId="0" borderId="11201" xfId="0" applyFont="1" applyBorder="1" applyAlignment="1"/>
    <xf numFmtId="0" fontId="11202" fillId="0" borderId="11202" xfId="0" applyFont="1" applyBorder="1" applyAlignment="1"/>
    <xf numFmtId="0" fontId="11203" fillId="0" borderId="11203" xfId="0" applyFont="1" applyBorder="1" applyAlignment="1"/>
    <xf numFmtId="0" fontId="11204" fillId="0" borderId="11204" xfId="0" applyFont="1" applyBorder="1" applyAlignment="1"/>
    <xf numFmtId="0" fontId="11205" fillId="0" borderId="11205" xfId="0" applyFont="1" applyBorder="1" applyAlignment="1"/>
    <xf numFmtId="0" fontId="11206" fillId="0" borderId="11206" xfId="0" applyFont="1" applyBorder="1" applyAlignment="1"/>
    <xf numFmtId="0" fontId="11207" fillId="0" borderId="11207" xfId="0" applyFont="1" applyBorder="1" applyAlignment="1"/>
    <xf numFmtId="0" fontId="11208" fillId="0" borderId="11208" xfId="0" applyFont="1" applyBorder="1" applyAlignment="1"/>
    <xf numFmtId="0" fontId="11209" fillId="0" borderId="11209" xfId="0" applyFont="1" applyBorder="1" applyAlignment="1"/>
    <xf numFmtId="0" fontId="11210" fillId="0" borderId="11210" xfId="0" applyFont="1" applyBorder="1" applyAlignment="1"/>
    <xf numFmtId="0" fontId="11211" fillId="0" borderId="11211" xfId="0" applyFont="1" applyBorder="1" applyAlignment="1"/>
    <xf numFmtId="0" fontId="11212" fillId="0" borderId="11212" xfId="0" applyFont="1" applyBorder="1" applyAlignment="1"/>
    <xf numFmtId="0" fontId="11213" fillId="0" borderId="11213" xfId="0" applyFont="1" applyBorder="1" applyAlignment="1"/>
    <xf numFmtId="0" fontId="11214" fillId="0" borderId="11214" xfId="0" applyFont="1" applyBorder="1" applyAlignment="1"/>
    <xf numFmtId="0" fontId="11215" fillId="0" borderId="11215" xfId="0" applyFont="1" applyBorder="1" applyAlignment="1"/>
    <xf numFmtId="0" fontId="11216" fillId="0" borderId="11216" xfId="0" applyFont="1" applyBorder="1" applyAlignment="1"/>
    <xf numFmtId="0" fontId="11217" fillId="0" borderId="11217" xfId="0" applyFont="1" applyBorder="1" applyAlignment="1"/>
    <xf numFmtId="0" fontId="11218" fillId="0" borderId="11218" xfId="0" applyFont="1" applyBorder="1" applyAlignment="1"/>
    <xf numFmtId="0" fontId="11219" fillId="0" borderId="11219" xfId="0" applyFont="1" applyBorder="1" applyAlignment="1"/>
    <xf numFmtId="0" fontId="11220" fillId="0" borderId="11220" xfId="0" applyFont="1" applyBorder="1" applyAlignment="1"/>
    <xf numFmtId="0" fontId="11221" fillId="0" borderId="11221" xfId="0" applyFont="1" applyBorder="1" applyAlignment="1"/>
    <xf numFmtId="0" fontId="11222" fillId="0" borderId="11222" xfId="0" applyFont="1" applyBorder="1" applyAlignment="1"/>
    <xf numFmtId="0" fontId="11223" fillId="0" borderId="11223" xfId="0" applyFont="1" applyBorder="1" applyAlignment="1"/>
    <xf numFmtId="0" fontId="11224" fillId="0" borderId="11224" xfId="0" applyFont="1" applyBorder="1" applyAlignment="1"/>
    <xf numFmtId="0" fontId="11225" fillId="0" borderId="11225" xfId="0" applyFont="1" applyBorder="1" applyAlignment="1"/>
    <xf numFmtId="0" fontId="11226" fillId="0" borderId="11226" xfId="0" applyFont="1" applyBorder="1" applyAlignment="1"/>
    <xf numFmtId="0" fontId="11227" fillId="0" borderId="11227" xfId="0" applyFont="1" applyBorder="1" applyAlignment="1"/>
    <xf numFmtId="0" fontId="11228" fillId="0" borderId="11228" xfId="0" applyFont="1" applyBorder="1" applyAlignment="1"/>
    <xf numFmtId="0" fontId="11229" fillId="0" borderId="11229" xfId="0" applyFont="1" applyBorder="1" applyAlignment="1"/>
    <xf numFmtId="0" fontId="11230" fillId="0" borderId="11230" xfId="0" applyFont="1" applyBorder="1" applyAlignment="1"/>
    <xf numFmtId="0" fontId="11231" fillId="0" borderId="11231" xfId="0" applyFont="1" applyBorder="1" applyAlignment="1"/>
    <xf numFmtId="0" fontId="11232" fillId="0" borderId="11232" xfId="0" applyFont="1" applyBorder="1" applyAlignment="1"/>
    <xf numFmtId="0" fontId="11233" fillId="0" borderId="11233" xfId="0" applyFont="1" applyBorder="1" applyAlignment="1"/>
    <xf numFmtId="0" fontId="11234" fillId="0" borderId="11234" xfId="0" applyFont="1" applyBorder="1" applyAlignment="1"/>
    <xf numFmtId="0" fontId="11235" fillId="0" borderId="11235" xfId="0" applyFont="1" applyBorder="1" applyAlignment="1"/>
    <xf numFmtId="0" fontId="11236" fillId="0" borderId="11236" xfId="0" applyFont="1" applyBorder="1" applyAlignment="1"/>
    <xf numFmtId="0" fontId="11237" fillId="0" borderId="11237" xfId="0" applyFont="1" applyBorder="1" applyAlignment="1"/>
    <xf numFmtId="0" fontId="11238" fillId="0" borderId="11238" xfId="0" applyFont="1" applyBorder="1" applyAlignment="1"/>
    <xf numFmtId="0" fontId="11239" fillId="0" borderId="11239" xfId="0" applyFont="1" applyBorder="1" applyAlignment="1"/>
    <xf numFmtId="0" fontId="11240" fillId="0" borderId="11240" xfId="0" applyFont="1" applyBorder="1" applyAlignment="1"/>
    <xf numFmtId="0" fontId="11241" fillId="0" borderId="11241" xfId="0" applyFont="1" applyBorder="1" applyAlignment="1"/>
    <xf numFmtId="0" fontId="11242" fillId="0" borderId="11242" xfId="0" applyFont="1" applyBorder="1" applyAlignment="1"/>
    <xf numFmtId="0" fontId="11243" fillId="0" borderId="11243" xfId="0" applyFont="1" applyBorder="1" applyAlignment="1"/>
    <xf numFmtId="0" fontId="11244" fillId="0" borderId="11244" xfId="0" applyFont="1" applyBorder="1" applyAlignment="1"/>
    <xf numFmtId="0" fontId="11245" fillId="0" borderId="11245" xfId="0" applyFont="1" applyBorder="1" applyAlignment="1"/>
    <xf numFmtId="0" fontId="11246" fillId="0" borderId="11246" xfId="0" applyFont="1" applyBorder="1" applyAlignment="1"/>
    <xf numFmtId="0" fontId="11247" fillId="0" borderId="11247" xfId="0" applyFont="1" applyBorder="1" applyAlignment="1"/>
    <xf numFmtId="0" fontId="11248" fillId="0" borderId="11248" xfId="0" applyFont="1" applyBorder="1" applyAlignment="1"/>
    <xf numFmtId="0" fontId="11249" fillId="0" borderId="11249" xfId="0" applyFont="1" applyBorder="1" applyAlignment="1"/>
    <xf numFmtId="0" fontId="11250" fillId="0" borderId="11250" xfId="0" applyFont="1" applyBorder="1" applyAlignment="1"/>
    <xf numFmtId="0" fontId="11251" fillId="0" borderId="11251" xfId="0" applyFont="1" applyBorder="1" applyAlignment="1"/>
    <xf numFmtId="0" fontId="11252" fillId="0" borderId="11252" xfId="0" applyFont="1" applyBorder="1" applyAlignment="1"/>
    <xf numFmtId="0" fontId="11253" fillId="0" borderId="11253" xfId="0" applyFont="1" applyBorder="1" applyAlignment="1"/>
    <xf numFmtId="0" fontId="11254" fillId="0" borderId="11254" xfId="0" applyFont="1" applyBorder="1" applyAlignment="1"/>
    <xf numFmtId="0" fontId="11255" fillId="0" borderId="11255" xfId="0" applyFont="1" applyBorder="1" applyAlignment="1"/>
    <xf numFmtId="0" fontId="11256" fillId="0" borderId="11256" xfId="0" applyFont="1" applyBorder="1" applyAlignment="1"/>
    <xf numFmtId="0" fontId="11257" fillId="0" borderId="11257" xfId="0" applyFont="1" applyBorder="1" applyAlignment="1"/>
    <xf numFmtId="0" fontId="11258" fillId="0" borderId="11258" xfId="0" applyFont="1" applyBorder="1" applyAlignment="1"/>
    <xf numFmtId="0" fontId="11259" fillId="0" borderId="11259" xfId="0" applyFont="1" applyBorder="1" applyAlignment="1"/>
    <xf numFmtId="0" fontId="11260" fillId="0" borderId="11260" xfId="0" applyFont="1" applyBorder="1" applyAlignment="1"/>
    <xf numFmtId="0" fontId="11261" fillId="0" borderId="11261" xfId="0" applyFont="1" applyBorder="1" applyAlignment="1"/>
    <xf numFmtId="0" fontId="11262" fillId="0" borderId="11262" xfId="0" applyFont="1" applyBorder="1" applyAlignment="1"/>
    <xf numFmtId="0" fontId="11263" fillId="0" borderId="11263" xfId="0" applyFont="1" applyBorder="1" applyAlignment="1"/>
    <xf numFmtId="0" fontId="11264" fillId="0" borderId="11264" xfId="0" applyFont="1" applyBorder="1" applyAlignment="1"/>
    <xf numFmtId="0" fontId="11265" fillId="0" borderId="11265" xfId="0" applyFont="1" applyBorder="1" applyAlignment="1"/>
    <xf numFmtId="0" fontId="11266" fillId="0" borderId="11266" xfId="0" applyFont="1" applyBorder="1" applyAlignment="1"/>
    <xf numFmtId="0" fontId="11267" fillId="0" borderId="11267" xfId="0" applyFont="1" applyBorder="1" applyAlignment="1"/>
    <xf numFmtId="0" fontId="11268" fillId="0" borderId="11268" xfId="0" applyFont="1" applyBorder="1" applyAlignment="1"/>
    <xf numFmtId="0" fontId="11269" fillId="0" borderId="11269" xfId="0" applyFont="1" applyBorder="1" applyAlignment="1"/>
    <xf numFmtId="0" fontId="11270" fillId="0" borderId="11270" xfId="0" applyFont="1" applyBorder="1" applyAlignment="1"/>
    <xf numFmtId="0" fontId="11271" fillId="0" borderId="11271" xfId="0" applyFont="1" applyBorder="1" applyAlignment="1"/>
    <xf numFmtId="0" fontId="11272" fillId="0" borderId="11272" xfId="0" applyFont="1" applyBorder="1" applyAlignment="1"/>
    <xf numFmtId="0" fontId="11273" fillId="0" borderId="11273" xfId="0" applyFont="1" applyBorder="1" applyAlignment="1"/>
    <xf numFmtId="0" fontId="11274" fillId="0" borderId="11274" xfId="0" applyFont="1" applyBorder="1" applyAlignment="1"/>
    <xf numFmtId="0" fontId="11275" fillId="0" borderId="11275" xfId="0" applyFont="1" applyBorder="1" applyAlignment="1"/>
    <xf numFmtId="0" fontId="11276" fillId="0" borderId="11276" xfId="0" applyFont="1" applyBorder="1" applyAlignment="1"/>
    <xf numFmtId="0" fontId="11277" fillId="0" borderId="11277" xfId="0" applyFont="1" applyBorder="1" applyAlignment="1"/>
    <xf numFmtId="0" fontId="11278" fillId="0" borderId="11278" xfId="0" applyFont="1" applyBorder="1" applyAlignment="1"/>
    <xf numFmtId="0" fontId="11279" fillId="0" borderId="11279" xfId="0" applyFont="1" applyBorder="1" applyAlignment="1"/>
    <xf numFmtId="0" fontId="11280" fillId="0" borderId="11280" xfId="0" applyFont="1" applyBorder="1" applyAlignment="1"/>
    <xf numFmtId="0" fontId="11281" fillId="0" borderId="11281" xfId="0" applyFont="1" applyBorder="1" applyAlignment="1"/>
    <xf numFmtId="0" fontId="11282" fillId="0" borderId="11282" xfId="0" applyFont="1" applyBorder="1" applyAlignment="1"/>
    <xf numFmtId="0" fontId="11283" fillId="0" borderId="11283" xfId="0" applyFont="1" applyBorder="1" applyAlignment="1"/>
    <xf numFmtId="0" fontId="11284" fillId="0" borderId="11284" xfId="0" applyFont="1" applyBorder="1" applyAlignment="1"/>
    <xf numFmtId="0" fontId="11285" fillId="0" borderId="11285" xfId="0" applyFont="1" applyBorder="1" applyAlignment="1"/>
    <xf numFmtId="0" fontId="11286" fillId="0" borderId="11286" xfId="0" applyFont="1" applyBorder="1" applyAlignment="1"/>
    <xf numFmtId="0" fontId="11287" fillId="0" borderId="11287" xfId="0" applyFont="1" applyBorder="1" applyAlignment="1"/>
    <xf numFmtId="0" fontId="11288" fillId="0" borderId="11288" xfId="0" applyFont="1" applyBorder="1" applyAlignment="1"/>
    <xf numFmtId="0" fontId="11289" fillId="0" borderId="11289" xfId="0" applyFont="1" applyBorder="1" applyAlignment="1"/>
    <xf numFmtId="0" fontId="11290" fillId="0" borderId="11290" xfId="0" applyFont="1" applyBorder="1" applyAlignment="1"/>
    <xf numFmtId="0" fontId="11291" fillId="0" borderId="11291" xfId="0" applyFont="1" applyBorder="1" applyAlignment="1"/>
    <xf numFmtId="0" fontId="11292" fillId="0" borderId="11292" xfId="0" applyFont="1" applyBorder="1" applyAlignment="1"/>
    <xf numFmtId="0" fontId="11293" fillId="0" borderId="11293" xfId="0" applyFont="1" applyBorder="1" applyAlignment="1"/>
    <xf numFmtId="0" fontId="11294" fillId="0" borderId="11294" xfId="0" applyFont="1" applyBorder="1" applyAlignment="1"/>
    <xf numFmtId="0" fontId="11295" fillId="0" borderId="11295" xfId="0" applyFont="1" applyBorder="1" applyAlignment="1"/>
    <xf numFmtId="0" fontId="11296" fillId="0" borderId="11296" xfId="0" applyFont="1" applyBorder="1" applyAlignment="1"/>
    <xf numFmtId="0" fontId="11297" fillId="0" borderId="11297" xfId="0" applyFont="1" applyBorder="1" applyAlignment="1"/>
    <xf numFmtId="0" fontId="11298" fillId="0" borderId="11298" xfId="0" applyFont="1" applyBorder="1" applyAlignment="1"/>
    <xf numFmtId="0" fontId="11299" fillId="0" borderId="11299" xfId="0" applyFont="1" applyBorder="1" applyAlignment="1"/>
    <xf numFmtId="0" fontId="11300" fillId="0" borderId="11300" xfId="0" applyFont="1" applyBorder="1" applyAlignment="1"/>
    <xf numFmtId="0" fontId="11301" fillId="0" borderId="11301" xfId="0" applyFont="1" applyBorder="1" applyAlignment="1"/>
    <xf numFmtId="0" fontId="11302" fillId="0" borderId="11302" xfId="0" applyFont="1" applyBorder="1" applyAlignment="1"/>
    <xf numFmtId="0" fontId="11303" fillId="0" borderId="11303" xfId="0" applyFont="1" applyBorder="1" applyAlignment="1"/>
    <xf numFmtId="0" fontId="11304" fillId="0" borderId="11304" xfId="0" applyFont="1" applyBorder="1" applyAlignment="1"/>
    <xf numFmtId="0" fontId="11305" fillId="0" borderId="11305" xfId="0" applyFont="1" applyBorder="1" applyAlignment="1"/>
    <xf numFmtId="0" fontId="11306" fillId="0" borderId="11306" xfId="0" applyFont="1" applyBorder="1" applyAlignment="1"/>
    <xf numFmtId="0" fontId="11307" fillId="0" borderId="11307" xfId="0" applyFont="1" applyBorder="1" applyAlignment="1"/>
    <xf numFmtId="0" fontId="11308" fillId="0" borderId="11308" xfId="0" applyFont="1" applyBorder="1" applyAlignment="1"/>
    <xf numFmtId="0" fontId="11309" fillId="0" borderId="11309" xfId="0" applyFont="1" applyBorder="1" applyAlignment="1"/>
    <xf numFmtId="0" fontId="11310" fillId="0" borderId="11310" xfId="0" applyFont="1" applyBorder="1" applyAlignment="1"/>
    <xf numFmtId="0" fontId="11311" fillId="0" borderId="11311" xfId="0" applyFont="1" applyBorder="1" applyAlignment="1"/>
    <xf numFmtId="0" fontId="11312" fillId="0" borderId="11312" xfId="0" applyFont="1" applyBorder="1" applyAlignment="1"/>
    <xf numFmtId="0" fontId="11313" fillId="0" borderId="11313" xfId="0" applyFont="1" applyBorder="1" applyAlignment="1"/>
    <xf numFmtId="0" fontId="11314" fillId="0" borderId="11314" xfId="0" applyFont="1" applyBorder="1" applyAlignment="1"/>
    <xf numFmtId="0" fontId="11315" fillId="0" borderId="11315" xfId="0" applyFont="1" applyBorder="1" applyAlignment="1"/>
    <xf numFmtId="0" fontId="11316" fillId="0" borderId="11316" xfId="0" applyFont="1" applyBorder="1" applyAlignment="1"/>
    <xf numFmtId="0" fontId="11317" fillId="0" borderId="11317" xfId="0" applyFont="1" applyBorder="1" applyAlignment="1"/>
    <xf numFmtId="0" fontId="11318" fillId="0" borderId="11318" xfId="0" applyFont="1" applyBorder="1" applyAlignment="1"/>
    <xf numFmtId="0" fontId="11319" fillId="0" borderId="11319" xfId="0" applyFont="1" applyBorder="1" applyAlignment="1"/>
    <xf numFmtId="0" fontId="11320" fillId="0" borderId="11320" xfId="0" applyFont="1" applyBorder="1" applyAlignment="1"/>
    <xf numFmtId="0" fontId="11321" fillId="0" borderId="11321" xfId="0" applyFont="1" applyBorder="1" applyAlignment="1"/>
    <xf numFmtId="0" fontId="11322" fillId="0" borderId="11322" xfId="0" applyFont="1" applyBorder="1" applyAlignment="1"/>
    <xf numFmtId="0" fontId="11323" fillId="0" borderId="11323" xfId="0" applyFont="1" applyBorder="1" applyAlignment="1"/>
    <xf numFmtId="0" fontId="11324" fillId="0" borderId="11324" xfId="0" applyFont="1" applyBorder="1" applyAlignment="1"/>
    <xf numFmtId="0" fontId="11325" fillId="0" borderId="11325" xfId="0" applyFont="1" applyBorder="1" applyAlignment="1"/>
    <xf numFmtId="0" fontId="11326" fillId="0" borderId="11326" xfId="0" applyFont="1" applyBorder="1" applyAlignment="1"/>
    <xf numFmtId="0" fontId="11327" fillId="0" borderId="11327" xfId="0" applyFont="1" applyBorder="1" applyAlignment="1"/>
    <xf numFmtId="0" fontId="11328" fillId="0" borderId="11328" xfId="0" applyFont="1" applyBorder="1" applyAlignment="1"/>
    <xf numFmtId="0" fontId="11329" fillId="0" borderId="11329" xfId="0" applyFont="1" applyBorder="1" applyAlignment="1"/>
    <xf numFmtId="0" fontId="11330" fillId="0" borderId="11330" xfId="0" applyFont="1" applyBorder="1" applyAlignment="1"/>
    <xf numFmtId="0" fontId="11331" fillId="0" borderId="11331" xfId="0" applyFont="1" applyBorder="1" applyAlignment="1"/>
    <xf numFmtId="0" fontId="11332" fillId="0" borderId="11332" xfId="0" applyFont="1" applyBorder="1" applyAlignment="1"/>
    <xf numFmtId="0" fontId="11333" fillId="0" borderId="11333" xfId="0" applyFont="1" applyBorder="1" applyAlignment="1"/>
    <xf numFmtId="0" fontId="11334" fillId="0" borderId="11334" xfId="0" applyFont="1" applyBorder="1" applyAlignment="1"/>
    <xf numFmtId="0" fontId="11335" fillId="0" borderId="11335" xfId="0" applyFont="1" applyBorder="1" applyAlignment="1"/>
    <xf numFmtId="0" fontId="11336" fillId="0" borderId="11336" xfId="0" applyFont="1" applyBorder="1" applyAlignment="1"/>
    <xf numFmtId="0" fontId="11337" fillId="0" borderId="11337" xfId="0" applyFont="1" applyBorder="1" applyAlignment="1"/>
    <xf numFmtId="0" fontId="11338" fillId="0" borderId="11338" xfId="0" applyFont="1" applyBorder="1" applyAlignment="1"/>
    <xf numFmtId="0" fontId="11339" fillId="0" borderId="11339" xfId="0" applyFont="1" applyBorder="1" applyAlignment="1"/>
    <xf numFmtId="0" fontId="11340" fillId="0" borderId="11340" xfId="0" applyFont="1" applyBorder="1" applyAlignment="1"/>
    <xf numFmtId="0" fontId="11341" fillId="0" borderId="11341" xfId="0" applyFont="1" applyBorder="1" applyAlignment="1"/>
    <xf numFmtId="0" fontId="11342" fillId="0" borderId="11342" xfId="0" applyFont="1" applyBorder="1" applyAlignment="1"/>
    <xf numFmtId="0" fontId="11343" fillId="0" borderId="11343" xfId="0" applyFont="1" applyBorder="1" applyAlignment="1"/>
    <xf numFmtId="0" fontId="11344" fillId="0" borderId="11344" xfId="0" applyFont="1" applyBorder="1" applyAlignment="1"/>
    <xf numFmtId="0" fontId="11345" fillId="0" borderId="11345" xfId="0" applyFont="1" applyBorder="1" applyAlignment="1"/>
    <xf numFmtId="0" fontId="11346" fillId="0" borderId="11346" xfId="0" applyFont="1" applyBorder="1" applyAlignment="1"/>
    <xf numFmtId="0" fontId="11347" fillId="0" borderId="11347" xfId="0" applyFont="1" applyBorder="1" applyAlignment="1"/>
    <xf numFmtId="0" fontId="11348" fillId="0" borderId="11348" xfId="0" applyFont="1" applyBorder="1" applyAlignment="1"/>
    <xf numFmtId="0" fontId="11349" fillId="0" borderId="11349" xfId="0" applyFont="1" applyBorder="1" applyAlignment="1"/>
    <xf numFmtId="0" fontId="11350" fillId="0" borderId="11350" xfId="0" applyFont="1" applyBorder="1" applyAlignment="1"/>
    <xf numFmtId="0" fontId="11351" fillId="0" borderId="11351" xfId="0" applyFont="1" applyBorder="1" applyAlignment="1"/>
    <xf numFmtId="0" fontId="11352" fillId="0" borderId="11352" xfId="0" applyFont="1" applyBorder="1" applyAlignment="1"/>
    <xf numFmtId="0" fontId="11353" fillId="0" borderId="11353" xfId="0" applyFont="1" applyBorder="1" applyAlignment="1"/>
    <xf numFmtId="0" fontId="11354" fillId="0" borderId="11354" xfId="0" applyFont="1" applyBorder="1" applyAlignment="1"/>
    <xf numFmtId="0" fontId="11355" fillId="0" borderId="11355" xfId="0" applyFont="1" applyBorder="1" applyAlignment="1"/>
    <xf numFmtId="0" fontId="11356" fillId="0" borderId="11356" xfId="0" applyFont="1" applyBorder="1" applyAlignment="1"/>
    <xf numFmtId="0" fontId="11357" fillId="0" borderId="11357" xfId="0" applyFont="1" applyBorder="1" applyAlignment="1"/>
    <xf numFmtId="0" fontId="11358" fillId="0" borderId="11358" xfId="0" applyFont="1" applyBorder="1" applyAlignment="1"/>
    <xf numFmtId="0" fontId="11359" fillId="0" borderId="11359" xfId="0" applyFont="1" applyBorder="1" applyAlignment="1"/>
    <xf numFmtId="0" fontId="11360" fillId="0" borderId="11360" xfId="0" applyFont="1" applyBorder="1" applyAlignment="1"/>
    <xf numFmtId="0" fontId="11361" fillId="0" borderId="11361" xfId="0" applyFont="1" applyBorder="1" applyAlignment="1"/>
    <xf numFmtId="0" fontId="11362" fillId="0" borderId="11362" xfId="0" applyFont="1" applyBorder="1" applyAlignment="1"/>
    <xf numFmtId="0" fontId="11363" fillId="0" borderId="11363" xfId="0" applyFont="1" applyBorder="1" applyAlignment="1"/>
    <xf numFmtId="0" fontId="11364" fillId="0" borderId="11364" xfId="0" applyFont="1" applyBorder="1" applyAlignment="1"/>
    <xf numFmtId="0" fontId="11365" fillId="0" borderId="11365" xfId="0" applyFont="1" applyBorder="1" applyAlignment="1"/>
    <xf numFmtId="0" fontId="11366" fillId="0" borderId="11366" xfId="0" applyFont="1" applyBorder="1" applyAlignment="1"/>
    <xf numFmtId="0" fontId="11367" fillId="0" borderId="11367" xfId="0" applyFont="1" applyBorder="1" applyAlignment="1"/>
    <xf numFmtId="0" fontId="11368" fillId="0" borderId="11368" xfId="0" applyFont="1" applyBorder="1" applyAlignment="1"/>
    <xf numFmtId="0" fontId="11369" fillId="0" borderId="11369" xfId="0" applyFont="1" applyBorder="1" applyAlignment="1"/>
    <xf numFmtId="0" fontId="11370" fillId="0" borderId="11370" xfId="0" applyFont="1" applyBorder="1" applyAlignment="1"/>
    <xf numFmtId="0" fontId="11371" fillId="0" borderId="11371" xfId="0" applyFont="1" applyBorder="1" applyAlignment="1"/>
    <xf numFmtId="0" fontId="11372" fillId="0" borderId="11372" xfId="0" applyFont="1" applyBorder="1" applyAlignment="1"/>
    <xf numFmtId="0" fontId="11373" fillId="0" borderId="11373" xfId="0" applyFont="1" applyBorder="1" applyAlignment="1"/>
    <xf numFmtId="0" fontId="11374" fillId="0" borderId="11374" xfId="0" applyFont="1" applyBorder="1" applyAlignment="1"/>
    <xf numFmtId="0" fontId="11375" fillId="0" borderId="11375" xfId="0" applyFont="1" applyBorder="1" applyAlignment="1"/>
    <xf numFmtId="0" fontId="11376" fillId="0" borderId="11376" xfId="0" applyFont="1" applyBorder="1" applyAlignment="1"/>
    <xf numFmtId="0" fontId="11377" fillId="0" borderId="11377" xfId="0" applyFont="1" applyBorder="1" applyAlignment="1"/>
    <xf numFmtId="0" fontId="11378" fillId="0" borderId="11378" xfId="0" applyFont="1" applyBorder="1" applyAlignment="1"/>
    <xf numFmtId="0" fontId="11379" fillId="0" borderId="11379" xfId="0" applyFont="1" applyBorder="1" applyAlignment="1"/>
    <xf numFmtId="0" fontId="11380" fillId="0" borderId="11380" xfId="0" applyFont="1" applyBorder="1" applyAlignment="1"/>
    <xf numFmtId="0" fontId="11381" fillId="0" borderId="11381" xfId="0" applyFont="1" applyBorder="1" applyAlignment="1"/>
    <xf numFmtId="0" fontId="11382" fillId="0" borderId="11382" xfId="0" applyFont="1" applyBorder="1" applyAlignment="1"/>
    <xf numFmtId="0" fontId="11383" fillId="0" borderId="11383" xfId="0" applyFont="1" applyBorder="1" applyAlignment="1"/>
    <xf numFmtId="0" fontId="11384" fillId="0" borderId="11384" xfId="0" applyFont="1" applyBorder="1" applyAlignment="1"/>
    <xf numFmtId="0" fontId="11385" fillId="0" borderId="11385" xfId="0" applyFont="1" applyBorder="1" applyAlignment="1"/>
    <xf numFmtId="0" fontId="11386" fillId="0" borderId="11386" xfId="0" applyFont="1" applyBorder="1" applyAlignment="1"/>
    <xf numFmtId="0" fontId="11387" fillId="0" borderId="11387" xfId="0" applyFont="1" applyBorder="1" applyAlignment="1"/>
    <xf numFmtId="0" fontId="11388" fillId="0" borderId="11388" xfId="0" applyFont="1" applyBorder="1" applyAlignment="1"/>
    <xf numFmtId="0" fontId="11389" fillId="0" borderId="11389" xfId="0" applyFont="1" applyBorder="1" applyAlignment="1"/>
    <xf numFmtId="0" fontId="11390" fillId="0" borderId="11390" xfId="0" applyFont="1" applyBorder="1" applyAlignment="1"/>
    <xf numFmtId="0" fontId="11391" fillId="0" borderId="11391" xfId="0" applyFont="1" applyBorder="1" applyAlignment="1"/>
    <xf numFmtId="0" fontId="11392" fillId="0" borderId="11392" xfId="0" applyFont="1" applyBorder="1" applyAlignment="1"/>
    <xf numFmtId="0" fontId="11393" fillId="0" borderId="11393" xfId="0" applyFont="1" applyBorder="1" applyAlignment="1"/>
    <xf numFmtId="0" fontId="11394" fillId="0" borderId="11394" xfId="0" applyFont="1" applyBorder="1" applyAlignment="1"/>
    <xf numFmtId="0" fontId="11395" fillId="0" borderId="11395" xfId="0" applyFont="1" applyBorder="1" applyAlignment="1"/>
    <xf numFmtId="0" fontId="11396" fillId="0" borderId="11396" xfId="0" applyFont="1" applyBorder="1" applyAlignment="1"/>
    <xf numFmtId="0" fontId="11397" fillId="0" borderId="11397" xfId="0" applyFont="1" applyBorder="1" applyAlignment="1"/>
    <xf numFmtId="0" fontId="11398" fillId="0" borderId="11398" xfId="0" applyFont="1" applyBorder="1" applyAlignment="1"/>
    <xf numFmtId="0" fontId="11399" fillId="0" borderId="11399" xfId="0" applyFont="1" applyBorder="1" applyAlignment="1"/>
    <xf numFmtId="0" fontId="11400" fillId="0" borderId="11400" xfId="0" applyFont="1" applyBorder="1" applyAlignment="1"/>
    <xf numFmtId="0" fontId="11401" fillId="0" borderId="11401" xfId="0" applyFont="1" applyBorder="1" applyAlignment="1"/>
    <xf numFmtId="0" fontId="11402" fillId="0" borderId="11402" xfId="0" applyFont="1" applyBorder="1" applyAlignment="1"/>
    <xf numFmtId="0" fontId="11403" fillId="0" borderId="11403" xfId="0" applyFont="1" applyBorder="1" applyAlignment="1"/>
    <xf numFmtId="0" fontId="11404" fillId="0" borderId="11404" xfId="0" applyFont="1" applyBorder="1" applyAlignment="1"/>
    <xf numFmtId="0" fontId="11405" fillId="0" borderId="11405" xfId="0" applyFont="1" applyBorder="1" applyAlignment="1"/>
    <xf numFmtId="0" fontId="11406" fillId="0" borderId="11406" xfId="0" applyFont="1" applyBorder="1" applyAlignment="1"/>
    <xf numFmtId="0" fontId="11407" fillId="0" borderId="11407" xfId="0" applyFont="1" applyBorder="1" applyAlignment="1"/>
    <xf numFmtId="0" fontId="11408" fillId="0" borderId="11408" xfId="0" applyFont="1" applyBorder="1" applyAlignment="1"/>
    <xf numFmtId="0" fontId="11409" fillId="0" borderId="11409" xfId="0" applyFont="1" applyBorder="1" applyAlignment="1"/>
    <xf numFmtId="0" fontId="11410" fillId="0" borderId="11410" xfId="0" applyFont="1" applyBorder="1" applyAlignment="1"/>
    <xf numFmtId="0" fontId="11411" fillId="0" borderId="11411" xfId="0" applyFont="1" applyBorder="1" applyAlignment="1"/>
    <xf numFmtId="0" fontId="11412" fillId="0" borderId="11412" xfId="0" applyFont="1" applyBorder="1" applyAlignment="1"/>
    <xf numFmtId="0" fontId="11413" fillId="0" borderId="11413" xfId="0" applyFont="1" applyBorder="1" applyAlignment="1"/>
    <xf numFmtId="0" fontId="11414" fillId="0" borderId="11414" xfId="0" applyFont="1" applyBorder="1" applyAlignment="1"/>
    <xf numFmtId="0" fontId="11415" fillId="0" borderId="11415" xfId="0" applyFont="1" applyBorder="1" applyAlignment="1"/>
    <xf numFmtId="0" fontId="11416" fillId="0" borderId="11416" xfId="0" applyFont="1" applyBorder="1" applyAlignment="1"/>
    <xf numFmtId="0" fontId="11417" fillId="0" borderId="11417" xfId="0" applyFont="1" applyBorder="1" applyAlignment="1"/>
    <xf numFmtId="0" fontId="11418" fillId="0" borderId="11418" xfId="0" applyFont="1" applyBorder="1" applyAlignment="1"/>
    <xf numFmtId="0" fontId="11419" fillId="0" borderId="11419" xfId="0" applyFont="1" applyBorder="1" applyAlignment="1"/>
    <xf numFmtId="0" fontId="11420" fillId="0" borderId="11420" xfId="0" applyFont="1" applyBorder="1" applyAlignment="1"/>
    <xf numFmtId="0" fontId="11421" fillId="0" borderId="11421" xfId="0" applyFont="1" applyBorder="1" applyAlignment="1"/>
    <xf numFmtId="0" fontId="11422" fillId="0" borderId="11422" xfId="0" applyFont="1" applyBorder="1" applyAlignment="1"/>
    <xf numFmtId="0" fontId="11423" fillId="0" borderId="11423" xfId="0" applyFont="1" applyBorder="1" applyAlignment="1"/>
    <xf numFmtId="0" fontId="11424" fillId="0" borderId="11424" xfId="0" applyFont="1" applyBorder="1" applyAlignment="1"/>
    <xf numFmtId="0" fontId="11425" fillId="0" borderId="11425" xfId="0" applyFont="1" applyBorder="1" applyAlignment="1"/>
    <xf numFmtId="0" fontId="11426" fillId="0" borderId="11426" xfId="0" applyFont="1" applyBorder="1" applyAlignment="1"/>
    <xf numFmtId="0" fontId="11427" fillId="0" borderId="11427" xfId="0" applyFont="1" applyBorder="1" applyAlignment="1"/>
    <xf numFmtId="0" fontId="11428" fillId="0" borderId="11428" xfId="0" applyFont="1" applyBorder="1" applyAlignment="1"/>
    <xf numFmtId="0" fontId="11429" fillId="0" borderId="11429" xfId="0" applyFont="1" applyBorder="1" applyAlignment="1"/>
    <xf numFmtId="0" fontId="11430" fillId="0" borderId="11430" xfId="0" applyFont="1" applyBorder="1" applyAlignment="1"/>
    <xf numFmtId="0" fontId="11431" fillId="0" borderId="11431" xfId="0" applyFont="1" applyBorder="1" applyAlignment="1"/>
    <xf numFmtId="0" fontId="11432" fillId="0" borderId="11432" xfId="0" applyFont="1" applyBorder="1" applyAlignment="1"/>
    <xf numFmtId="0" fontId="11433" fillId="0" borderId="11433" xfId="0" applyFont="1" applyBorder="1" applyAlignment="1"/>
    <xf numFmtId="0" fontId="11434" fillId="0" borderId="11434" xfId="0" applyFont="1" applyBorder="1" applyAlignment="1"/>
    <xf numFmtId="0" fontId="11435" fillId="0" borderId="11435" xfId="0" applyFont="1" applyBorder="1" applyAlignment="1"/>
    <xf numFmtId="0" fontId="11436" fillId="0" borderId="11436" xfId="0" applyFont="1" applyBorder="1" applyAlignment="1"/>
    <xf numFmtId="0" fontId="11437" fillId="0" borderId="11437" xfId="0" applyFont="1" applyBorder="1" applyAlignment="1"/>
    <xf numFmtId="0" fontId="11438" fillId="0" borderId="11438" xfId="0" applyFont="1" applyBorder="1" applyAlignment="1"/>
    <xf numFmtId="0" fontId="11439" fillId="0" borderId="11439" xfId="0" applyFont="1" applyBorder="1" applyAlignment="1"/>
    <xf numFmtId="0" fontId="11440" fillId="0" borderId="11440" xfId="0" applyFont="1" applyBorder="1" applyAlignment="1"/>
    <xf numFmtId="0" fontId="11441" fillId="0" borderId="11441" xfId="0" applyFont="1" applyBorder="1" applyAlignment="1"/>
    <xf numFmtId="0" fontId="11442" fillId="0" borderId="11442" xfId="0" applyFont="1" applyBorder="1" applyAlignment="1"/>
    <xf numFmtId="0" fontId="11443" fillId="0" borderId="11443" xfId="0" applyFont="1" applyBorder="1" applyAlignment="1"/>
    <xf numFmtId="0" fontId="11444" fillId="0" borderId="11444" xfId="0" applyFont="1" applyBorder="1" applyAlignment="1"/>
    <xf numFmtId="0" fontId="11445" fillId="0" borderId="11445" xfId="0" applyFont="1" applyBorder="1" applyAlignment="1"/>
    <xf numFmtId="0" fontId="11446" fillId="0" borderId="11446" xfId="0" applyFont="1" applyBorder="1" applyAlignment="1"/>
    <xf numFmtId="0" fontId="11447" fillId="0" borderId="11447" xfId="0" applyFont="1" applyBorder="1" applyAlignment="1"/>
    <xf numFmtId="0" fontId="11448" fillId="0" borderId="11448" xfId="0" applyFont="1" applyBorder="1" applyAlignment="1"/>
    <xf numFmtId="0" fontId="11449" fillId="0" borderId="11449" xfId="0" applyFont="1" applyBorder="1" applyAlignment="1"/>
    <xf numFmtId="0" fontId="11450" fillId="0" borderId="11450" xfId="0" applyFont="1" applyBorder="1" applyAlignment="1"/>
    <xf numFmtId="0" fontId="11451" fillId="0" borderId="11451" xfId="0" applyFont="1" applyBorder="1" applyAlignment="1"/>
    <xf numFmtId="0" fontId="11452" fillId="0" borderId="11452" xfId="0" applyFont="1" applyBorder="1" applyAlignment="1"/>
    <xf numFmtId="0" fontId="11453" fillId="0" borderId="11453" xfId="0" applyFont="1" applyBorder="1" applyAlignment="1"/>
    <xf numFmtId="0" fontId="11454" fillId="0" borderId="11454" xfId="0" applyFont="1" applyBorder="1" applyAlignment="1"/>
    <xf numFmtId="0" fontId="11455" fillId="0" borderId="11455" xfId="0" applyFont="1" applyBorder="1" applyAlignment="1"/>
    <xf numFmtId="0" fontId="11456" fillId="0" borderId="11456" xfId="0" applyFont="1" applyBorder="1" applyAlignment="1"/>
    <xf numFmtId="0" fontId="11457" fillId="0" borderId="11457" xfId="0" applyFont="1" applyBorder="1" applyAlignment="1"/>
    <xf numFmtId="0" fontId="11458" fillId="0" borderId="11458" xfId="0" applyFont="1" applyBorder="1" applyAlignment="1"/>
    <xf numFmtId="0" fontId="11459" fillId="0" borderId="11459" xfId="0" applyFont="1" applyBorder="1" applyAlignment="1"/>
    <xf numFmtId="0" fontId="11460" fillId="0" borderId="11460" xfId="0" applyFont="1" applyBorder="1" applyAlignment="1"/>
    <xf numFmtId="0" fontId="11461" fillId="0" borderId="11461" xfId="0" applyFont="1" applyBorder="1" applyAlignment="1"/>
    <xf numFmtId="0" fontId="11462" fillId="0" borderId="11462" xfId="0" applyFont="1" applyBorder="1" applyAlignment="1"/>
    <xf numFmtId="0" fontId="11463" fillId="0" borderId="11463" xfId="0" applyFont="1" applyBorder="1" applyAlignment="1"/>
    <xf numFmtId="0" fontId="11464" fillId="0" borderId="11464" xfId="0" applyFont="1" applyBorder="1" applyAlignment="1"/>
    <xf numFmtId="0" fontId="11465" fillId="0" borderId="11465" xfId="0" applyFont="1" applyBorder="1" applyAlignment="1"/>
    <xf numFmtId="0" fontId="11466" fillId="0" borderId="11466" xfId="0" applyFont="1" applyBorder="1" applyAlignment="1"/>
    <xf numFmtId="0" fontId="11467" fillId="0" borderId="11467" xfId="0" applyFont="1" applyBorder="1" applyAlignment="1"/>
    <xf numFmtId="0" fontId="11468" fillId="0" borderId="11468" xfId="0" applyFont="1" applyBorder="1" applyAlignment="1"/>
    <xf numFmtId="0" fontId="11469" fillId="0" borderId="11469" xfId="0" applyFont="1" applyBorder="1" applyAlignment="1"/>
    <xf numFmtId="0" fontId="11470" fillId="0" borderId="11470" xfId="0" applyFont="1" applyBorder="1" applyAlignment="1"/>
    <xf numFmtId="0" fontId="11471" fillId="0" borderId="11471" xfId="0" applyFont="1" applyBorder="1" applyAlignment="1"/>
    <xf numFmtId="0" fontId="11472" fillId="0" borderId="11472" xfId="0" applyFont="1" applyBorder="1" applyAlignment="1"/>
    <xf numFmtId="0" fontId="11473" fillId="0" borderId="11473" xfId="0" applyFont="1" applyBorder="1" applyAlignment="1"/>
    <xf numFmtId="0" fontId="11474" fillId="0" borderId="11474" xfId="0" applyFont="1" applyBorder="1" applyAlignment="1"/>
    <xf numFmtId="0" fontId="11475" fillId="0" borderId="11475" xfId="0" applyFont="1" applyBorder="1" applyAlignment="1"/>
    <xf numFmtId="0" fontId="11476" fillId="0" borderId="11476" xfId="0" applyFont="1" applyBorder="1" applyAlignment="1"/>
    <xf numFmtId="0" fontId="11477" fillId="0" borderId="11477" xfId="0" applyFont="1" applyBorder="1" applyAlignment="1"/>
    <xf numFmtId="0" fontId="11478" fillId="0" borderId="11478" xfId="0" applyFont="1" applyBorder="1" applyAlignment="1"/>
    <xf numFmtId="0" fontId="11479" fillId="0" borderId="11479" xfId="0" applyFont="1" applyBorder="1" applyAlignment="1"/>
    <xf numFmtId="0" fontId="11480" fillId="0" borderId="11480" xfId="0" applyFont="1" applyBorder="1" applyAlignment="1"/>
    <xf numFmtId="0" fontId="11481" fillId="0" borderId="11481" xfId="0" applyFont="1" applyBorder="1" applyAlignment="1"/>
    <xf numFmtId="0" fontId="11482" fillId="0" borderId="11482" xfId="0" applyFont="1" applyBorder="1" applyAlignment="1"/>
    <xf numFmtId="0" fontId="11483" fillId="0" borderId="11483" xfId="0" applyFont="1" applyBorder="1" applyAlignment="1"/>
    <xf numFmtId="0" fontId="11484" fillId="0" borderId="11484" xfId="0" applyFont="1" applyBorder="1" applyAlignment="1"/>
    <xf numFmtId="0" fontId="11485" fillId="0" borderId="11485" xfId="0" applyFont="1" applyBorder="1" applyAlignment="1"/>
    <xf numFmtId="0" fontId="11486" fillId="0" borderId="11486" xfId="0" applyFont="1" applyBorder="1" applyAlignment="1"/>
    <xf numFmtId="0" fontId="11487" fillId="0" borderId="11487" xfId="0" applyFont="1" applyBorder="1" applyAlignment="1"/>
    <xf numFmtId="0" fontId="11488" fillId="0" borderId="11488" xfId="0" applyFont="1" applyBorder="1" applyAlignment="1"/>
    <xf numFmtId="0" fontId="11489" fillId="0" borderId="11489" xfId="0" applyFont="1" applyBorder="1" applyAlignment="1"/>
    <xf numFmtId="0" fontId="11490" fillId="0" borderId="11490" xfId="0" applyFont="1" applyBorder="1" applyAlignment="1"/>
    <xf numFmtId="0" fontId="11491" fillId="0" borderId="11491" xfId="0" applyFont="1" applyBorder="1" applyAlignment="1"/>
    <xf numFmtId="0" fontId="11492" fillId="0" borderId="11492" xfId="0" applyFont="1" applyBorder="1" applyAlignment="1"/>
    <xf numFmtId="0" fontId="11493" fillId="0" borderId="11493" xfId="0" applyFont="1" applyBorder="1" applyAlignment="1"/>
    <xf numFmtId="0" fontId="11494" fillId="0" borderId="11494" xfId="0" applyFont="1" applyBorder="1" applyAlignment="1"/>
    <xf numFmtId="0" fontId="11495" fillId="0" borderId="11495" xfId="0" applyFont="1" applyBorder="1" applyAlignment="1"/>
    <xf numFmtId="0" fontId="11496" fillId="0" borderId="11496" xfId="0" applyFont="1" applyBorder="1" applyAlignment="1"/>
    <xf numFmtId="0" fontId="11497" fillId="0" borderId="11497" xfId="0" applyFont="1" applyBorder="1" applyAlignment="1"/>
    <xf numFmtId="0" fontId="11498" fillId="0" borderId="11498" xfId="0" applyFont="1" applyBorder="1" applyAlignment="1"/>
    <xf numFmtId="0" fontId="11499" fillId="0" borderId="11499" xfId="0" applyFont="1" applyBorder="1" applyAlignment="1"/>
    <xf numFmtId="0" fontId="11500" fillId="0" borderId="11500" xfId="0" applyFont="1" applyBorder="1" applyAlignment="1"/>
    <xf numFmtId="0" fontId="11501" fillId="0" borderId="11501" xfId="0" applyFont="1" applyBorder="1" applyAlignment="1"/>
    <xf numFmtId="0" fontId="11502" fillId="0" borderId="11502" xfId="0" applyFont="1" applyBorder="1" applyAlignment="1"/>
    <xf numFmtId="0" fontId="11503" fillId="0" borderId="11503" xfId="0" applyFont="1" applyBorder="1" applyAlignment="1"/>
    <xf numFmtId="0" fontId="11504" fillId="0" borderId="11504" xfId="0" applyFont="1" applyBorder="1" applyAlignment="1"/>
    <xf numFmtId="0" fontId="11505" fillId="0" borderId="11505" xfId="0" applyFont="1" applyBorder="1" applyAlignment="1"/>
    <xf numFmtId="0" fontId="11506" fillId="0" borderId="11506" xfId="0" applyFont="1" applyBorder="1" applyAlignment="1"/>
    <xf numFmtId="0" fontId="11507" fillId="0" borderId="11507" xfId="0" applyFont="1" applyBorder="1" applyAlignment="1"/>
    <xf numFmtId="0" fontId="11508" fillId="0" borderId="11508" xfId="0" applyFont="1" applyBorder="1" applyAlignment="1"/>
    <xf numFmtId="0" fontId="11509" fillId="0" borderId="11509" xfId="0" applyFont="1" applyBorder="1" applyAlignment="1"/>
    <xf numFmtId="0" fontId="11510" fillId="0" borderId="11510" xfId="0" applyFont="1" applyBorder="1" applyAlignment="1"/>
    <xf numFmtId="0" fontId="11511" fillId="0" borderId="11511" xfId="0" applyFont="1" applyBorder="1" applyAlignment="1"/>
    <xf numFmtId="0" fontId="11512" fillId="0" borderId="11512" xfId="0" applyFont="1" applyBorder="1" applyAlignment="1"/>
    <xf numFmtId="0" fontId="11513" fillId="0" borderId="11513" xfId="0" applyFont="1" applyBorder="1" applyAlignment="1"/>
    <xf numFmtId="0" fontId="11514" fillId="0" borderId="11514" xfId="0" applyFont="1" applyBorder="1" applyAlignment="1"/>
    <xf numFmtId="0" fontId="11515" fillId="0" borderId="11515" xfId="0" applyFont="1" applyBorder="1" applyAlignment="1"/>
    <xf numFmtId="0" fontId="11516" fillId="0" borderId="11516" xfId="0" applyFont="1" applyBorder="1" applyAlignment="1"/>
    <xf numFmtId="0" fontId="11517" fillId="0" borderId="11517" xfId="0" applyFont="1" applyBorder="1" applyAlignment="1"/>
    <xf numFmtId="0" fontId="11518" fillId="0" borderId="11518" xfId="0" applyFont="1" applyBorder="1" applyAlignment="1"/>
    <xf numFmtId="0" fontId="11519" fillId="0" borderId="11519" xfId="0" applyFont="1" applyBorder="1" applyAlignment="1"/>
    <xf numFmtId="0" fontId="11520" fillId="0" borderId="11520" xfId="0" applyFont="1" applyBorder="1" applyAlignment="1"/>
    <xf numFmtId="0" fontId="11521" fillId="0" borderId="11521" xfId="0" applyFont="1" applyBorder="1" applyAlignment="1"/>
    <xf numFmtId="0" fontId="11522" fillId="0" borderId="11522" xfId="0" applyFont="1" applyBorder="1" applyAlignment="1"/>
    <xf numFmtId="0" fontId="11523" fillId="0" borderId="11523" xfId="0" applyFont="1" applyBorder="1" applyAlignment="1"/>
    <xf numFmtId="0" fontId="11524" fillId="0" borderId="11524" xfId="0" applyFont="1" applyBorder="1" applyAlignment="1"/>
    <xf numFmtId="0" fontId="11525" fillId="0" borderId="11525" xfId="0" applyFont="1" applyBorder="1" applyAlignment="1"/>
    <xf numFmtId="0" fontId="11526" fillId="0" borderId="11526" xfId="0" applyFont="1" applyBorder="1" applyAlignment="1"/>
    <xf numFmtId="0" fontId="11527" fillId="0" borderId="11527" xfId="0" applyFont="1" applyBorder="1" applyAlignment="1"/>
    <xf numFmtId="0" fontId="11528" fillId="0" borderId="11528" xfId="0" applyFont="1" applyBorder="1" applyAlignment="1"/>
    <xf numFmtId="0" fontId="11529" fillId="0" borderId="11529" xfId="0" applyFont="1" applyBorder="1" applyAlignment="1"/>
    <xf numFmtId="0" fontId="11530" fillId="0" borderId="11530" xfId="0" applyFont="1" applyBorder="1" applyAlignment="1"/>
    <xf numFmtId="0" fontId="11531" fillId="0" borderId="11531" xfId="0" applyFont="1" applyBorder="1" applyAlignment="1"/>
    <xf numFmtId="0" fontId="11532" fillId="0" borderId="11532" xfId="0" applyFont="1" applyBorder="1" applyAlignment="1"/>
    <xf numFmtId="0" fontId="11533" fillId="0" borderId="11533" xfId="0" applyFont="1" applyBorder="1" applyAlignment="1"/>
    <xf numFmtId="0" fontId="11534" fillId="0" borderId="11534" xfId="0" applyFont="1" applyBorder="1" applyAlignment="1"/>
    <xf numFmtId="0" fontId="11535" fillId="0" borderId="11535" xfId="0" applyFont="1" applyBorder="1" applyAlignment="1"/>
    <xf numFmtId="0" fontId="11536" fillId="0" borderId="11536" xfId="0" applyFont="1" applyBorder="1" applyAlignment="1"/>
    <xf numFmtId="0" fontId="11537" fillId="0" borderId="11537" xfId="0" applyFont="1" applyBorder="1" applyAlignment="1"/>
    <xf numFmtId="0" fontId="11538" fillId="0" borderId="11538" xfId="0" applyFont="1" applyBorder="1" applyAlignment="1"/>
    <xf numFmtId="0" fontId="11539" fillId="0" borderId="11539" xfId="0" applyFont="1" applyBorder="1" applyAlignment="1"/>
    <xf numFmtId="0" fontId="11540" fillId="0" borderId="11540" xfId="0" applyFont="1" applyBorder="1" applyAlignment="1"/>
    <xf numFmtId="0" fontId="11541" fillId="0" borderId="11541" xfId="0" applyFont="1" applyBorder="1" applyAlignment="1"/>
    <xf numFmtId="0" fontId="11542" fillId="0" borderId="11542" xfId="0" applyFont="1" applyBorder="1" applyAlignment="1"/>
    <xf numFmtId="0" fontId="11543" fillId="0" borderId="11543" xfId="0" applyFont="1" applyBorder="1" applyAlignment="1"/>
    <xf numFmtId="0" fontId="11544" fillId="0" borderId="11544" xfId="0" applyFont="1" applyBorder="1" applyAlignment="1"/>
    <xf numFmtId="0" fontId="11545" fillId="0" borderId="11545" xfId="0" applyFont="1" applyBorder="1" applyAlignment="1"/>
    <xf numFmtId="0" fontId="11546" fillId="0" borderId="11546" xfId="0" applyFont="1" applyBorder="1" applyAlignment="1"/>
    <xf numFmtId="0" fontId="11547" fillId="0" borderId="11547" xfId="0" applyFont="1" applyBorder="1" applyAlignment="1"/>
    <xf numFmtId="0" fontId="11548" fillId="0" borderId="11548" xfId="0" applyFont="1" applyBorder="1" applyAlignment="1"/>
    <xf numFmtId="0" fontId="11549" fillId="0" borderId="11549" xfId="0" applyFont="1" applyBorder="1" applyAlignment="1"/>
    <xf numFmtId="0" fontId="11550" fillId="0" borderId="11550" xfId="0" applyFont="1" applyBorder="1" applyAlignment="1"/>
    <xf numFmtId="0" fontId="11551" fillId="0" borderId="11551" xfId="0" applyFont="1" applyBorder="1" applyAlignment="1"/>
    <xf numFmtId="0" fontId="11552" fillId="0" borderId="11552" xfId="0" applyFont="1" applyBorder="1" applyAlignment="1"/>
    <xf numFmtId="0" fontId="11553" fillId="0" borderId="11553" xfId="0" applyFont="1" applyBorder="1" applyAlignment="1"/>
    <xf numFmtId="0" fontId="11554" fillId="0" borderId="11554" xfId="0" applyFont="1" applyBorder="1" applyAlignment="1"/>
    <xf numFmtId="0" fontId="11555" fillId="0" borderId="11555" xfId="0" applyFont="1" applyBorder="1" applyAlignment="1"/>
    <xf numFmtId="0" fontId="11556" fillId="0" borderId="11556" xfId="0" applyFont="1" applyBorder="1" applyAlignment="1"/>
    <xf numFmtId="0" fontId="11557" fillId="0" borderId="11557" xfId="0" applyFont="1" applyBorder="1" applyAlignment="1"/>
    <xf numFmtId="0" fontId="11558" fillId="0" borderId="11558" xfId="0" applyFont="1" applyBorder="1" applyAlignment="1"/>
    <xf numFmtId="0" fontId="11559" fillId="0" borderId="11559" xfId="0" applyFont="1" applyBorder="1" applyAlignment="1"/>
    <xf numFmtId="0" fontId="11560" fillId="0" borderId="11560" xfId="0" applyFont="1" applyBorder="1" applyAlignment="1"/>
    <xf numFmtId="0" fontId="11561" fillId="0" borderId="11561" xfId="0" applyFont="1" applyBorder="1" applyAlignment="1"/>
    <xf numFmtId="0" fontId="11562" fillId="0" borderId="11562" xfId="0" applyFont="1" applyBorder="1" applyAlignment="1"/>
    <xf numFmtId="0" fontId="11563" fillId="0" borderId="11563" xfId="0" applyFont="1" applyBorder="1" applyAlignment="1"/>
    <xf numFmtId="0" fontId="11564" fillId="0" borderId="11564" xfId="0" applyFont="1" applyBorder="1" applyAlignment="1"/>
    <xf numFmtId="0" fontId="11565" fillId="0" borderId="11565" xfId="0" applyFont="1" applyBorder="1" applyAlignment="1"/>
    <xf numFmtId="0" fontId="11566" fillId="0" borderId="11566" xfId="0" applyFont="1" applyBorder="1" applyAlignment="1"/>
    <xf numFmtId="0" fontId="11567" fillId="0" borderId="11567" xfId="0" applyFont="1" applyBorder="1" applyAlignment="1"/>
    <xf numFmtId="0" fontId="11568" fillId="0" borderId="11568" xfId="0" applyFont="1" applyBorder="1" applyAlignment="1"/>
    <xf numFmtId="0" fontId="11569" fillId="0" borderId="11569" xfId="0" applyFont="1" applyBorder="1" applyAlignment="1"/>
    <xf numFmtId="0" fontId="11570" fillId="0" borderId="11570" xfId="0" applyFont="1" applyBorder="1" applyAlignment="1"/>
    <xf numFmtId="0" fontId="11571" fillId="0" borderId="11571" xfId="0" applyFont="1" applyBorder="1" applyAlignment="1"/>
    <xf numFmtId="0" fontId="11572" fillId="0" borderId="11572" xfId="0" applyFont="1" applyBorder="1" applyAlignment="1"/>
    <xf numFmtId="0" fontId="11573" fillId="0" borderId="11573" xfId="0" applyFont="1" applyBorder="1" applyAlignment="1"/>
    <xf numFmtId="0" fontId="11574" fillId="0" borderId="11574" xfId="0" applyFont="1" applyBorder="1" applyAlignment="1"/>
    <xf numFmtId="0" fontId="11575" fillId="0" borderId="11575" xfId="0" applyFont="1" applyBorder="1" applyAlignment="1"/>
    <xf numFmtId="0" fontId="11576" fillId="0" borderId="11576" xfId="0" applyFont="1" applyBorder="1" applyAlignment="1"/>
    <xf numFmtId="0" fontId="11577" fillId="0" borderId="11577" xfId="0" applyFont="1" applyBorder="1" applyAlignment="1"/>
    <xf numFmtId="0" fontId="11578" fillId="0" borderId="11578" xfId="0" applyFont="1" applyBorder="1" applyAlignment="1"/>
    <xf numFmtId="0" fontId="11579" fillId="0" borderId="11579" xfId="0" applyFont="1" applyBorder="1" applyAlignment="1"/>
    <xf numFmtId="0" fontId="11580" fillId="0" borderId="11580" xfId="0" applyFont="1" applyBorder="1" applyAlignment="1"/>
    <xf numFmtId="0" fontId="11581" fillId="0" borderId="11581" xfId="0" applyFont="1" applyBorder="1" applyAlignment="1"/>
    <xf numFmtId="0" fontId="11582" fillId="0" borderId="11582" xfId="0" applyFont="1" applyBorder="1" applyAlignment="1"/>
    <xf numFmtId="0" fontId="11583" fillId="0" borderId="11583" xfId="0" applyFont="1" applyBorder="1" applyAlignment="1"/>
    <xf numFmtId="0" fontId="11584" fillId="0" borderId="11584" xfId="0" applyFont="1" applyBorder="1" applyAlignment="1"/>
    <xf numFmtId="0" fontId="11585" fillId="0" borderId="11585" xfId="0" applyFont="1" applyBorder="1" applyAlignment="1"/>
    <xf numFmtId="0" fontId="11586" fillId="0" borderId="11586" xfId="0" applyFont="1" applyBorder="1" applyAlignment="1"/>
    <xf numFmtId="0" fontId="11587" fillId="0" borderId="11587" xfId="0" applyFont="1" applyBorder="1" applyAlignment="1"/>
    <xf numFmtId="0" fontId="11588" fillId="0" borderId="11588" xfId="0" applyFont="1" applyBorder="1" applyAlignment="1"/>
    <xf numFmtId="0" fontId="11589" fillId="0" borderId="11589" xfId="0" applyFont="1" applyBorder="1" applyAlignment="1"/>
    <xf numFmtId="0" fontId="11590" fillId="0" borderId="11590" xfId="0" applyFont="1" applyBorder="1" applyAlignment="1"/>
    <xf numFmtId="0" fontId="11591" fillId="0" borderId="11591" xfId="0" applyFont="1" applyBorder="1" applyAlignment="1"/>
    <xf numFmtId="0" fontId="11592" fillId="0" borderId="11592" xfId="0" applyFont="1" applyBorder="1" applyAlignment="1"/>
    <xf numFmtId="0" fontId="11593" fillId="0" borderId="11593" xfId="0" applyFont="1" applyBorder="1" applyAlignment="1"/>
    <xf numFmtId="0" fontId="11594" fillId="0" borderId="11594" xfId="0" applyFont="1" applyBorder="1" applyAlignment="1"/>
    <xf numFmtId="0" fontId="11595" fillId="0" borderId="11595" xfId="0" applyFont="1" applyBorder="1" applyAlignment="1"/>
    <xf numFmtId="0" fontId="11596" fillId="0" borderId="11596" xfId="0" applyFont="1" applyBorder="1" applyAlignment="1"/>
    <xf numFmtId="0" fontId="11597" fillId="0" borderId="11597" xfId="0" applyFont="1" applyBorder="1" applyAlignment="1"/>
    <xf numFmtId="0" fontId="11598" fillId="0" borderId="11598" xfId="0" applyFont="1" applyBorder="1" applyAlignment="1"/>
    <xf numFmtId="0" fontId="11599" fillId="0" borderId="11599" xfId="0" applyFont="1" applyBorder="1" applyAlignment="1"/>
    <xf numFmtId="0" fontId="11600" fillId="0" borderId="11600" xfId="0" applyFont="1" applyBorder="1" applyAlignment="1"/>
    <xf numFmtId="0" fontId="11601" fillId="0" borderId="11601" xfId="0" applyFont="1" applyBorder="1" applyAlignment="1"/>
    <xf numFmtId="0" fontId="11602" fillId="0" borderId="11602" xfId="0" applyFont="1" applyBorder="1" applyAlignment="1"/>
    <xf numFmtId="0" fontId="11603" fillId="0" borderId="11603" xfId="0" applyFont="1" applyBorder="1" applyAlignment="1"/>
    <xf numFmtId="0" fontId="11604" fillId="0" borderId="11604" xfId="0" applyFont="1" applyBorder="1" applyAlignment="1"/>
    <xf numFmtId="0" fontId="11605" fillId="0" borderId="11605" xfId="0" applyFont="1" applyBorder="1" applyAlignment="1"/>
    <xf numFmtId="0" fontId="11606" fillId="0" borderId="11606" xfId="0" applyFont="1" applyBorder="1" applyAlignment="1"/>
    <xf numFmtId="0" fontId="11607" fillId="0" borderId="11607" xfId="0" applyFont="1" applyBorder="1" applyAlignment="1"/>
    <xf numFmtId="0" fontId="11608" fillId="0" borderId="11608" xfId="0" applyFont="1" applyBorder="1" applyAlignment="1"/>
    <xf numFmtId="0" fontId="11609" fillId="0" borderId="11609" xfId="0" applyFont="1" applyBorder="1" applyAlignment="1"/>
    <xf numFmtId="0" fontId="11610" fillId="0" borderId="11610" xfId="0" applyFont="1" applyBorder="1" applyAlignment="1"/>
    <xf numFmtId="0" fontId="11611" fillId="0" borderId="11611" xfId="0" applyFont="1" applyBorder="1" applyAlignment="1"/>
    <xf numFmtId="0" fontId="11612" fillId="0" borderId="11612" xfId="0" applyFont="1" applyBorder="1" applyAlignment="1"/>
    <xf numFmtId="0" fontId="11613" fillId="0" borderId="11613" xfId="0" applyFont="1" applyBorder="1" applyAlignment="1"/>
    <xf numFmtId="0" fontId="11614" fillId="0" borderId="11614" xfId="0" applyFont="1" applyBorder="1" applyAlignment="1"/>
    <xf numFmtId="0" fontId="11615" fillId="0" borderId="11615" xfId="0" applyFont="1" applyBorder="1" applyAlignment="1"/>
    <xf numFmtId="0" fontId="11616" fillId="0" borderId="11616" xfId="0" applyFont="1" applyBorder="1" applyAlignment="1"/>
    <xf numFmtId="0" fontId="11617" fillId="0" borderId="11617" xfId="0" applyFont="1" applyBorder="1" applyAlignment="1"/>
    <xf numFmtId="0" fontId="11618" fillId="0" borderId="11618" xfId="0" applyFont="1" applyBorder="1" applyAlignment="1"/>
    <xf numFmtId="0" fontId="11619" fillId="0" borderId="11619" xfId="0" applyFont="1" applyBorder="1" applyAlignment="1"/>
    <xf numFmtId="0" fontId="11620" fillId="0" borderId="11620" xfId="0" applyFont="1" applyBorder="1" applyAlignment="1"/>
    <xf numFmtId="0" fontId="11621" fillId="0" borderId="11621" xfId="0" applyFont="1" applyBorder="1" applyAlignment="1"/>
    <xf numFmtId="0" fontId="11622" fillId="0" borderId="11622" xfId="0" applyFont="1" applyBorder="1" applyAlignment="1"/>
    <xf numFmtId="0" fontId="11623" fillId="0" borderId="11623" xfId="0" applyFont="1" applyBorder="1" applyAlignment="1"/>
    <xf numFmtId="0" fontId="11624" fillId="0" borderId="11624" xfId="0" applyFont="1" applyBorder="1" applyAlignment="1"/>
    <xf numFmtId="0" fontId="11625" fillId="0" borderId="11625" xfId="0" applyFont="1" applyBorder="1" applyAlignment="1"/>
    <xf numFmtId="0" fontId="11626" fillId="0" borderId="11626" xfId="0" applyFont="1" applyBorder="1" applyAlignment="1"/>
    <xf numFmtId="0" fontId="11627" fillId="0" borderId="11627" xfId="0" applyFont="1" applyBorder="1" applyAlignment="1"/>
    <xf numFmtId="0" fontId="11628" fillId="0" borderId="11628" xfId="0" applyFont="1" applyBorder="1" applyAlignment="1"/>
    <xf numFmtId="0" fontId="11629" fillId="0" borderId="11629" xfId="0" applyFont="1" applyBorder="1" applyAlignment="1"/>
    <xf numFmtId="0" fontId="11630" fillId="0" borderId="11630" xfId="0" applyFont="1" applyBorder="1" applyAlignment="1"/>
    <xf numFmtId="0" fontId="11631" fillId="0" borderId="11631" xfId="0" applyFont="1" applyBorder="1" applyAlignment="1"/>
    <xf numFmtId="0" fontId="11632" fillId="0" borderId="11632" xfId="0" applyFont="1" applyBorder="1" applyAlignment="1"/>
    <xf numFmtId="0" fontId="11633" fillId="0" borderId="11633" xfId="0" applyFont="1" applyBorder="1" applyAlignment="1"/>
    <xf numFmtId="0" fontId="11634" fillId="0" borderId="11634" xfId="0" applyFont="1" applyBorder="1" applyAlignment="1"/>
    <xf numFmtId="0" fontId="11635" fillId="0" borderId="11635" xfId="0" applyFont="1" applyBorder="1" applyAlignment="1"/>
    <xf numFmtId="0" fontId="11636" fillId="0" borderId="11636" xfId="0" applyFont="1" applyBorder="1" applyAlignment="1"/>
    <xf numFmtId="0" fontId="11637" fillId="0" borderId="11637" xfId="0" applyFont="1" applyBorder="1" applyAlignment="1"/>
    <xf numFmtId="0" fontId="11638" fillId="0" borderId="11638" xfId="0" applyFont="1" applyBorder="1" applyAlignment="1"/>
    <xf numFmtId="0" fontId="11639" fillId="0" borderId="11639" xfId="0" applyFont="1" applyBorder="1" applyAlignment="1"/>
    <xf numFmtId="0" fontId="11640" fillId="0" borderId="11640" xfId="0" applyFont="1" applyBorder="1" applyAlignment="1"/>
    <xf numFmtId="0" fontId="11641" fillId="0" borderId="11641" xfId="0" applyFont="1" applyBorder="1" applyAlignment="1"/>
    <xf numFmtId="0" fontId="11642" fillId="0" borderId="11642" xfId="0" applyFont="1" applyBorder="1" applyAlignment="1"/>
    <xf numFmtId="0" fontId="11643" fillId="0" borderId="11643" xfId="0" applyFont="1" applyBorder="1" applyAlignment="1"/>
    <xf numFmtId="0" fontId="11644" fillId="0" borderId="11644" xfId="0" applyFont="1" applyBorder="1" applyAlignment="1"/>
    <xf numFmtId="0" fontId="11645" fillId="0" borderId="11645" xfId="0" applyFont="1" applyBorder="1" applyAlignment="1"/>
    <xf numFmtId="0" fontId="11646" fillId="0" borderId="11646" xfId="0" applyFont="1" applyBorder="1" applyAlignment="1"/>
    <xf numFmtId="0" fontId="11647" fillId="0" borderId="11647" xfId="0" applyFont="1" applyBorder="1" applyAlignment="1"/>
    <xf numFmtId="0" fontId="11648" fillId="0" borderId="11648" xfId="0" applyFont="1" applyBorder="1" applyAlignment="1"/>
    <xf numFmtId="0" fontId="11649" fillId="0" borderId="11649" xfId="0" applyFont="1" applyBorder="1" applyAlignment="1"/>
    <xf numFmtId="0" fontId="11650" fillId="0" borderId="11650" xfId="0" applyFont="1" applyBorder="1" applyAlignment="1"/>
    <xf numFmtId="0" fontId="11651" fillId="0" borderId="11651" xfId="0" applyFont="1" applyBorder="1" applyAlignment="1"/>
    <xf numFmtId="0" fontId="11652" fillId="0" borderId="11652" xfId="0" applyFont="1" applyBorder="1" applyAlignment="1"/>
    <xf numFmtId="0" fontId="11653" fillId="0" borderId="11653" xfId="0" applyFont="1" applyBorder="1" applyAlignment="1"/>
    <xf numFmtId="0" fontId="11654" fillId="0" borderId="11654" xfId="0" applyFont="1" applyBorder="1" applyAlignment="1"/>
    <xf numFmtId="0" fontId="11655" fillId="0" borderId="11655" xfId="0" applyFont="1" applyBorder="1" applyAlignment="1"/>
    <xf numFmtId="0" fontId="11656" fillId="0" borderId="11656" xfId="0" applyFont="1" applyBorder="1" applyAlignment="1"/>
    <xf numFmtId="0" fontId="11657" fillId="0" borderId="11657" xfId="0" applyFont="1" applyBorder="1" applyAlignment="1"/>
    <xf numFmtId="0" fontId="11658" fillId="0" borderId="11658" xfId="0" applyFont="1" applyBorder="1" applyAlignment="1"/>
    <xf numFmtId="0" fontId="11659" fillId="0" borderId="11659" xfId="0" applyFont="1" applyBorder="1" applyAlignment="1"/>
    <xf numFmtId="0" fontId="11660" fillId="0" borderId="11660" xfId="0" applyFont="1" applyBorder="1" applyAlignment="1"/>
    <xf numFmtId="0" fontId="11661" fillId="0" borderId="11661" xfId="0" applyFont="1" applyBorder="1" applyAlignment="1"/>
    <xf numFmtId="0" fontId="11662" fillId="0" borderId="11662" xfId="0" applyFont="1" applyBorder="1" applyAlignment="1"/>
    <xf numFmtId="0" fontId="11663" fillId="0" borderId="11663" xfId="0" applyFont="1" applyBorder="1" applyAlignment="1"/>
    <xf numFmtId="0" fontId="11664" fillId="0" borderId="11664" xfId="0" applyFont="1" applyBorder="1" applyAlignment="1"/>
    <xf numFmtId="0" fontId="11665" fillId="0" borderId="11665" xfId="0" applyFont="1" applyBorder="1" applyAlignment="1"/>
    <xf numFmtId="0" fontId="11666" fillId="0" borderId="11666" xfId="0" applyFont="1" applyBorder="1" applyAlignment="1"/>
    <xf numFmtId="0" fontId="11667" fillId="0" borderId="11667" xfId="0" applyFont="1" applyBorder="1" applyAlignment="1"/>
    <xf numFmtId="0" fontId="11668" fillId="0" borderId="11668" xfId="0" applyFont="1" applyBorder="1" applyAlignment="1"/>
    <xf numFmtId="0" fontId="11669" fillId="0" borderId="11669" xfId="0" applyFont="1" applyBorder="1" applyAlignment="1"/>
    <xf numFmtId="0" fontId="11670" fillId="0" borderId="11670" xfId="0" applyFont="1" applyBorder="1" applyAlignment="1"/>
    <xf numFmtId="0" fontId="11671" fillId="0" borderId="11671" xfId="0" applyFont="1" applyBorder="1" applyAlignment="1"/>
    <xf numFmtId="0" fontId="11672" fillId="0" borderId="11672" xfId="0" applyFont="1" applyBorder="1" applyAlignment="1"/>
    <xf numFmtId="0" fontId="11673" fillId="0" borderId="11673" xfId="0" applyFont="1" applyBorder="1" applyAlignment="1"/>
    <xf numFmtId="0" fontId="11674" fillId="0" borderId="11674" xfId="0" applyFont="1" applyBorder="1" applyAlignment="1"/>
    <xf numFmtId="0" fontId="11675" fillId="0" borderId="11675" xfId="0" applyFont="1" applyBorder="1" applyAlignment="1"/>
    <xf numFmtId="0" fontId="11676" fillId="0" borderId="11676" xfId="0" applyFont="1" applyBorder="1" applyAlignment="1"/>
    <xf numFmtId="0" fontId="11677" fillId="0" borderId="11677" xfId="0" applyFont="1" applyBorder="1" applyAlignment="1"/>
    <xf numFmtId="0" fontId="11678" fillId="0" borderId="11678" xfId="0" applyFont="1" applyBorder="1" applyAlignment="1"/>
    <xf numFmtId="0" fontId="11679" fillId="0" borderId="11679" xfId="0" applyFont="1" applyBorder="1" applyAlignment="1"/>
    <xf numFmtId="0" fontId="11680" fillId="0" borderId="11680" xfId="0" applyFont="1" applyBorder="1" applyAlignment="1"/>
    <xf numFmtId="0" fontId="11681" fillId="0" borderId="11681" xfId="0" applyFont="1" applyBorder="1" applyAlignment="1"/>
    <xf numFmtId="0" fontId="11682" fillId="0" borderId="11682" xfId="0" applyFont="1" applyBorder="1" applyAlignment="1"/>
    <xf numFmtId="0" fontId="11683" fillId="0" borderId="11683" xfId="0" applyFont="1" applyBorder="1" applyAlignment="1"/>
    <xf numFmtId="0" fontId="11684" fillId="0" borderId="11684" xfId="0" applyFont="1" applyBorder="1" applyAlignment="1"/>
    <xf numFmtId="0" fontId="11685" fillId="0" borderId="11685" xfId="0" applyFont="1" applyBorder="1" applyAlignment="1"/>
    <xf numFmtId="0" fontId="11686" fillId="0" borderId="11686" xfId="0" applyFont="1" applyBorder="1" applyAlignment="1"/>
    <xf numFmtId="0" fontId="11687" fillId="0" borderId="11687" xfId="0" applyFont="1" applyBorder="1" applyAlignment="1"/>
    <xf numFmtId="0" fontId="11688" fillId="0" borderId="11688" xfId="0" applyFont="1" applyBorder="1" applyAlignment="1"/>
    <xf numFmtId="0" fontId="11689" fillId="0" borderId="11689" xfId="0" applyFont="1" applyBorder="1" applyAlignment="1"/>
    <xf numFmtId="0" fontId="11690" fillId="0" borderId="11690" xfId="0" applyFont="1" applyBorder="1" applyAlignment="1"/>
    <xf numFmtId="0" fontId="11691" fillId="0" borderId="11691" xfId="0" applyFont="1" applyBorder="1" applyAlignment="1"/>
    <xf numFmtId="0" fontId="11692" fillId="0" borderId="11692" xfId="0" applyFont="1" applyBorder="1" applyAlignment="1"/>
    <xf numFmtId="0" fontId="11693" fillId="0" borderId="11693" xfId="0" applyFont="1" applyBorder="1" applyAlignment="1"/>
    <xf numFmtId="0" fontId="11694" fillId="0" borderId="11694" xfId="0" applyFont="1" applyBorder="1" applyAlignment="1"/>
    <xf numFmtId="0" fontId="11695" fillId="0" borderId="11695" xfId="0" applyFont="1" applyBorder="1" applyAlignment="1"/>
    <xf numFmtId="0" fontId="11696" fillId="0" borderId="11696" xfId="0" applyFont="1" applyBorder="1" applyAlignment="1"/>
    <xf numFmtId="0" fontId="11697" fillId="0" borderId="11697" xfId="0" applyFont="1" applyBorder="1" applyAlignment="1"/>
    <xf numFmtId="0" fontId="11698" fillId="0" borderId="11698" xfId="0" applyFont="1" applyBorder="1" applyAlignment="1"/>
    <xf numFmtId="0" fontId="11699" fillId="0" borderId="11699" xfId="0" applyFont="1" applyBorder="1" applyAlignment="1"/>
    <xf numFmtId="0" fontId="11700" fillId="0" borderId="11700" xfId="0" applyFont="1" applyBorder="1" applyAlignment="1"/>
    <xf numFmtId="0" fontId="11701" fillId="0" borderId="11701" xfId="0" applyFont="1" applyBorder="1" applyAlignment="1"/>
    <xf numFmtId="0" fontId="11702" fillId="0" borderId="11702" xfId="0" applyFont="1" applyBorder="1" applyAlignment="1"/>
    <xf numFmtId="0" fontId="11703" fillId="0" borderId="11703" xfId="0" applyFont="1" applyBorder="1" applyAlignment="1"/>
    <xf numFmtId="0" fontId="11704" fillId="0" borderId="11704" xfId="0" applyFont="1" applyBorder="1" applyAlignment="1"/>
    <xf numFmtId="0" fontId="11705" fillId="0" borderId="11705" xfId="0" applyFont="1" applyBorder="1" applyAlignment="1"/>
    <xf numFmtId="0" fontId="11706" fillId="0" borderId="11706" xfId="0" applyFont="1" applyBorder="1" applyAlignment="1"/>
    <xf numFmtId="0" fontId="11707" fillId="0" borderId="11707" xfId="0" applyFont="1" applyBorder="1" applyAlignment="1"/>
    <xf numFmtId="0" fontId="11708" fillId="0" borderId="11708" xfId="0" applyFont="1" applyBorder="1" applyAlignment="1"/>
    <xf numFmtId="0" fontId="11709" fillId="0" borderId="11709" xfId="0" applyFont="1" applyBorder="1" applyAlignment="1"/>
    <xf numFmtId="0" fontId="11710" fillId="0" borderId="11710" xfId="0" applyFont="1" applyBorder="1" applyAlignment="1"/>
    <xf numFmtId="0" fontId="11711" fillId="0" borderId="11711" xfId="0" applyFont="1" applyBorder="1" applyAlignment="1"/>
    <xf numFmtId="0" fontId="11712" fillId="0" borderId="11712" xfId="0" applyFont="1" applyBorder="1" applyAlignment="1"/>
    <xf numFmtId="0" fontId="11713" fillId="0" borderId="11713" xfId="0" applyFont="1" applyBorder="1" applyAlignment="1"/>
    <xf numFmtId="0" fontId="11714" fillId="0" borderId="11714" xfId="0" applyFont="1" applyBorder="1" applyAlignment="1"/>
    <xf numFmtId="0" fontId="11715" fillId="0" borderId="11715" xfId="0" applyFont="1" applyBorder="1" applyAlignment="1"/>
    <xf numFmtId="0" fontId="11716" fillId="0" borderId="11716" xfId="0" applyFont="1" applyBorder="1" applyAlignment="1"/>
    <xf numFmtId="0" fontId="11717" fillId="0" borderId="11717" xfId="0" applyFont="1" applyBorder="1" applyAlignment="1"/>
    <xf numFmtId="0" fontId="11718" fillId="0" borderId="11718" xfId="0" applyFont="1" applyBorder="1" applyAlignment="1"/>
    <xf numFmtId="0" fontId="11719" fillId="0" borderId="11719" xfId="0" applyFont="1" applyBorder="1" applyAlignment="1"/>
    <xf numFmtId="0" fontId="11720" fillId="0" borderId="11720" xfId="0" applyFont="1" applyBorder="1" applyAlignment="1"/>
    <xf numFmtId="0" fontId="11721" fillId="0" borderId="11721" xfId="0" applyFont="1" applyBorder="1" applyAlignment="1"/>
    <xf numFmtId="0" fontId="11722" fillId="0" borderId="11722" xfId="0" applyFont="1" applyBorder="1" applyAlignment="1"/>
    <xf numFmtId="0" fontId="11723" fillId="0" borderId="11723" xfId="0" applyFont="1" applyBorder="1" applyAlignment="1"/>
    <xf numFmtId="0" fontId="11724" fillId="0" borderId="11724" xfId="0" applyFont="1" applyBorder="1" applyAlignment="1"/>
    <xf numFmtId="0" fontId="11725" fillId="0" borderId="11725" xfId="0" applyFont="1" applyBorder="1" applyAlignment="1"/>
    <xf numFmtId="0" fontId="11726" fillId="0" borderId="11726" xfId="0" applyFont="1" applyBorder="1" applyAlignment="1"/>
    <xf numFmtId="0" fontId="11727" fillId="0" borderId="11727" xfId="0" applyFont="1" applyBorder="1" applyAlignment="1"/>
    <xf numFmtId="0" fontId="11728" fillId="0" borderId="11728" xfId="0" applyFont="1" applyBorder="1" applyAlignment="1"/>
    <xf numFmtId="0" fontId="11729" fillId="0" borderId="11729" xfId="0" applyFont="1" applyBorder="1" applyAlignment="1"/>
    <xf numFmtId="0" fontId="11730" fillId="0" borderId="11730" xfId="0" applyFont="1" applyBorder="1" applyAlignment="1"/>
    <xf numFmtId="0" fontId="11731" fillId="0" borderId="11731" xfId="0" applyFont="1" applyBorder="1" applyAlignment="1"/>
    <xf numFmtId="0" fontId="11732" fillId="0" borderId="11732" xfId="0" applyFont="1" applyBorder="1" applyAlignment="1"/>
    <xf numFmtId="0" fontId="11733" fillId="0" borderId="11733" xfId="0" applyFont="1" applyBorder="1" applyAlignment="1"/>
    <xf numFmtId="0" fontId="11734" fillId="0" borderId="11734" xfId="0" applyFont="1" applyBorder="1" applyAlignment="1"/>
    <xf numFmtId="0" fontId="11735" fillId="0" borderId="11735" xfId="0" applyFont="1" applyBorder="1" applyAlignment="1"/>
    <xf numFmtId="0" fontId="11736" fillId="0" borderId="11736" xfId="0" applyFont="1" applyBorder="1" applyAlignment="1"/>
    <xf numFmtId="0" fontId="11737" fillId="0" borderId="11737" xfId="0" applyFont="1" applyBorder="1" applyAlignment="1"/>
    <xf numFmtId="0" fontId="11738" fillId="0" borderId="11738" xfId="0" applyFont="1" applyBorder="1" applyAlignment="1"/>
    <xf numFmtId="0" fontId="11739" fillId="0" borderId="11739" xfId="0" applyFont="1" applyBorder="1" applyAlignment="1"/>
    <xf numFmtId="0" fontId="11740" fillId="0" borderId="11740" xfId="0" applyFont="1" applyBorder="1" applyAlignment="1"/>
    <xf numFmtId="0" fontId="11741" fillId="0" borderId="11741" xfId="0" applyFont="1" applyBorder="1" applyAlignment="1"/>
    <xf numFmtId="0" fontId="11742" fillId="0" borderId="11742" xfId="0" applyFont="1" applyBorder="1" applyAlignment="1"/>
    <xf numFmtId="0" fontId="11743" fillId="0" borderId="11743" xfId="0" applyFont="1" applyBorder="1" applyAlignment="1"/>
    <xf numFmtId="0" fontId="11744" fillId="0" borderId="11744" xfId="0" applyFont="1" applyBorder="1" applyAlignment="1"/>
    <xf numFmtId="0" fontId="11745" fillId="0" borderId="11745" xfId="0" applyFont="1" applyBorder="1" applyAlignment="1"/>
    <xf numFmtId="0" fontId="11746" fillId="0" borderId="11746" xfId="0" applyFont="1" applyBorder="1" applyAlignment="1"/>
    <xf numFmtId="0" fontId="11747" fillId="0" borderId="11747" xfId="0" applyFont="1" applyBorder="1" applyAlignment="1"/>
    <xf numFmtId="0" fontId="11748" fillId="0" borderId="11748" xfId="0" applyFont="1" applyBorder="1" applyAlignment="1"/>
    <xf numFmtId="0" fontId="11749" fillId="0" borderId="11749" xfId="0" applyFont="1" applyBorder="1" applyAlignment="1"/>
    <xf numFmtId="0" fontId="11750" fillId="0" borderId="11750" xfId="0" applyFont="1" applyBorder="1" applyAlignment="1"/>
    <xf numFmtId="0" fontId="11751" fillId="0" borderId="11751" xfId="0" applyFont="1" applyBorder="1" applyAlignment="1"/>
    <xf numFmtId="0" fontId="11752" fillId="0" borderId="11752" xfId="0" applyFont="1" applyBorder="1" applyAlignment="1"/>
    <xf numFmtId="0" fontId="11753" fillId="0" borderId="11753" xfId="0" applyFont="1" applyBorder="1" applyAlignment="1"/>
    <xf numFmtId="0" fontId="11754" fillId="0" borderId="11754" xfId="0" applyFont="1" applyBorder="1" applyAlignment="1"/>
    <xf numFmtId="0" fontId="11755" fillId="0" borderId="11755" xfId="0" applyFont="1" applyBorder="1" applyAlignment="1"/>
    <xf numFmtId="0" fontId="11756" fillId="0" borderId="11756" xfId="0" applyFont="1" applyBorder="1" applyAlignment="1"/>
    <xf numFmtId="0" fontId="11757" fillId="0" borderId="11757" xfId="0" applyFont="1" applyBorder="1" applyAlignment="1"/>
    <xf numFmtId="0" fontId="11758" fillId="0" borderId="11758" xfId="0" applyFont="1" applyBorder="1" applyAlignment="1"/>
    <xf numFmtId="0" fontId="11759" fillId="0" borderId="11759" xfId="0" applyFont="1" applyBorder="1" applyAlignment="1"/>
    <xf numFmtId="0" fontId="11760" fillId="0" borderId="11760" xfId="0" applyFont="1" applyBorder="1" applyAlignment="1"/>
    <xf numFmtId="0" fontId="11761" fillId="0" borderId="11761" xfId="0" applyFont="1" applyBorder="1" applyAlignment="1"/>
    <xf numFmtId="0" fontId="11762" fillId="0" borderId="11762" xfId="0" applyFont="1" applyBorder="1" applyAlignment="1"/>
    <xf numFmtId="0" fontId="11763" fillId="0" borderId="11763" xfId="0" applyFont="1" applyBorder="1" applyAlignment="1"/>
    <xf numFmtId="0" fontId="11764" fillId="0" borderId="11764" xfId="0" applyFont="1" applyBorder="1" applyAlignment="1"/>
    <xf numFmtId="0" fontId="11765" fillId="0" borderId="11765" xfId="0" applyFont="1" applyBorder="1" applyAlignment="1"/>
    <xf numFmtId="0" fontId="11766" fillId="0" borderId="11766" xfId="0" applyFont="1" applyBorder="1" applyAlignment="1"/>
    <xf numFmtId="0" fontId="11767" fillId="0" borderId="11767" xfId="0" applyFont="1" applyBorder="1" applyAlignment="1"/>
    <xf numFmtId="0" fontId="11768" fillId="0" borderId="11768" xfId="0" applyFont="1" applyBorder="1" applyAlignment="1"/>
    <xf numFmtId="0" fontId="11769" fillId="0" borderId="11769" xfId="0" applyFont="1" applyBorder="1" applyAlignment="1"/>
    <xf numFmtId="0" fontId="11770" fillId="0" borderId="11770" xfId="0" applyFont="1" applyBorder="1" applyAlignment="1"/>
    <xf numFmtId="0" fontId="11771" fillId="0" borderId="11771" xfId="0" applyFont="1" applyBorder="1" applyAlignment="1"/>
    <xf numFmtId="0" fontId="11772" fillId="0" borderId="11772" xfId="0" applyFont="1" applyBorder="1" applyAlignment="1"/>
    <xf numFmtId="0" fontId="11773" fillId="0" borderId="11773" xfId="0" applyFont="1" applyBorder="1" applyAlignment="1"/>
    <xf numFmtId="0" fontId="11774" fillId="0" borderId="11774" xfId="0" applyFont="1" applyBorder="1" applyAlignment="1"/>
    <xf numFmtId="0" fontId="11775" fillId="0" borderId="11775" xfId="0" applyFont="1" applyBorder="1" applyAlignment="1"/>
    <xf numFmtId="0" fontId="11776" fillId="0" borderId="11776" xfId="0" applyFont="1" applyBorder="1" applyAlignment="1"/>
    <xf numFmtId="0" fontId="11777" fillId="0" borderId="11777" xfId="0" applyFont="1" applyBorder="1" applyAlignment="1"/>
    <xf numFmtId="0" fontId="11778" fillId="0" borderId="11778" xfId="0" applyFont="1" applyBorder="1" applyAlignment="1"/>
    <xf numFmtId="0" fontId="11779" fillId="0" borderId="11779" xfId="0" applyFont="1" applyBorder="1" applyAlignment="1"/>
    <xf numFmtId="0" fontId="11780" fillId="0" borderId="11780" xfId="0" applyFont="1" applyBorder="1" applyAlignment="1"/>
    <xf numFmtId="0" fontId="11781" fillId="0" borderId="11781" xfId="0" applyFont="1" applyBorder="1" applyAlignment="1"/>
    <xf numFmtId="0" fontId="11782" fillId="0" borderId="11782" xfId="0" applyFont="1" applyBorder="1" applyAlignment="1"/>
    <xf numFmtId="0" fontId="11783" fillId="0" borderId="11783" xfId="0" applyFont="1" applyBorder="1" applyAlignment="1"/>
    <xf numFmtId="0" fontId="11784" fillId="0" borderId="11784" xfId="0" applyFont="1" applyBorder="1" applyAlignment="1"/>
    <xf numFmtId="0" fontId="11785" fillId="0" borderId="11785" xfId="0" applyFont="1" applyBorder="1" applyAlignment="1"/>
    <xf numFmtId="0" fontId="11786" fillId="0" borderId="11786" xfId="0" applyFont="1" applyBorder="1" applyAlignment="1"/>
    <xf numFmtId="0" fontId="11787" fillId="0" borderId="11787" xfId="0" applyFont="1" applyBorder="1" applyAlignment="1"/>
    <xf numFmtId="0" fontId="11788" fillId="0" borderId="11788" xfId="0" applyFont="1" applyBorder="1" applyAlignment="1"/>
    <xf numFmtId="0" fontId="11789" fillId="0" borderId="11789" xfId="0" applyFont="1" applyBorder="1" applyAlignment="1"/>
    <xf numFmtId="0" fontId="11790" fillId="0" borderId="11790" xfId="0" applyFont="1" applyBorder="1" applyAlignment="1"/>
    <xf numFmtId="0" fontId="11791" fillId="0" borderId="11791" xfId="0" applyFont="1" applyBorder="1" applyAlignment="1"/>
    <xf numFmtId="0" fontId="11792" fillId="0" borderId="11792" xfId="0" applyFont="1" applyBorder="1" applyAlignment="1"/>
    <xf numFmtId="0" fontId="11793" fillId="0" borderId="11793" xfId="0" applyFont="1" applyBorder="1" applyAlignment="1"/>
    <xf numFmtId="0" fontId="11794" fillId="0" borderId="11794" xfId="0" applyFont="1" applyBorder="1" applyAlignment="1"/>
    <xf numFmtId="0" fontId="11795" fillId="0" borderId="11795" xfId="0" applyFont="1" applyBorder="1" applyAlignment="1"/>
    <xf numFmtId="0" fontId="11796" fillId="0" borderId="11796" xfId="0" applyFont="1" applyBorder="1" applyAlignment="1"/>
    <xf numFmtId="0" fontId="11797" fillId="0" borderId="11797" xfId="0" applyFont="1" applyBorder="1" applyAlignment="1"/>
    <xf numFmtId="0" fontId="11798" fillId="0" borderId="11798" xfId="0" applyFont="1" applyBorder="1" applyAlignment="1"/>
    <xf numFmtId="0" fontId="11799" fillId="0" borderId="11799" xfId="0" applyFont="1" applyBorder="1" applyAlignment="1"/>
    <xf numFmtId="0" fontId="11800" fillId="0" borderId="11800" xfId="0" applyFont="1" applyBorder="1" applyAlignment="1"/>
    <xf numFmtId="0" fontId="11801" fillId="0" borderId="11801" xfId="0" applyFont="1" applyBorder="1" applyAlignment="1"/>
    <xf numFmtId="0" fontId="11802" fillId="0" borderId="11802" xfId="0" applyFont="1" applyBorder="1" applyAlignment="1"/>
    <xf numFmtId="0" fontId="11803" fillId="0" borderId="11803" xfId="0" applyFont="1" applyBorder="1" applyAlignment="1"/>
    <xf numFmtId="0" fontId="11804" fillId="0" borderId="11804" xfId="0" applyFont="1" applyBorder="1" applyAlignment="1"/>
    <xf numFmtId="0" fontId="11805" fillId="0" borderId="11805" xfId="0" applyFont="1" applyBorder="1" applyAlignment="1"/>
    <xf numFmtId="0" fontId="11806" fillId="0" borderId="11806" xfId="0" applyFont="1" applyBorder="1" applyAlignment="1"/>
    <xf numFmtId="0" fontId="11807" fillId="0" borderId="11807" xfId="0" applyFont="1" applyBorder="1" applyAlignment="1"/>
    <xf numFmtId="0" fontId="11808" fillId="0" borderId="11808" xfId="0" applyFont="1" applyBorder="1" applyAlignment="1"/>
    <xf numFmtId="0" fontId="11809" fillId="0" borderId="11809" xfId="0" applyFont="1" applyBorder="1" applyAlignment="1"/>
    <xf numFmtId="0" fontId="11810" fillId="0" borderId="11810" xfId="0" applyFont="1" applyBorder="1" applyAlignment="1"/>
    <xf numFmtId="0" fontId="11811" fillId="0" borderId="11811" xfId="0" applyFont="1" applyBorder="1" applyAlignment="1"/>
    <xf numFmtId="0" fontId="11812" fillId="0" borderId="11812" xfId="0" applyFont="1" applyBorder="1" applyAlignment="1"/>
    <xf numFmtId="0" fontId="11813" fillId="0" borderId="11813" xfId="0" applyFont="1" applyBorder="1" applyAlignment="1"/>
    <xf numFmtId="0" fontId="11814" fillId="0" borderId="11814" xfId="0" applyFont="1" applyBorder="1" applyAlignment="1"/>
    <xf numFmtId="0" fontId="11815" fillId="0" borderId="11815" xfId="0" applyFont="1" applyBorder="1" applyAlignment="1"/>
    <xf numFmtId="0" fontId="11816" fillId="0" borderId="11816" xfId="0" applyFont="1" applyBorder="1" applyAlignment="1"/>
    <xf numFmtId="0" fontId="11817" fillId="0" borderId="11817" xfId="0" applyFont="1" applyBorder="1" applyAlignment="1"/>
    <xf numFmtId="0" fontId="11818" fillId="0" borderId="11818" xfId="0" applyFont="1" applyBorder="1" applyAlignment="1"/>
    <xf numFmtId="0" fontId="11819" fillId="0" borderId="11819" xfId="0" applyFont="1" applyBorder="1" applyAlignment="1"/>
    <xf numFmtId="0" fontId="11820" fillId="0" borderId="11820" xfId="0" applyFont="1" applyBorder="1" applyAlignment="1"/>
    <xf numFmtId="0" fontId="11821" fillId="0" borderId="11821" xfId="0" applyFont="1" applyBorder="1" applyAlignment="1"/>
    <xf numFmtId="0" fontId="11822" fillId="0" borderId="11822" xfId="0" applyFont="1" applyBorder="1" applyAlignment="1"/>
    <xf numFmtId="0" fontId="11823" fillId="0" borderId="11823" xfId="0" applyFont="1" applyBorder="1" applyAlignment="1"/>
    <xf numFmtId="0" fontId="11824" fillId="0" borderId="11824" xfId="0" applyFont="1" applyBorder="1" applyAlignment="1"/>
    <xf numFmtId="0" fontId="11825" fillId="0" borderId="11825" xfId="0" applyFont="1" applyBorder="1" applyAlignment="1"/>
    <xf numFmtId="0" fontId="11826" fillId="0" borderId="11826" xfId="0" applyFont="1" applyBorder="1" applyAlignment="1"/>
    <xf numFmtId="0" fontId="11827" fillId="0" borderId="11827" xfId="0" applyFont="1" applyBorder="1" applyAlignment="1"/>
    <xf numFmtId="0" fontId="11828" fillId="0" borderId="11828" xfId="0" applyFont="1" applyBorder="1" applyAlignment="1"/>
    <xf numFmtId="0" fontId="11829" fillId="0" borderId="11829" xfId="0" applyFont="1" applyBorder="1" applyAlignment="1"/>
    <xf numFmtId="0" fontId="11830" fillId="0" borderId="11830" xfId="0" applyFont="1" applyBorder="1" applyAlignment="1"/>
    <xf numFmtId="0" fontId="11831" fillId="0" borderId="11831" xfId="0" applyFont="1" applyBorder="1" applyAlignment="1"/>
    <xf numFmtId="0" fontId="11832" fillId="0" borderId="11832" xfId="0" applyFont="1" applyBorder="1" applyAlignment="1"/>
    <xf numFmtId="0" fontId="11833" fillId="0" borderId="11833" xfId="0" applyFont="1" applyBorder="1" applyAlignment="1"/>
    <xf numFmtId="0" fontId="11834" fillId="0" borderId="11834" xfId="0" applyFont="1" applyBorder="1" applyAlignment="1"/>
    <xf numFmtId="0" fontId="11835" fillId="0" borderId="11835" xfId="0" applyFont="1" applyBorder="1" applyAlignment="1"/>
    <xf numFmtId="0" fontId="11836" fillId="0" borderId="11836" xfId="0" applyFont="1" applyBorder="1" applyAlignment="1"/>
    <xf numFmtId="0" fontId="11837" fillId="0" borderId="11837" xfId="0" applyFont="1" applyBorder="1" applyAlignment="1"/>
    <xf numFmtId="0" fontId="11838" fillId="0" borderId="11838" xfId="0" applyFont="1" applyBorder="1" applyAlignment="1"/>
    <xf numFmtId="0" fontId="11839" fillId="0" borderId="11839" xfId="0" applyFont="1" applyBorder="1" applyAlignment="1"/>
    <xf numFmtId="0" fontId="11840" fillId="0" borderId="11840" xfId="0" applyFont="1" applyBorder="1" applyAlignment="1"/>
    <xf numFmtId="0" fontId="11841" fillId="0" borderId="11841" xfId="0" applyFont="1" applyBorder="1" applyAlignment="1"/>
    <xf numFmtId="0" fontId="11842" fillId="0" borderId="11842" xfId="0" applyFont="1" applyBorder="1" applyAlignment="1"/>
    <xf numFmtId="0" fontId="11843" fillId="0" borderId="11843" xfId="0" applyFont="1" applyBorder="1" applyAlignment="1"/>
    <xf numFmtId="0" fontId="11844" fillId="0" borderId="11844" xfId="0" applyFont="1" applyBorder="1" applyAlignment="1"/>
    <xf numFmtId="0" fontId="11845" fillId="0" borderId="11845" xfId="0" applyFont="1" applyBorder="1" applyAlignment="1"/>
    <xf numFmtId="0" fontId="11846" fillId="0" borderId="11846" xfId="0" applyFont="1" applyBorder="1" applyAlignment="1"/>
    <xf numFmtId="0" fontId="11847" fillId="0" borderId="11847" xfId="0" applyFont="1" applyBorder="1" applyAlignment="1"/>
    <xf numFmtId="0" fontId="11848" fillId="0" borderId="11848" xfId="0" applyFont="1" applyBorder="1" applyAlignment="1"/>
    <xf numFmtId="0" fontId="11849" fillId="0" borderId="11849" xfId="0" applyFont="1" applyBorder="1" applyAlignment="1"/>
    <xf numFmtId="0" fontId="11850" fillId="0" borderId="11850" xfId="0" applyFont="1" applyBorder="1" applyAlignment="1"/>
    <xf numFmtId="0" fontId="11851" fillId="0" borderId="11851" xfId="0" applyFont="1" applyBorder="1" applyAlignment="1"/>
    <xf numFmtId="0" fontId="11852" fillId="0" borderId="11852" xfId="0" applyFont="1" applyBorder="1" applyAlignment="1"/>
    <xf numFmtId="0" fontId="11853" fillId="0" borderId="11853" xfId="0" applyFont="1" applyBorder="1" applyAlignment="1"/>
    <xf numFmtId="0" fontId="11854" fillId="0" borderId="11854" xfId="0" applyFont="1" applyBorder="1" applyAlignment="1"/>
    <xf numFmtId="0" fontId="11855" fillId="0" borderId="11855" xfId="0" applyFont="1" applyBorder="1" applyAlignment="1"/>
    <xf numFmtId="0" fontId="11856" fillId="0" borderId="11856" xfId="0" applyFont="1" applyBorder="1" applyAlignment="1"/>
    <xf numFmtId="0" fontId="11857" fillId="0" borderId="11857" xfId="0" applyFont="1" applyBorder="1" applyAlignment="1"/>
    <xf numFmtId="0" fontId="11858" fillId="0" borderId="11858" xfId="0" applyFont="1" applyBorder="1" applyAlignment="1"/>
    <xf numFmtId="0" fontId="11859" fillId="0" borderId="11859" xfId="0" applyFont="1" applyBorder="1" applyAlignment="1"/>
    <xf numFmtId="0" fontId="11860" fillId="0" borderId="11860" xfId="0" applyFont="1" applyBorder="1" applyAlignment="1"/>
    <xf numFmtId="0" fontId="11861" fillId="0" borderId="11861" xfId="0" applyFont="1" applyBorder="1" applyAlignment="1"/>
    <xf numFmtId="0" fontId="11862" fillId="0" borderId="11862" xfId="0" applyFont="1" applyBorder="1" applyAlignment="1"/>
    <xf numFmtId="0" fontId="11863" fillId="0" borderId="11863" xfId="0" applyFont="1" applyBorder="1" applyAlignment="1"/>
    <xf numFmtId="0" fontId="11864" fillId="0" borderId="11864" xfId="0" applyFont="1" applyBorder="1" applyAlignment="1"/>
    <xf numFmtId="0" fontId="11865" fillId="0" borderId="11865" xfId="0" applyFont="1" applyBorder="1" applyAlignment="1"/>
    <xf numFmtId="0" fontId="11866" fillId="0" borderId="11866" xfId="0" applyFont="1" applyBorder="1" applyAlignment="1"/>
    <xf numFmtId="0" fontId="11867" fillId="0" borderId="11867" xfId="0" applyFont="1" applyBorder="1" applyAlignment="1"/>
    <xf numFmtId="0" fontId="11868" fillId="0" borderId="11868" xfId="0" applyFont="1" applyBorder="1" applyAlignment="1"/>
    <xf numFmtId="0" fontId="11869" fillId="0" borderId="11869" xfId="0" applyFont="1" applyBorder="1" applyAlignment="1"/>
    <xf numFmtId="0" fontId="11870" fillId="0" borderId="11870" xfId="0" applyFont="1" applyBorder="1" applyAlignment="1"/>
    <xf numFmtId="0" fontId="11871" fillId="0" borderId="11871" xfId="0" applyFont="1" applyBorder="1" applyAlignment="1"/>
    <xf numFmtId="0" fontId="11872" fillId="0" borderId="11872" xfId="0" applyFont="1" applyBorder="1" applyAlignment="1"/>
    <xf numFmtId="0" fontId="11873" fillId="0" borderId="11873" xfId="0" applyFont="1" applyBorder="1" applyAlignment="1"/>
    <xf numFmtId="0" fontId="11874" fillId="0" borderId="11874" xfId="0" applyFont="1" applyBorder="1" applyAlignment="1"/>
    <xf numFmtId="0" fontId="11875" fillId="0" borderId="11875" xfId="0" applyFont="1" applyBorder="1" applyAlignment="1"/>
    <xf numFmtId="0" fontId="11876" fillId="0" borderId="11876" xfId="0" applyFont="1" applyBorder="1" applyAlignment="1"/>
    <xf numFmtId="0" fontId="11877" fillId="0" borderId="11877" xfId="0" applyFont="1" applyBorder="1" applyAlignment="1"/>
    <xf numFmtId="0" fontId="11878" fillId="0" borderId="11878" xfId="0" applyFont="1" applyBorder="1" applyAlignment="1"/>
    <xf numFmtId="0" fontId="11879" fillId="0" borderId="11879" xfId="0" applyFont="1" applyBorder="1" applyAlignment="1"/>
    <xf numFmtId="0" fontId="11880" fillId="0" borderId="11880" xfId="0" applyFont="1" applyBorder="1" applyAlignment="1"/>
    <xf numFmtId="0" fontId="11881" fillId="0" borderId="11881" xfId="0" applyFont="1" applyBorder="1" applyAlignment="1"/>
    <xf numFmtId="0" fontId="11882" fillId="0" borderId="11882" xfId="0" applyFont="1" applyBorder="1" applyAlignment="1"/>
    <xf numFmtId="0" fontId="11883" fillId="0" borderId="11883" xfId="0" applyFont="1" applyBorder="1" applyAlignment="1"/>
    <xf numFmtId="0" fontId="11884" fillId="0" borderId="11884" xfId="0" applyFont="1" applyBorder="1" applyAlignment="1"/>
    <xf numFmtId="0" fontId="11885" fillId="0" borderId="11885" xfId="0" applyFont="1" applyBorder="1" applyAlignment="1"/>
    <xf numFmtId="0" fontId="11886" fillId="0" borderId="11886" xfId="0" applyFont="1" applyBorder="1" applyAlignment="1"/>
    <xf numFmtId="0" fontId="11887" fillId="0" borderId="11887" xfId="0" applyFont="1" applyBorder="1" applyAlignment="1"/>
    <xf numFmtId="0" fontId="11888" fillId="0" borderId="11888" xfId="0" applyFont="1" applyBorder="1" applyAlignment="1"/>
    <xf numFmtId="0" fontId="11889" fillId="0" borderId="11889" xfId="0" applyFont="1" applyBorder="1" applyAlignment="1"/>
    <xf numFmtId="0" fontId="11890" fillId="0" borderId="11890" xfId="0" applyFont="1" applyBorder="1" applyAlignment="1"/>
    <xf numFmtId="0" fontId="11891" fillId="0" borderId="11891" xfId="0" applyFont="1" applyBorder="1" applyAlignment="1"/>
    <xf numFmtId="0" fontId="11892" fillId="0" borderId="11892" xfId="0" applyFont="1" applyBorder="1" applyAlignment="1"/>
    <xf numFmtId="0" fontId="11893" fillId="0" borderId="11893" xfId="0" applyFont="1" applyBorder="1" applyAlignment="1"/>
    <xf numFmtId="0" fontId="11894" fillId="0" borderId="11894" xfId="0" applyFont="1" applyBorder="1" applyAlignment="1"/>
    <xf numFmtId="0" fontId="11895" fillId="0" borderId="11895" xfId="0" applyFont="1" applyBorder="1" applyAlignment="1"/>
    <xf numFmtId="0" fontId="11896" fillId="0" borderId="11896" xfId="0" applyFont="1" applyBorder="1" applyAlignment="1"/>
    <xf numFmtId="0" fontId="11897" fillId="0" borderId="11897" xfId="0" applyFont="1" applyBorder="1" applyAlignment="1"/>
    <xf numFmtId="0" fontId="11898" fillId="0" borderId="11898" xfId="0" applyFont="1" applyBorder="1" applyAlignment="1"/>
    <xf numFmtId="0" fontId="11899" fillId="0" borderId="11899" xfId="0" applyFont="1" applyBorder="1" applyAlignment="1"/>
    <xf numFmtId="0" fontId="11900" fillId="0" borderId="11900" xfId="0" applyFont="1" applyBorder="1" applyAlignment="1"/>
    <xf numFmtId="0" fontId="11901" fillId="0" borderId="11901" xfId="0" applyFont="1" applyBorder="1" applyAlignment="1"/>
    <xf numFmtId="0" fontId="11902" fillId="0" borderId="11902" xfId="0" applyFont="1" applyBorder="1" applyAlignment="1"/>
    <xf numFmtId="0" fontId="11903" fillId="0" borderId="11903" xfId="0" applyFont="1" applyBorder="1" applyAlignment="1"/>
    <xf numFmtId="0" fontId="11904" fillId="0" borderId="11904" xfId="0" applyFont="1" applyBorder="1" applyAlignment="1"/>
    <xf numFmtId="0" fontId="11905" fillId="0" borderId="11905" xfId="0" applyFont="1" applyBorder="1" applyAlignment="1"/>
    <xf numFmtId="0" fontId="11906" fillId="0" borderId="11906" xfId="0" applyFont="1" applyBorder="1" applyAlignment="1"/>
    <xf numFmtId="0" fontId="11907" fillId="0" borderId="11907" xfId="0" applyFont="1" applyBorder="1" applyAlignment="1"/>
    <xf numFmtId="0" fontId="11908" fillId="0" borderId="11908" xfId="0" applyFont="1" applyBorder="1" applyAlignment="1"/>
    <xf numFmtId="0" fontId="11909" fillId="0" borderId="11909" xfId="0" applyFont="1" applyBorder="1" applyAlignment="1"/>
    <xf numFmtId="0" fontId="11910" fillId="0" borderId="11910" xfId="0" applyFont="1" applyBorder="1" applyAlignment="1"/>
    <xf numFmtId="0" fontId="11911" fillId="0" borderId="11911" xfId="0" applyFont="1" applyBorder="1" applyAlignment="1"/>
    <xf numFmtId="0" fontId="11912" fillId="0" borderId="11912" xfId="0" applyFont="1" applyBorder="1" applyAlignment="1"/>
    <xf numFmtId="0" fontId="11913" fillId="0" borderId="11913" xfId="0" applyFont="1" applyBorder="1" applyAlignment="1"/>
    <xf numFmtId="0" fontId="11914" fillId="0" borderId="11914" xfId="0" applyFont="1" applyBorder="1" applyAlignment="1"/>
    <xf numFmtId="0" fontId="11915" fillId="0" borderId="11915" xfId="0" applyFont="1" applyBorder="1" applyAlignment="1"/>
    <xf numFmtId="0" fontId="11916" fillId="0" borderId="11916" xfId="0" applyFont="1" applyBorder="1" applyAlignment="1"/>
    <xf numFmtId="0" fontId="11917" fillId="0" borderId="11917" xfId="0" applyFont="1" applyBorder="1" applyAlignment="1"/>
    <xf numFmtId="0" fontId="11918" fillId="0" borderId="11918" xfId="0" applyFont="1" applyBorder="1" applyAlignment="1"/>
    <xf numFmtId="0" fontId="11919" fillId="0" borderId="11919" xfId="0" applyFont="1" applyBorder="1" applyAlignment="1"/>
    <xf numFmtId="0" fontId="11920" fillId="0" borderId="11920" xfId="0" applyFont="1" applyBorder="1" applyAlignment="1"/>
    <xf numFmtId="0" fontId="11921" fillId="0" borderId="11921" xfId="0" applyFont="1" applyBorder="1" applyAlignment="1"/>
    <xf numFmtId="0" fontId="11922" fillId="0" borderId="11922" xfId="0" applyFont="1" applyBorder="1" applyAlignment="1"/>
    <xf numFmtId="0" fontId="11923" fillId="0" borderId="11923" xfId="0" applyFont="1" applyBorder="1" applyAlignment="1"/>
    <xf numFmtId="0" fontId="11924" fillId="0" borderId="11924" xfId="0" applyFont="1" applyBorder="1" applyAlignment="1"/>
    <xf numFmtId="0" fontId="11925" fillId="0" borderId="11925" xfId="0" applyFont="1" applyBorder="1" applyAlignment="1"/>
    <xf numFmtId="0" fontId="11926" fillId="0" borderId="11926" xfId="0" applyFont="1" applyBorder="1" applyAlignment="1"/>
    <xf numFmtId="0" fontId="11927" fillId="0" borderId="11927" xfId="0" applyFont="1" applyBorder="1" applyAlignment="1"/>
    <xf numFmtId="0" fontId="11928" fillId="0" borderId="11928" xfId="0" applyFont="1" applyBorder="1" applyAlignment="1"/>
    <xf numFmtId="0" fontId="11929" fillId="0" borderId="11929" xfId="0" applyFont="1" applyBorder="1" applyAlignment="1"/>
    <xf numFmtId="0" fontId="11930" fillId="0" borderId="11930" xfId="0" applyFont="1" applyBorder="1" applyAlignment="1"/>
    <xf numFmtId="0" fontId="11931" fillId="0" borderId="11931" xfId="0" applyFont="1" applyBorder="1" applyAlignment="1"/>
    <xf numFmtId="0" fontId="11932" fillId="0" borderId="11932" xfId="0" applyFont="1" applyBorder="1" applyAlignment="1"/>
    <xf numFmtId="0" fontId="11933" fillId="0" borderId="11933" xfId="0" applyFont="1" applyBorder="1" applyAlignment="1"/>
    <xf numFmtId="0" fontId="11934" fillId="0" borderId="11934" xfId="0" applyFont="1" applyBorder="1" applyAlignment="1"/>
    <xf numFmtId="0" fontId="11935" fillId="0" borderId="11935" xfId="0" applyFont="1" applyBorder="1" applyAlignment="1"/>
    <xf numFmtId="0" fontId="11936" fillId="0" borderId="11936" xfId="0" applyFont="1" applyBorder="1" applyAlignment="1"/>
    <xf numFmtId="0" fontId="11937" fillId="0" borderId="11937" xfId="0" applyFont="1" applyBorder="1" applyAlignment="1"/>
    <xf numFmtId="0" fontId="11938" fillId="0" borderId="11938" xfId="0" applyFont="1" applyBorder="1" applyAlignment="1"/>
    <xf numFmtId="0" fontId="11939" fillId="0" borderId="11939" xfId="0" applyFont="1" applyBorder="1" applyAlignment="1"/>
    <xf numFmtId="0" fontId="11940" fillId="0" borderId="11940" xfId="0" applyFont="1" applyBorder="1" applyAlignment="1"/>
    <xf numFmtId="0" fontId="11941" fillId="0" borderId="11941" xfId="0" applyFont="1" applyBorder="1" applyAlignment="1"/>
    <xf numFmtId="0" fontId="11942" fillId="0" borderId="11942" xfId="0" applyFont="1" applyBorder="1" applyAlignment="1"/>
    <xf numFmtId="0" fontId="11943" fillId="0" borderId="11943" xfId="0" applyFont="1" applyBorder="1" applyAlignment="1"/>
    <xf numFmtId="0" fontId="11944" fillId="0" borderId="11944" xfId="0" applyFont="1" applyBorder="1" applyAlignment="1"/>
    <xf numFmtId="0" fontId="11945" fillId="0" borderId="11945" xfId="0" applyFont="1" applyBorder="1" applyAlignment="1"/>
    <xf numFmtId="0" fontId="11946" fillId="0" borderId="11946" xfId="0" applyFont="1" applyBorder="1" applyAlignment="1"/>
    <xf numFmtId="0" fontId="11947" fillId="0" borderId="11947" xfId="0" applyFont="1" applyBorder="1" applyAlignment="1"/>
    <xf numFmtId="0" fontId="11948" fillId="0" borderId="11948" xfId="0" applyFont="1" applyBorder="1" applyAlignment="1"/>
    <xf numFmtId="0" fontId="11949" fillId="0" borderId="11949" xfId="0" applyFont="1" applyBorder="1" applyAlignment="1"/>
    <xf numFmtId="0" fontId="11950" fillId="0" borderId="11950" xfId="0" applyFont="1" applyBorder="1" applyAlignment="1"/>
    <xf numFmtId="0" fontId="11951" fillId="0" borderId="11951" xfId="0" applyFont="1" applyBorder="1" applyAlignment="1"/>
    <xf numFmtId="0" fontId="11952" fillId="0" borderId="11952" xfId="0" applyFont="1" applyBorder="1" applyAlignment="1"/>
    <xf numFmtId="0" fontId="11953" fillId="0" borderId="11953" xfId="0" applyFont="1" applyBorder="1" applyAlignment="1"/>
    <xf numFmtId="0" fontId="11954" fillId="0" borderId="11954" xfId="0" applyFont="1" applyBorder="1" applyAlignment="1"/>
    <xf numFmtId="0" fontId="11955" fillId="0" borderId="11955" xfId="0" applyFont="1" applyBorder="1" applyAlignment="1"/>
    <xf numFmtId="0" fontId="11956" fillId="0" borderId="11956" xfId="0" applyFont="1" applyBorder="1" applyAlignment="1"/>
    <xf numFmtId="0" fontId="11957" fillId="0" borderId="11957" xfId="0" applyFont="1" applyBorder="1" applyAlignment="1"/>
    <xf numFmtId="0" fontId="11958" fillId="0" borderId="11958" xfId="0" applyFont="1" applyBorder="1" applyAlignment="1"/>
    <xf numFmtId="0" fontId="11959" fillId="0" borderId="11959" xfId="0" applyFont="1" applyBorder="1" applyAlignment="1"/>
    <xf numFmtId="0" fontId="11960" fillId="0" borderId="11960" xfId="0" applyFont="1" applyBorder="1" applyAlignment="1"/>
    <xf numFmtId="0" fontId="11961" fillId="0" borderId="11961" xfId="0" applyFont="1" applyBorder="1" applyAlignment="1"/>
    <xf numFmtId="0" fontId="11962" fillId="0" borderId="11962" xfId="0" applyFont="1" applyBorder="1" applyAlignment="1"/>
    <xf numFmtId="0" fontId="11963" fillId="0" borderId="11963" xfId="0" applyFont="1" applyBorder="1" applyAlignment="1"/>
    <xf numFmtId="0" fontId="11964" fillId="0" borderId="11964" xfId="0" applyFont="1" applyBorder="1" applyAlignment="1"/>
    <xf numFmtId="0" fontId="11965" fillId="0" borderId="11965" xfId="0" applyFont="1" applyBorder="1" applyAlignment="1"/>
    <xf numFmtId="0" fontId="11966" fillId="0" borderId="11966" xfId="0" applyFont="1" applyBorder="1" applyAlignment="1"/>
    <xf numFmtId="0" fontId="11967" fillId="0" borderId="11967" xfId="0" applyFont="1" applyBorder="1" applyAlignment="1"/>
    <xf numFmtId="0" fontId="11968" fillId="0" borderId="11968" xfId="0" applyFont="1" applyBorder="1" applyAlignment="1"/>
    <xf numFmtId="0" fontId="11969" fillId="0" borderId="11969" xfId="0" applyFont="1" applyBorder="1" applyAlignment="1"/>
    <xf numFmtId="0" fontId="11970" fillId="0" borderId="11970" xfId="0" applyFont="1" applyBorder="1" applyAlignment="1"/>
    <xf numFmtId="0" fontId="11971" fillId="0" borderId="11971" xfId="0" applyFont="1" applyBorder="1" applyAlignment="1"/>
    <xf numFmtId="0" fontId="11972" fillId="0" borderId="11972" xfId="0" applyFont="1" applyBorder="1" applyAlignment="1"/>
    <xf numFmtId="0" fontId="11973" fillId="0" borderId="11973" xfId="0" applyFont="1" applyBorder="1" applyAlignment="1"/>
    <xf numFmtId="0" fontId="11974" fillId="0" borderId="11974" xfId="0" applyFont="1" applyBorder="1" applyAlignment="1"/>
    <xf numFmtId="0" fontId="11975" fillId="0" borderId="11975" xfId="0" applyFont="1" applyBorder="1" applyAlignment="1"/>
    <xf numFmtId="0" fontId="11976" fillId="0" borderId="11976" xfId="0" applyFont="1" applyBorder="1" applyAlignment="1"/>
    <xf numFmtId="0" fontId="11977" fillId="0" borderId="11977" xfId="0" applyFont="1" applyBorder="1" applyAlignment="1"/>
    <xf numFmtId="0" fontId="11978" fillId="0" borderId="11978" xfId="0" applyFont="1" applyBorder="1" applyAlignment="1"/>
    <xf numFmtId="0" fontId="11979" fillId="0" borderId="11979" xfId="0" applyFont="1" applyBorder="1" applyAlignment="1"/>
    <xf numFmtId="0" fontId="11980" fillId="0" borderId="11980" xfId="0" applyFont="1" applyBorder="1" applyAlignment="1"/>
    <xf numFmtId="0" fontId="11981" fillId="0" borderId="11981" xfId="0" applyFont="1" applyBorder="1" applyAlignment="1"/>
    <xf numFmtId="0" fontId="11982" fillId="0" borderId="11982" xfId="0" applyFont="1" applyBorder="1" applyAlignment="1"/>
    <xf numFmtId="0" fontId="11983" fillId="0" borderId="11983" xfId="0" applyFont="1" applyBorder="1" applyAlignment="1"/>
    <xf numFmtId="0" fontId="11984" fillId="0" borderId="11984" xfId="0" applyFont="1" applyBorder="1" applyAlignment="1"/>
    <xf numFmtId="0" fontId="11985" fillId="0" borderId="11985" xfId="0" applyFont="1" applyBorder="1" applyAlignment="1"/>
    <xf numFmtId="0" fontId="11986" fillId="0" borderId="11986" xfId="0" applyFont="1" applyBorder="1" applyAlignment="1"/>
    <xf numFmtId="0" fontId="11987" fillId="0" borderId="11987" xfId="0" applyFont="1" applyBorder="1" applyAlignment="1"/>
    <xf numFmtId="0" fontId="11988" fillId="0" borderId="11988" xfId="0" applyFont="1" applyBorder="1" applyAlignment="1"/>
    <xf numFmtId="0" fontId="11989" fillId="0" borderId="11989" xfId="0" applyFont="1" applyBorder="1" applyAlignment="1"/>
    <xf numFmtId="0" fontId="11990" fillId="0" borderId="11990" xfId="0" applyFont="1" applyBorder="1" applyAlignment="1"/>
    <xf numFmtId="0" fontId="11991" fillId="0" borderId="11991" xfId="0" applyFont="1" applyBorder="1" applyAlignment="1"/>
    <xf numFmtId="0" fontId="11992" fillId="0" borderId="11992" xfId="0" applyFont="1" applyBorder="1" applyAlignment="1"/>
    <xf numFmtId="0" fontId="11993" fillId="0" borderId="11993" xfId="0" applyFont="1" applyBorder="1" applyAlignment="1"/>
    <xf numFmtId="0" fontId="11994" fillId="0" borderId="11994" xfId="0" applyFont="1" applyBorder="1" applyAlignment="1"/>
    <xf numFmtId="0" fontId="11995" fillId="0" borderId="11995" xfId="0" applyFont="1" applyBorder="1" applyAlignment="1"/>
    <xf numFmtId="0" fontId="11996" fillId="0" borderId="11996" xfId="0" applyFont="1" applyBorder="1" applyAlignment="1"/>
    <xf numFmtId="0" fontId="11997" fillId="0" borderId="11997" xfId="0" applyFont="1" applyBorder="1" applyAlignment="1"/>
    <xf numFmtId="0" fontId="11998" fillId="0" borderId="11998" xfId="0" applyFont="1" applyBorder="1" applyAlignment="1"/>
    <xf numFmtId="0" fontId="11999" fillId="0" borderId="11999" xfId="0" applyFont="1" applyBorder="1" applyAlignment="1"/>
    <xf numFmtId="0" fontId="12000" fillId="0" borderId="12000" xfId="0" applyFont="1" applyBorder="1" applyAlignment="1"/>
    <xf numFmtId="0" fontId="12001" fillId="0" borderId="12001" xfId="0" applyFont="1" applyBorder="1" applyAlignment="1"/>
    <xf numFmtId="0" fontId="12002" fillId="0" borderId="12002" xfId="0" applyFont="1" applyBorder="1" applyAlignment="1"/>
    <xf numFmtId="0" fontId="12003" fillId="0" borderId="12003" xfId="0" applyFont="1" applyBorder="1" applyAlignment="1"/>
    <xf numFmtId="0" fontId="12004" fillId="0" borderId="12004" xfId="0" applyFont="1" applyBorder="1" applyAlignment="1"/>
    <xf numFmtId="0" fontId="12005" fillId="0" borderId="12005" xfId="0" applyFont="1" applyBorder="1" applyAlignment="1"/>
    <xf numFmtId="0" fontId="12006" fillId="0" borderId="12006" xfId="0" applyFont="1" applyBorder="1" applyAlignment="1"/>
    <xf numFmtId="0" fontId="12007" fillId="0" borderId="12007" xfId="0" applyFont="1" applyBorder="1" applyAlignment="1"/>
    <xf numFmtId="0" fontId="12008" fillId="0" borderId="12008" xfId="0" applyFont="1" applyBorder="1" applyAlignment="1"/>
    <xf numFmtId="0" fontId="12009" fillId="0" borderId="12009" xfId="0" applyFont="1" applyBorder="1" applyAlignment="1"/>
    <xf numFmtId="0" fontId="12010" fillId="0" borderId="12010" xfId="0" applyFont="1" applyBorder="1" applyAlignment="1"/>
    <xf numFmtId="0" fontId="12011" fillId="0" borderId="12011" xfId="0" applyFont="1" applyBorder="1" applyAlignment="1"/>
    <xf numFmtId="0" fontId="12012" fillId="0" borderId="12012" xfId="0" applyFont="1" applyBorder="1" applyAlignment="1"/>
    <xf numFmtId="0" fontId="12013" fillId="0" borderId="12013" xfId="0" applyFont="1" applyBorder="1" applyAlignment="1"/>
    <xf numFmtId="0" fontId="12014" fillId="0" borderId="12014" xfId="0" applyFont="1" applyBorder="1" applyAlignment="1"/>
    <xf numFmtId="0" fontId="12015" fillId="0" borderId="12015" xfId="0" applyFont="1" applyBorder="1" applyAlignment="1"/>
    <xf numFmtId="0" fontId="12016" fillId="0" borderId="12016" xfId="0" applyFont="1" applyBorder="1" applyAlignment="1"/>
    <xf numFmtId="0" fontId="12017" fillId="0" borderId="12017" xfId="0" applyFont="1" applyBorder="1" applyAlignment="1"/>
    <xf numFmtId="0" fontId="12018" fillId="0" borderId="12018" xfId="0" applyFont="1" applyBorder="1" applyAlignment="1"/>
    <xf numFmtId="0" fontId="12019" fillId="0" borderId="12019" xfId="0" applyFont="1" applyBorder="1" applyAlignment="1"/>
    <xf numFmtId="0" fontId="12020" fillId="0" borderId="12020" xfId="0" applyFont="1" applyBorder="1" applyAlignment="1"/>
    <xf numFmtId="0" fontId="12021" fillId="0" borderId="12021" xfId="0" applyFont="1" applyBorder="1" applyAlignment="1"/>
    <xf numFmtId="0" fontId="12022" fillId="0" borderId="12022" xfId="0" applyFont="1" applyBorder="1" applyAlignment="1"/>
    <xf numFmtId="0" fontId="12023" fillId="0" borderId="12023" xfId="0" applyFont="1" applyBorder="1" applyAlignment="1"/>
    <xf numFmtId="0" fontId="12024" fillId="0" borderId="12024" xfId="0" applyFont="1" applyBorder="1" applyAlignment="1"/>
    <xf numFmtId="0" fontId="12025" fillId="0" borderId="12025" xfId="0" applyFont="1" applyBorder="1" applyAlignment="1"/>
    <xf numFmtId="0" fontId="12026" fillId="0" borderId="12026" xfId="0" applyFont="1" applyBorder="1" applyAlignment="1"/>
    <xf numFmtId="0" fontId="12027" fillId="0" borderId="12027" xfId="0" applyFont="1" applyBorder="1" applyAlignment="1"/>
    <xf numFmtId="0" fontId="12028" fillId="0" borderId="12028" xfId="0" applyFont="1" applyBorder="1" applyAlignment="1"/>
    <xf numFmtId="0" fontId="12029" fillId="0" borderId="12029" xfId="0" applyFont="1" applyBorder="1" applyAlignment="1"/>
    <xf numFmtId="0" fontId="12030" fillId="0" borderId="12030" xfId="0" applyFont="1" applyBorder="1" applyAlignment="1"/>
    <xf numFmtId="0" fontId="12031" fillId="0" borderId="12031" xfId="0" applyFont="1" applyBorder="1" applyAlignment="1"/>
    <xf numFmtId="0" fontId="12032" fillId="0" borderId="12032" xfId="0" applyFont="1" applyBorder="1" applyAlignment="1"/>
    <xf numFmtId="0" fontId="12033" fillId="0" borderId="12033" xfId="0" applyFont="1" applyBorder="1" applyAlignment="1"/>
    <xf numFmtId="0" fontId="12034" fillId="0" borderId="12034" xfId="0" applyFont="1" applyBorder="1" applyAlignment="1"/>
    <xf numFmtId="0" fontId="12035" fillId="0" borderId="12035" xfId="0" applyFont="1" applyBorder="1" applyAlignment="1"/>
    <xf numFmtId="0" fontId="12036" fillId="0" borderId="12036" xfId="0" applyFont="1" applyBorder="1" applyAlignment="1"/>
    <xf numFmtId="0" fontId="12037" fillId="0" borderId="12037" xfId="0" applyFont="1" applyBorder="1" applyAlignment="1"/>
    <xf numFmtId="0" fontId="12038" fillId="0" borderId="12038" xfId="0" applyFont="1" applyBorder="1" applyAlignment="1"/>
    <xf numFmtId="0" fontId="12039" fillId="0" borderId="12039" xfId="0" applyFont="1" applyBorder="1" applyAlignment="1"/>
    <xf numFmtId="0" fontId="12040" fillId="0" borderId="12040" xfId="0" applyFont="1" applyBorder="1" applyAlignment="1"/>
    <xf numFmtId="0" fontId="12041" fillId="0" borderId="12041" xfId="0" applyFont="1" applyBorder="1" applyAlignment="1"/>
    <xf numFmtId="0" fontId="12042" fillId="0" borderId="12042" xfId="0" applyFont="1" applyBorder="1" applyAlignment="1"/>
    <xf numFmtId="0" fontId="12043" fillId="0" borderId="12043" xfId="0" applyFont="1" applyBorder="1" applyAlignment="1"/>
    <xf numFmtId="0" fontId="12044" fillId="0" borderId="12044" xfId="0" applyFont="1" applyBorder="1" applyAlignment="1"/>
    <xf numFmtId="0" fontId="12045" fillId="0" borderId="12045" xfId="0" applyFont="1" applyBorder="1" applyAlignment="1"/>
    <xf numFmtId="0" fontId="12046" fillId="0" borderId="12046" xfId="0" applyFont="1" applyBorder="1" applyAlignment="1"/>
    <xf numFmtId="0" fontId="12047" fillId="0" borderId="12047" xfId="0" applyFont="1" applyBorder="1" applyAlignment="1"/>
    <xf numFmtId="0" fontId="12048" fillId="0" borderId="12048" xfId="0" applyFont="1" applyBorder="1" applyAlignment="1"/>
    <xf numFmtId="0" fontId="12049" fillId="0" borderId="12049" xfId="0" applyFont="1" applyBorder="1" applyAlignment="1"/>
    <xf numFmtId="0" fontId="12050" fillId="0" borderId="12050" xfId="0" applyFont="1" applyBorder="1" applyAlignment="1"/>
    <xf numFmtId="0" fontId="12051" fillId="0" borderId="12051" xfId="0" applyFont="1" applyBorder="1" applyAlignment="1"/>
    <xf numFmtId="0" fontId="12052" fillId="0" borderId="12052" xfId="0" applyFont="1" applyBorder="1" applyAlignment="1"/>
    <xf numFmtId="0" fontId="12053" fillId="0" borderId="12053" xfId="0" applyFont="1" applyBorder="1" applyAlignment="1"/>
    <xf numFmtId="0" fontId="12054" fillId="0" borderId="12054" xfId="0" applyFont="1" applyBorder="1" applyAlignment="1"/>
    <xf numFmtId="0" fontId="12055" fillId="0" borderId="12055" xfId="0" applyFont="1" applyBorder="1" applyAlignment="1"/>
    <xf numFmtId="0" fontId="12056" fillId="0" borderId="12056" xfId="0" applyFont="1" applyBorder="1" applyAlignment="1"/>
    <xf numFmtId="0" fontId="12057" fillId="0" borderId="12057" xfId="0" applyFont="1" applyBorder="1" applyAlignment="1"/>
    <xf numFmtId="0" fontId="12058" fillId="0" borderId="12058" xfId="0" applyFont="1" applyBorder="1" applyAlignment="1"/>
    <xf numFmtId="0" fontId="12059" fillId="0" borderId="12059" xfId="0" applyFont="1" applyBorder="1" applyAlignment="1"/>
    <xf numFmtId="0" fontId="12060" fillId="0" borderId="12060" xfId="0" applyFont="1" applyBorder="1" applyAlignment="1"/>
    <xf numFmtId="0" fontId="12061" fillId="0" borderId="12061" xfId="0" applyFont="1" applyBorder="1" applyAlignment="1"/>
    <xf numFmtId="0" fontId="12062" fillId="0" borderId="12062" xfId="0" applyFont="1" applyBorder="1" applyAlignment="1"/>
    <xf numFmtId="0" fontId="12063" fillId="0" borderId="12063" xfId="0" applyFont="1" applyBorder="1" applyAlignment="1"/>
    <xf numFmtId="0" fontId="12064" fillId="0" borderId="12064" xfId="0" applyFont="1" applyBorder="1" applyAlignment="1"/>
    <xf numFmtId="0" fontId="12065" fillId="0" borderId="12065" xfId="0" applyFont="1" applyBorder="1" applyAlignment="1"/>
    <xf numFmtId="0" fontId="12066" fillId="0" borderId="12066" xfId="0" applyFont="1" applyBorder="1" applyAlignment="1"/>
    <xf numFmtId="0" fontId="12067" fillId="0" borderId="12067" xfId="0" applyFont="1" applyBorder="1" applyAlignment="1"/>
    <xf numFmtId="0" fontId="12068" fillId="0" borderId="12068" xfId="0" applyFont="1" applyBorder="1" applyAlignment="1"/>
    <xf numFmtId="0" fontId="12069" fillId="0" borderId="12069" xfId="0" applyFont="1" applyBorder="1" applyAlignment="1"/>
    <xf numFmtId="0" fontId="12070" fillId="0" borderId="12070" xfId="0" applyFont="1" applyBorder="1" applyAlignment="1"/>
    <xf numFmtId="0" fontId="12071" fillId="0" borderId="12071" xfId="0" applyFont="1" applyBorder="1" applyAlignment="1"/>
    <xf numFmtId="0" fontId="12072" fillId="0" borderId="12072" xfId="0" applyFont="1" applyBorder="1" applyAlignment="1"/>
    <xf numFmtId="0" fontId="12073" fillId="0" borderId="12073" xfId="0" applyFont="1" applyBorder="1" applyAlignment="1"/>
    <xf numFmtId="0" fontId="12074" fillId="0" borderId="12074" xfId="0" applyFont="1" applyBorder="1" applyAlignment="1"/>
    <xf numFmtId="0" fontId="12075" fillId="0" borderId="12075" xfId="0" applyFont="1" applyBorder="1" applyAlignment="1"/>
    <xf numFmtId="0" fontId="12076" fillId="0" borderId="12076" xfId="0" applyFont="1" applyBorder="1" applyAlignment="1"/>
    <xf numFmtId="0" fontId="12077" fillId="0" borderId="12077" xfId="0" applyFont="1" applyBorder="1" applyAlignment="1"/>
    <xf numFmtId="0" fontId="12078" fillId="0" borderId="12078" xfId="0" applyFont="1" applyBorder="1" applyAlignment="1"/>
    <xf numFmtId="0" fontId="12079" fillId="0" borderId="12079" xfId="0" applyFont="1" applyBorder="1" applyAlignment="1"/>
    <xf numFmtId="0" fontId="12080" fillId="0" borderId="12080" xfId="0" applyFont="1" applyBorder="1" applyAlignment="1"/>
    <xf numFmtId="0" fontId="12081" fillId="0" borderId="12081" xfId="0" applyFont="1" applyBorder="1" applyAlignment="1"/>
    <xf numFmtId="0" fontId="12082" fillId="0" borderId="12082" xfId="0" applyFont="1" applyBorder="1" applyAlignment="1"/>
    <xf numFmtId="0" fontId="12083" fillId="0" borderId="12083" xfId="0" applyFont="1" applyBorder="1" applyAlignment="1"/>
    <xf numFmtId="0" fontId="12084" fillId="0" borderId="12084" xfId="0" applyFont="1" applyBorder="1" applyAlignment="1"/>
    <xf numFmtId="0" fontId="12085" fillId="0" borderId="12085" xfId="0" applyFont="1" applyBorder="1" applyAlignment="1"/>
    <xf numFmtId="0" fontId="12086" fillId="0" borderId="12086" xfId="0" applyFont="1" applyBorder="1" applyAlignment="1"/>
    <xf numFmtId="0" fontId="12087" fillId="0" borderId="12087" xfId="0" applyFont="1" applyBorder="1" applyAlignment="1"/>
    <xf numFmtId="0" fontId="12088" fillId="0" borderId="12088" xfId="0" applyFont="1" applyBorder="1" applyAlignment="1"/>
    <xf numFmtId="0" fontId="12089" fillId="0" borderId="12089" xfId="0" applyFont="1" applyBorder="1" applyAlignment="1"/>
    <xf numFmtId="0" fontId="12090" fillId="0" borderId="12090" xfId="0" applyFont="1" applyBorder="1" applyAlignment="1"/>
    <xf numFmtId="0" fontId="12091" fillId="0" borderId="12091" xfId="0" applyFont="1" applyBorder="1" applyAlignment="1"/>
    <xf numFmtId="0" fontId="12092" fillId="0" borderId="12092" xfId="0" applyFont="1" applyBorder="1" applyAlignment="1"/>
    <xf numFmtId="0" fontId="12093" fillId="0" borderId="12093" xfId="0" applyFont="1" applyBorder="1" applyAlignment="1"/>
    <xf numFmtId="0" fontId="12094" fillId="0" borderId="12094" xfId="0" applyFont="1" applyBorder="1" applyAlignment="1"/>
    <xf numFmtId="0" fontId="12095" fillId="0" borderId="12095" xfId="0" applyFont="1" applyBorder="1" applyAlignment="1"/>
    <xf numFmtId="0" fontId="12096" fillId="0" borderId="12096" xfId="0" applyFont="1" applyBorder="1" applyAlignment="1"/>
    <xf numFmtId="0" fontId="12097" fillId="0" borderId="12097" xfId="0" applyFont="1" applyBorder="1" applyAlignment="1"/>
    <xf numFmtId="0" fontId="12098" fillId="0" borderId="12098" xfId="0" applyFont="1" applyBorder="1" applyAlignment="1"/>
    <xf numFmtId="0" fontId="12099" fillId="0" borderId="12099" xfId="0" applyFont="1" applyBorder="1" applyAlignment="1"/>
    <xf numFmtId="0" fontId="12100" fillId="0" borderId="12100" xfId="0" applyFont="1" applyBorder="1" applyAlignment="1"/>
    <xf numFmtId="0" fontId="12101" fillId="0" borderId="12101" xfId="0" applyFont="1" applyBorder="1" applyAlignment="1"/>
    <xf numFmtId="0" fontId="12102" fillId="0" borderId="12102" xfId="0" applyFont="1" applyBorder="1" applyAlignment="1"/>
    <xf numFmtId="0" fontId="12103" fillId="0" borderId="12103" xfId="0" applyFont="1" applyBorder="1" applyAlignment="1"/>
    <xf numFmtId="0" fontId="12104" fillId="0" borderId="12104" xfId="0" applyFont="1" applyBorder="1" applyAlignment="1"/>
    <xf numFmtId="0" fontId="12105" fillId="0" borderId="12105" xfId="0" applyFont="1" applyBorder="1" applyAlignment="1"/>
    <xf numFmtId="0" fontId="12106" fillId="0" borderId="12106" xfId="0" applyFont="1" applyBorder="1" applyAlignment="1"/>
    <xf numFmtId="0" fontId="12107" fillId="0" borderId="12107" xfId="0" applyFont="1" applyBorder="1" applyAlignment="1"/>
    <xf numFmtId="0" fontId="12108" fillId="0" borderId="12108" xfId="0" applyFont="1" applyBorder="1" applyAlignment="1"/>
    <xf numFmtId="0" fontId="12109" fillId="0" borderId="12109" xfId="0" applyFont="1" applyBorder="1" applyAlignment="1"/>
    <xf numFmtId="0" fontId="12110" fillId="0" borderId="12110" xfId="0" applyFont="1" applyBorder="1" applyAlignment="1"/>
    <xf numFmtId="0" fontId="12111" fillId="0" borderId="12111" xfId="0" applyFont="1" applyBorder="1" applyAlignment="1"/>
    <xf numFmtId="0" fontId="12112" fillId="0" borderId="12112" xfId="0" applyFont="1" applyBorder="1" applyAlignment="1"/>
    <xf numFmtId="0" fontId="12113" fillId="0" borderId="12113" xfId="0" applyFont="1" applyBorder="1" applyAlignment="1"/>
    <xf numFmtId="0" fontId="12114" fillId="0" borderId="12114" xfId="0" applyFont="1" applyBorder="1" applyAlignment="1"/>
    <xf numFmtId="0" fontId="12115" fillId="0" borderId="12115" xfId="0" applyFont="1" applyBorder="1" applyAlignment="1"/>
    <xf numFmtId="0" fontId="12116" fillId="0" borderId="12116" xfId="0" applyFont="1" applyBorder="1" applyAlignment="1"/>
    <xf numFmtId="0" fontId="12117" fillId="0" borderId="12117" xfId="0" applyFont="1" applyBorder="1" applyAlignment="1"/>
    <xf numFmtId="0" fontId="12118" fillId="0" borderId="12118" xfId="0" applyFont="1" applyBorder="1" applyAlignment="1"/>
    <xf numFmtId="0" fontId="12119" fillId="0" borderId="12119" xfId="0" applyFont="1" applyBorder="1" applyAlignment="1"/>
    <xf numFmtId="0" fontId="12120" fillId="0" borderId="12120" xfId="0" applyFont="1" applyBorder="1" applyAlignment="1"/>
    <xf numFmtId="0" fontId="12121" fillId="0" borderId="12121" xfId="0" applyFont="1" applyBorder="1" applyAlignment="1"/>
    <xf numFmtId="0" fontId="12122" fillId="0" borderId="12122" xfId="0" applyFont="1" applyBorder="1" applyAlignment="1"/>
    <xf numFmtId="0" fontId="12123" fillId="0" borderId="12123" xfId="0" applyFont="1" applyBorder="1" applyAlignment="1"/>
    <xf numFmtId="0" fontId="12124" fillId="0" borderId="12124" xfId="0" applyFont="1" applyBorder="1" applyAlignment="1"/>
    <xf numFmtId="0" fontId="12125" fillId="0" borderId="12125" xfId="0" applyFont="1" applyBorder="1" applyAlignment="1"/>
    <xf numFmtId="0" fontId="12126" fillId="0" borderId="12126" xfId="0" applyFont="1" applyBorder="1" applyAlignment="1"/>
    <xf numFmtId="0" fontId="12127" fillId="0" borderId="12127" xfId="0" applyFont="1" applyBorder="1" applyAlignment="1"/>
    <xf numFmtId="0" fontId="12128" fillId="0" borderId="12128" xfId="0" applyFont="1" applyBorder="1" applyAlignment="1"/>
    <xf numFmtId="0" fontId="12129" fillId="0" borderId="12129" xfId="0" applyFont="1" applyBorder="1" applyAlignment="1"/>
    <xf numFmtId="0" fontId="12130" fillId="0" borderId="12130" xfId="0" applyFont="1" applyBorder="1" applyAlignment="1"/>
    <xf numFmtId="0" fontId="12131" fillId="0" borderId="12131" xfId="0" applyFont="1" applyBorder="1" applyAlignment="1"/>
    <xf numFmtId="0" fontId="12132" fillId="0" borderId="12132" xfId="0" applyFont="1" applyBorder="1" applyAlignment="1"/>
    <xf numFmtId="0" fontId="12133" fillId="0" borderId="12133" xfId="0" applyFont="1" applyBorder="1" applyAlignment="1"/>
    <xf numFmtId="0" fontId="12134" fillId="0" borderId="12134" xfId="0" applyFont="1" applyBorder="1" applyAlignment="1"/>
    <xf numFmtId="0" fontId="12135" fillId="0" borderId="12135" xfId="0" applyFont="1" applyBorder="1" applyAlignment="1"/>
    <xf numFmtId="0" fontId="12136" fillId="0" borderId="12136" xfId="0" applyFont="1" applyBorder="1" applyAlignment="1"/>
    <xf numFmtId="0" fontId="12137" fillId="0" borderId="12137" xfId="0" applyFont="1" applyBorder="1" applyAlignment="1"/>
    <xf numFmtId="0" fontId="12138" fillId="0" borderId="12138" xfId="0" applyFont="1" applyBorder="1" applyAlignment="1"/>
    <xf numFmtId="0" fontId="12139" fillId="0" borderId="12139" xfId="0" applyFont="1" applyBorder="1" applyAlignment="1"/>
    <xf numFmtId="0" fontId="12140" fillId="0" borderId="12140" xfId="0" applyFont="1" applyBorder="1" applyAlignment="1"/>
    <xf numFmtId="0" fontId="12141" fillId="0" borderId="12141" xfId="0" applyFont="1" applyBorder="1" applyAlignment="1"/>
    <xf numFmtId="0" fontId="12142" fillId="0" borderId="12142" xfId="0" applyFont="1" applyBorder="1" applyAlignment="1"/>
    <xf numFmtId="0" fontId="12143" fillId="0" borderId="12143" xfId="0" applyFont="1" applyBorder="1" applyAlignment="1"/>
    <xf numFmtId="0" fontId="12144" fillId="0" borderId="12144" xfId="0" applyFont="1" applyBorder="1" applyAlignment="1"/>
    <xf numFmtId="0" fontId="12145" fillId="0" borderId="12145" xfId="0" applyFont="1" applyBorder="1" applyAlignment="1"/>
    <xf numFmtId="0" fontId="12146" fillId="0" borderId="12146" xfId="0" applyFont="1" applyBorder="1" applyAlignment="1"/>
    <xf numFmtId="0" fontId="12147" fillId="0" borderId="12147" xfId="0" applyFont="1" applyBorder="1" applyAlignment="1"/>
    <xf numFmtId="0" fontId="12148" fillId="0" borderId="12148" xfId="0" applyFont="1" applyBorder="1" applyAlignment="1"/>
    <xf numFmtId="0" fontId="12149" fillId="0" borderId="12149" xfId="0" applyFont="1" applyBorder="1" applyAlignment="1"/>
    <xf numFmtId="0" fontId="12150" fillId="0" borderId="12150" xfId="0" applyFont="1" applyBorder="1" applyAlignment="1"/>
    <xf numFmtId="0" fontId="12151" fillId="0" borderId="12151" xfId="0" applyFont="1" applyBorder="1" applyAlignment="1"/>
    <xf numFmtId="0" fontId="12152" fillId="0" borderId="12152" xfId="0" applyFont="1" applyBorder="1" applyAlignment="1"/>
    <xf numFmtId="0" fontId="12153" fillId="0" borderId="12153" xfId="0" applyFont="1" applyBorder="1" applyAlignment="1"/>
    <xf numFmtId="0" fontId="12154" fillId="0" borderId="12154" xfId="0" applyFont="1" applyBorder="1" applyAlignment="1"/>
    <xf numFmtId="0" fontId="12155" fillId="0" borderId="12155" xfId="0" applyFont="1" applyBorder="1" applyAlignment="1"/>
    <xf numFmtId="0" fontId="12156" fillId="0" borderId="12156" xfId="0" applyFont="1" applyBorder="1" applyAlignment="1"/>
    <xf numFmtId="0" fontId="12157" fillId="0" borderId="12157" xfId="0" applyFont="1" applyBorder="1" applyAlignment="1"/>
    <xf numFmtId="0" fontId="12158" fillId="0" borderId="12158" xfId="0" applyFont="1" applyBorder="1" applyAlignment="1"/>
    <xf numFmtId="0" fontId="12159" fillId="0" borderId="12159" xfId="0" applyFont="1" applyBorder="1" applyAlignment="1"/>
    <xf numFmtId="0" fontId="12160" fillId="0" borderId="12160" xfId="0" applyFont="1" applyBorder="1" applyAlignment="1"/>
    <xf numFmtId="0" fontId="12161" fillId="0" borderId="12161" xfId="0" applyFont="1" applyBorder="1" applyAlignment="1"/>
    <xf numFmtId="0" fontId="12162" fillId="0" borderId="12162" xfId="0" applyFont="1" applyBorder="1" applyAlignment="1"/>
    <xf numFmtId="0" fontId="12163" fillId="0" borderId="12163" xfId="0" applyFont="1" applyBorder="1" applyAlignment="1"/>
    <xf numFmtId="0" fontId="12164" fillId="0" borderId="12164" xfId="0" applyFont="1" applyBorder="1" applyAlignment="1"/>
    <xf numFmtId="0" fontId="12165" fillId="0" borderId="12165" xfId="0" applyFont="1" applyBorder="1" applyAlignment="1"/>
    <xf numFmtId="0" fontId="12166" fillId="0" borderId="12166" xfId="0" applyFont="1" applyBorder="1" applyAlignment="1"/>
    <xf numFmtId="0" fontId="12167" fillId="0" borderId="12167" xfId="0" applyFont="1" applyBorder="1" applyAlignment="1"/>
    <xf numFmtId="0" fontId="12168" fillId="0" borderId="12168" xfId="0" applyFont="1" applyBorder="1" applyAlignment="1"/>
    <xf numFmtId="0" fontId="12169" fillId="0" borderId="12169" xfId="0" applyFont="1" applyBorder="1" applyAlignment="1"/>
    <xf numFmtId="0" fontId="12170" fillId="0" borderId="12170" xfId="0" applyFont="1" applyBorder="1" applyAlignment="1"/>
    <xf numFmtId="0" fontId="12171" fillId="0" borderId="12171" xfId="0" applyFont="1" applyBorder="1" applyAlignment="1"/>
    <xf numFmtId="0" fontId="12172" fillId="0" borderId="12172" xfId="0" applyFont="1" applyBorder="1" applyAlignment="1"/>
    <xf numFmtId="0" fontId="12173" fillId="0" borderId="12173" xfId="0" applyFont="1" applyBorder="1" applyAlignment="1"/>
    <xf numFmtId="0" fontId="12174" fillId="0" borderId="12174" xfId="0" applyFont="1" applyBorder="1" applyAlignment="1"/>
    <xf numFmtId="0" fontId="12175" fillId="0" borderId="12175" xfId="0" applyFont="1" applyBorder="1" applyAlignment="1"/>
    <xf numFmtId="0" fontId="12176" fillId="0" borderId="12176" xfId="0" applyFont="1" applyBorder="1" applyAlignment="1"/>
    <xf numFmtId="0" fontId="12177" fillId="0" borderId="12177" xfId="0" applyFont="1" applyBorder="1" applyAlignment="1"/>
    <xf numFmtId="0" fontId="12178" fillId="0" borderId="12178" xfId="0" applyFont="1" applyBorder="1" applyAlignment="1"/>
    <xf numFmtId="0" fontId="12179" fillId="0" borderId="12179" xfId="0" applyFont="1" applyBorder="1" applyAlignment="1"/>
    <xf numFmtId="0" fontId="12180" fillId="0" borderId="12180" xfId="0" applyFont="1" applyBorder="1" applyAlignment="1"/>
    <xf numFmtId="0" fontId="12181" fillId="0" borderId="12181" xfId="0" applyFont="1" applyBorder="1" applyAlignment="1"/>
    <xf numFmtId="0" fontId="12182" fillId="0" borderId="12182" xfId="0" applyFont="1" applyBorder="1" applyAlignment="1"/>
    <xf numFmtId="0" fontId="12183" fillId="0" borderId="12183" xfId="0" applyFont="1" applyBorder="1" applyAlignment="1"/>
    <xf numFmtId="0" fontId="12184" fillId="0" borderId="12184" xfId="0" applyFont="1" applyBorder="1" applyAlignment="1"/>
    <xf numFmtId="0" fontId="12185" fillId="0" borderId="12185" xfId="0" applyFont="1" applyBorder="1" applyAlignment="1"/>
    <xf numFmtId="0" fontId="12186" fillId="0" borderId="12186" xfId="0" applyFont="1" applyBorder="1" applyAlignment="1"/>
    <xf numFmtId="0" fontId="12187" fillId="0" borderId="12187" xfId="0" applyFont="1" applyBorder="1" applyAlignment="1"/>
    <xf numFmtId="0" fontId="12188" fillId="0" borderId="12188" xfId="0" applyFont="1" applyBorder="1" applyAlignment="1"/>
    <xf numFmtId="0" fontId="12189" fillId="0" borderId="12189" xfId="0" applyFont="1" applyBorder="1" applyAlignment="1"/>
    <xf numFmtId="0" fontId="12190" fillId="0" borderId="12190" xfId="0" applyFont="1" applyBorder="1" applyAlignment="1"/>
    <xf numFmtId="0" fontId="12191" fillId="0" borderId="12191" xfId="0" applyFont="1" applyBorder="1" applyAlignment="1"/>
    <xf numFmtId="0" fontId="12192" fillId="0" borderId="12192" xfId="0" applyFont="1" applyBorder="1" applyAlignment="1"/>
    <xf numFmtId="0" fontId="12193" fillId="0" borderId="12193" xfId="0" applyFont="1" applyBorder="1" applyAlignment="1"/>
    <xf numFmtId="0" fontId="12194" fillId="0" borderId="12194" xfId="0" applyFont="1" applyBorder="1" applyAlignment="1"/>
    <xf numFmtId="0" fontId="12195" fillId="0" borderId="12195" xfId="0" applyFont="1" applyBorder="1" applyAlignment="1"/>
    <xf numFmtId="0" fontId="12196" fillId="0" borderId="12196" xfId="0" applyFont="1" applyBorder="1" applyAlignment="1"/>
    <xf numFmtId="0" fontId="12197" fillId="0" borderId="12197" xfId="0" applyFont="1" applyBorder="1" applyAlignment="1"/>
    <xf numFmtId="0" fontId="12198" fillId="0" borderId="12198" xfId="0" applyFont="1" applyBorder="1" applyAlignment="1"/>
    <xf numFmtId="0" fontId="12199" fillId="0" borderId="12199" xfId="0" applyFont="1" applyBorder="1" applyAlignment="1"/>
    <xf numFmtId="0" fontId="12200" fillId="0" borderId="12200" xfId="0" applyFont="1" applyBorder="1" applyAlignment="1"/>
    <xf numFmtId="0" fontId="12201" fillId="0" borderId="12201" xfId="0" applyFont="1" applyBorder="1" applyAlignment="1"/>
    <xf numFmtId="0" fontId="12202" fillId="0" borderId="12202" xfId="0" applyFont="1" applyBorder="1" applyAlignment="1"/>
    <xf numFmtId="0" fontId="12203" fillId="0" borderId="12203" xfId="0" applyFont="1" applyBorder="1" applyAlignment="1"/>
    <xf numFmtId="0" fontId="12204" fillId="0" borderId="12204" xfId="0" applyFont="1" applyBorder="1" applyAlignment="1"/>
    <xf numFmtId="0" fontId="12205" fillId="0" borderId="12205" xfId="0" applyFont="1" applyBorder="1" applyAlignment="1"/>
    <xf numFmtId="0" fontId="12206" fillId="0" borderId="12206" xfId="0" applyFont="1" applyBorder="1" applyAlignment="1"/>
    <xf numFmtId="0" fontId="12207" fillId="0" borderId="12207" xfId="0" applyFont="1" applyBorder="1" applyAlignment="1"/>
    <xf numFmtId="0" fontId="12208" fillId="0" borderId="12208" xfId="0" applyFont="1" applyBorder="1" applyAlignment="1"/>
    <xf numFmtId="0" fontId="12209" fillId="0" borderId="12209" xfId="0" applyFont="1" applyBorder="1" applyAlignment="1"/>
    <xf numFmtId="0" fontId="12210" fillId="0" borderId="12210" xfId="0" applyFont="1" applyBorder="1" applyAlignment="1"/>
    <xf numFmtId="0" fontId="12211" fillId="0" borderId="12211" xfId="0" applyFont="1" applyBorder="1" applyAlignment="1"/>
    <xf numFmtId="0" fontId="12212" fillId="0" borderId="12212" xfId="0" applyFont="1" applyBorder="1" applyAlignment="1"/>
    <xf numFmtId="0" fontId="12213" fillId="0" borderId="12213" xfId="0" applyFont="1" applyBorder="1" applyAlignment="1"/>
    <xf numFmtId="0" fontId="12214" fillId="0" borderId="12214" xfId="0" applyFont="1" applyBorder="1" applyAlignment="1"/>
    <xf numFmtId="0" fontId="12215" fillId="0" borderId="12215" xfId="0" applyFont="1" applyBorder="1" applyAlignment="1"/>
    <xf numFmtId="0" fontId="12216" fillId="0" borderId="12216" xfId="0" applyFont="1" applyBorder="1" applyAlignment="1"/>
    <xf numFmtId="0" fontId="12217" fillId="0" borderId="12217" xfId="0" applyFont="1" applyBorder="1" applyAlignment="1"/>
    <xf numFmtId="0" fontId="12218" fillId="0" borderId="12218" xfId="0" applyFont="1" applyBorder="1" applyAlignment="1"/>
    <xf numFmtId="0" fontId="12219" fillId="0" borderId="12219" xfId="0" applyFont="1" applyBorder="1" applyAlignment="1"/>
    <xf numFmtId="0" fontId="12220" fillId="0" borderId="12220" xfId="0" applyFont="1" applyBorder="1" applyAlignment="1"/>
    <xf numFmtId="0" fontId="12221" fillId="0" borderId="12221" xfId="0" applyFont="1" applyBorder="1" applyAlignment="1"/>
    <xf numFmtId="0" fontId="12222" fillId="0" borderId="12222" xfId="0" applyFont="1" applyBorder="1" applyAlignment="1"/>
    <xf numFmtId="0" fontId="12223" fillId="0" borderId="12223" xfId="0" applyFont="1" applyBorder="1" applyAlignment="1"/>
    <xf numFmtId="0" fontId="12224" fillId="0" borderId="12224" xfId="0" applyFont="1" applyBorder="1" applyAlignment="1"/>
    <xf numFmtId="0" fontId="12225" fillId="0" borderId="12225" xfId="0" applyFont="1" applyBorder="1" applyAlignment="1"/>
    <xf numFmtId="0" fontId="12226" fillId="0" borderId="12226" xfId="0" applyFont="1" applyBorder="1" applyAlignment="1"/>
    <xf numFmtId="0" fontId="12227" fillId="0" borderId="12227" xfId="0" applyFont="1" applyBorder="1" applyAlignment="1"/>
    <xf numFmtId="0" fontId="12228" fillId="0" borderId="12228" xfId="0" applyFont="1" applyBorder="1" applyAlignment="1"/>
    <xf numFmtId="0" fontId="12229" fillId="0" borderId="12229" xfId="0" applyFont="1" applyBorder="1" applyAlignment="1"/>
    <xf numFmtId="0" fontId="12230" fillId="0" borderId="12230" xfId="0" applyFont="1" applyBorder="1" applyAlignment="1"/>
    <xf numFmtId="0" fontId="12231" fillId="0" borderId="12231" xfId="0" applyFont="1" applyBorder="1" applyAlignment="1"/>
    <xf numFmtId="0" fontId="12232" fillId="0" borderId="12232" xfId="0" applyFont="1" applyBorder="1" applyAlignment="1"/>
    <xf numFmtId="0" fontId="12233" fillId="0" borderId="12233" xfId="0" applyFont="1" applyBorder="1" applyAlignment="1"/>
    <xf numFmtId="0" fontId="12234" fillId="0" borderId="12234" xfId="0" applyFont="1" applyBorder="1" applyAlignment="1"/>
    <xf numFmtId="0" fontId="12235" fillId="0" borderId="12235" xfId="0" applyFont="1" applyBorder="1" applyAlignment="1"/>
    <xf numFmtId="0" fontId="12236" fillId="0" borderId="12236" xfId="0" applyFont="1" applyBorder="1" applyAlignment="1"/>
    <xf numFmtId="0" fontId="12237" fillId="0" borderId="12237" xfId="0" applyFont="1" applyBorder="1" applyAlignment="1"/>
    <xf numFmtId="0" fontId="12238" fillId="0" borderId="12238" xfId="0" applyFont="1" applyBorder="1" applyAlignment="1"/>
    <xf numFmtId="0" fontId="12239" fillId="0" borderId="12239" xfId="0" applyFont="1" applyBorder="1" applyAlignment="1"/>
    <xf numFmtId="0" fontId="12240" fillId="0" borderId="12240" xfId="0" applyFont="1" applyBorder="1" applyAlignment="1"/>
    <xf numFmtId="0" fontId="12241" fillId="0" borderId="12241" xfId="0" applyFont="1" applyBorder="1" applyAlignment="1"/>
    <xf numFmtId="0" fontId="12242" fillId="0" borderId="12242" xfId="0" applyFont="1" applyBorder="1" applyAlignment="1"/>
    <xf numFmtId="0" fontId="12243" fillId="0" borderId="12243" xfId="0" applyFont="1" applyBorder="1" applyAlignment="1"/>
    <xf numFmtId="0" fontId="12244" fillId="0" borderId="12244" xfId="0" applyFont="1" applyBorder="1" applyAlignment="1"/>
    <xf numFmtId="0" fontId="12245" fillId="0" borderId="12245" xfId="0" applyFont="1" applyBorder="1" applyAlignment="1"/>
    <xf numFmtId="0" fontId="12246" fillId="0" borderId="12246" xfId="0" applyFont="1" applyBorder="1" applyAlignment="1"/>
    <xf numFmtId="0" fontId="12247" fillId="0" borderId="12247" xfId="0" applyFont="1" applyBorder="1" applyAlignment="1"/>
    <xf numFmtId="0" fontId="12248" fillId="0" borderId="12248" xfId="0" applyFont="1" applyBorder="1" applyAlignment="1"/>
    <xf numFmtId="0" fontId="12249" fillId="0" borderId="12249" xfId="0" applyFont="1" applyBorder="1" applyAlignment="1"/>
    <xf numFmtId="0" fontId="12250" fillId="0" borderId="12250" xfId="0" applyFont="1" applyBorder="1" applyAlignment="1"/>
    <xf numFmtId="0" fontId="12251" fillId="0" borderId="12251" xfId="0" applyFont="1" applyBorder="1" applyAlignment="1"/>
    <xf numFmtId="0" fontId="12252" fillId="0" borderId="12252" xfId="0" applyFont="1" applyBorder="1" applyAlignment="1"/>
    <xf numFmtId="0" fontId="12253" fillId="0" borderId="12253" xfId="0" applyFont="1" applyBorder="1" applyAlignment="1"/>
    <xf numFmtId="0" fontId="12254" fillId="0" borderId="12254" xfId="0" applyFont="1" applyBorder="1" applyAlignment="1"/>
    <xf numFmtId="0" fontId="12255" fillId="0" borderId="12255" xfId="0" applyFont="1" applyBorder="1" applyAlignment="1"/>
    <xf numFmtId="0" fontId="12256" fillId="0" borderId="12256" xfId="0" applyFont="1" applyBorder="1" applyAlignment="1"/>
    <xf numFmtId="0" fontId="12257" fillId="0" borderId="12257" xfId="0" applyFont="1" applyBorder="1" applyAlignment="1"/>
    <xf numFmtId="0" fontId="12258" fillId="0" borderId="12258" xfId="0" applyFont="1" applyBorder="1" applyAlignment="1"/>
    <xf numFmtId="0" fontId="12259" fillId="0" borderId="12259" xfId="0" applyFont="1" applyBorder="1" applyAlignment="1"/>
    <xf numFmtId="0" fontId="12260" fillId="0" borderId="12260" xfId="0" applyFont="1" applyBorder="1" applyAlignment="1"/>
    <xf numFmtId="0" fontId="12261" fillId="0" borderId="12261" xfId="0" applyFont="1" applyBorder="1" applyAlignment="1"/>
    <xf numFmtId="0" fontId="12262" fillId="0" borderId="12262" xfId="0" applyFont="1" applyBorder="1" applyAlignment="1"/>
    <xf numFmtId="0" fontId="12263" fillId="0" borderId="12263" xfId="0" applyFont="1" applyBorder="1" applyAlignment="1"/>
    <xf numFmtId="0" fontId="12264" fillId="0" borderId="12264" xfId="0" applyFont="1" applyBorder="1" applyAlignment="1"/>
    <xf numFmtId="0" fontId="12265" fillId="0" borderId="12265" xfId="0" applyFont="1" applyBorder="1" applyAlignment="1"/>
    <xf numFmtId="0" fontId="12266" fillId="0" borderId="12266" xfId="0" applyFont="1" applyBorder="1" applyAlignment="1"/>
    <xf numFmtId="0" fontId="12267" fillId="0" borderId="12267" xfId="0" applyFont="1" applyBorder="1" applyAlignment="1"/>
    <xf numFmtId="0" fontId="12268" fillId="0" borderId="12268" xfId="0" applyFont="1" applyBorder="1" applyAlignment="1"/>
    <xf numFmtId="0" fontId="12269" fillId="0" borderId="12269" xfId="0" applyFont="1" applyBorder="1" applyAlignment="1"/>
    <xf numFmtId="0" fontId="12270" fillId="0" borderId="12270" xfId="0" applyFont="1" applyBorder="1" applyAlignment="1"/>
    <xf numFmtId="0" fontId="12271" fillId="0" borderId="12271" xfId="0" applyFont="1" applyBorder="1" applyAlignment="1"/>
    <xf numFmtId="0" fontId="12272" fillId="0" borderId="12272" xfId="0" applyFont="1" applyBorder="1" applyAlignment="1"/>
    <xf numFmtId="0" fontId="12273" fillId="0" borderId="12273" xfId="0" applyFont="1" applyBorder="1" applyAlignment="1"/>
    <xf numFmtId="0" fontId="12274" fillId="0" borderId="12274" xfId="0" applyFont="1" applyBorder="1" applyAlignment="1"/>
    <xf numFmtId="0" fontId="12275" fillId="0" borderId="12275" xfId="0" applyFont="1" applyBorder="1" applyAlignment="1"/>
    <xf numFmtId="0" fontId="12276" fillId="0" borderId="12276" xfId="0" applyFont="1" applyBorder="1" applyAlignment="1"/>
    <xf numFmtId="0" fontId="12277" fillId="0" borderId="12277" xfId="0" applyFont="1" applyBorder="1" applyAlignment="1"/>
    <xf numFmtId="0" fontId="12278" fillId="0" borderId="12278" xfId="0" applyFont="1" applyBorder="1" applyAlignment="1"/>
    <xf numFmtId="0" fontId="12279" fillId="0" borderId="12279" xfId="0" applyFont="1" applyBorder="1" applyAlignment="1"/>
    <xf numFmtId="0" fontId="12280" fillId="0" borderId="12280" xfId="0" applyFont="1" applyBorder="1" applyAlignment="1"/>
    <xf numFmtId="0" fontId="12281" fillId="0" borderId="12281" xfId="0" applyFont="1" applyBorder="1" applyAlignment="1"/>
    <xf numFmtId="0" fontId="12282" fillId="0" borderId="12282" xfId="0" applyFont="1" applyBorder="1" applyAlignment="1"/>
    <xf numFmtId="0" fontId="12283" fillId="0" borderId="12283" xfId="0" applyFont="1" applyBorder="1" applyAlignment="1"/>
    <xf numFmtId="0" fontId="12284" fillId="0" borderId="12284" xfId="0" applyFont="1" applyBorder="1" applyAlignment="1"/>
    <xf numFmtId="0" fontId="12285" fillId="0" borderId="12285" xfId="0" applyFont="1" applyBorder="1" applyAlignment="1"/>
    <xf numFmtId="0" fontId="12286" fillId="0" borderId="12286" xfId="0" applyFont="1" applyBorder="1" applyAlignment="1"/>
    <xf numFmtId="0" fontId="12287" fillId="0" borderId="12287" xfId="0" applyFont="1" applyBorder="1" applyAlignment="1"/>
    <xf numFmtId="0" fontId="12288" fillId="0" borderId="12288" xfId="0" applyFont="1" applyBorder="1" applyAlignment="1"/>
    <xf numFmtId="0" fontId="12289" fillId="0" borderId="12289" xfId="0" applyFont="1" applyBorder="1" applyAlignment="1"/>
    <xf numFmtId="0" fontId="12290" fillId="0" borderId="12290" xfId="0" applyFont="1" applyBorder="1" applyAlignment="1"/>
    <xf numFmtId="0" fontId="12291" fillId="0" borderId="12291" xfId="0" applyFont="1" applyBorder="1" applyAlignment="1"/>
    <xf numFmtId="0" fontId="12292" fillId="0" borderId="12292" xfId="0" applyFont="1" applyBorder="1" applyAlignment="1"/>
    <xf numFmtId="0" fontId="12293" fillId="0" borderId="12293" xfId="0" applyFont="1" applyBorder="1" applyAlignment="1"/>
    <xf numFmtId="0" fontId="12294" fillId="0" borderId="12294" xfId="0" applyFont="1" applyBorder="1" applyAlignment="1"/>
    <xf numFmtId="0" fontId="12295" fillId="0" borderId="12295" xfId="0" applyFont="1" applyBorder="1" applyAlignment="1"/>
    <xf numFmtId="0" fontId="12296" fillId="0" borderId="12296" xfId="0" applyFont="1" applyBorder="1" applyAlignment="1"/>
    <xf numFmtId="0" fontId="12297" fillId="0" borderId="12297" xfId="0" applyFont="1" applyBorder="1" applyAlignment="1"/>
    <xf numFmtId="0" fontId="12298" fillId="0" borderId="12298" xfId="0" applyFont="1" applyBorder="1" applyAlignment="1"/>
    <xf numFmtId="0" fontId="12299" fillId="0" borderId="12299" xfId="0" applyFont="1" applyBorder="1" applyAlignment="1"/>
    <xf numFmtId="0" fontId="12300" fillId="0" borderId="12300" xfId="0" applyFont="1" applyBorder="1" applyAlignment="1"/>
    <xf numFmtId="0" fontId="12301" fillId="0" borderId="12301" xfId="0" applyFont="1" applyBorder="1" applyAlignment="1"/>
    <xf numFmtId="0" fontId="12302" fillId="0" borderId="12302" xfId="0" applyFont="1" applyBorder="1" applyAlignment="1"/>
    <xf numFmtId="0" fontId="12303" fillId="0" borderId="12303" xfId="0" applyFont="1" applyBorder="1" applyAlignment="1"/>
    <xf numFmtId="0" fontId="12304" fillId="0" borderId="12304" xfId="0" applyFont="1" applyBorder="1" applyAlignment="1"/>
    <xf numFmtId="0" fontId="12305" fillId="0" borderId="12305" xfId="0" applyFont="1" applyBorder="1" applyAlignment="1"/>
    <xf numFmtId="0" fontId="12306" fillId="0" borderId="12306" xfId="0" applyFont="1" applyBorder="1" applyAlignment="1"/>
    <xf numFmtId="0" fontId="12307" fillId="0" borderId="12307" xfId="0" applyFont="1" applyBorder="1" applyAlignment="1"/>
    <xf numFmtId="0" fontId="12308" fillId="0" borderId="12308" xfId="0" applyFont="1" applyBorder="1" applyAlignment="1"/>
    <xf numFmtId="0" fontId="12309" fillId="0" borderId="12309" xfId="0" applyFont="1" applyBorder="1" applyAlignment="1"/>
    <xf numFmtId="0" fontId="12310" fillId="0" borderId="12310" xfId="0" applyFont="1" applyBorder="1" applyAlignment="1"/>
    <xf numFmtId="0" fontId="12311" fillId="0" borderId="12311" xfId="0" applyFont="1" applyBorder="1" applyAlignment="1"/>
    <xf numFmtId="0" fontId="12312" fillId="0" borderId="12312" xfId="0" applyFont="1" applyBorder="1" applyAlignment="1"/>
    <xf numFmtId="0" fontId="12313" fillId="0" borderId="12313" xfId="0" applyFont="1" applyBorder="1" applyAlignment="1"/>
    <xf numFmtId="0" fontId="12314" fillId="0" borderId="12314" xfId="0" applyFont="1" applyBorder="1" applyAlignment="1"/>
    <xf numFmtId="0" fontId="12315" fillId="0" borderId="12315" xfId="0" applyFont="1" applyBorder="1" applyAlignment="1"/>
    <xf numFmtId="0" fontId="12316" fillId="0" borderId="12316" xfId="0" applyFont="1" applyBorder="1" applyAlignment="1"/>
    <xf numFmtId="0" fontId="12317" fillId="0" borderId="12317" xfId="0" applyFont="1" applyBorder="1" applyAlignment="1"/>
    <xf numFmtId="0" fontId="12318" fillId="0" borderId="12318" xfId="0" applyFont="1" applyBorder="1" applyAlignment="1"/>
    <xf numFmtId="0" fontId="12319" fillId="0" borderId="12319" xfId="0" applyFont="1" applyBorder="1" applyAlignment="1"/>
    <xf numFmtId="0" fontId="12320" fillId="0" borderId="12320" xfId="0" applyFont="1" applyBorder="1" applyAlignment="1"/>
    <xf numFmtId="0" fontId="12321" fillId="0" borderId="12321" xfId="0" applyFont="1" applyBorder="1" applyAlignment="1"/>
    <xf numFmtId="0" fontId="12322" fillId="0" borderId="12322" xfId="0" applyFont="1" applyBorder="1" applyAlignment="1"/>
    <xf numFmtId="0" fontId="12323" fillId="0" borderId="12323" xfId="0" applyFont="1" applyBorder="1" applyAlignment="1"/>
    <xf numFmtId="0" fontId="12324" fillId="0" borderId="12324" xfId="0" applyFont="1" applyBorder="1" applyAlignment="1"/>
    <xf numFmtId="0" fontId="12325" fillId="0" borderId="12325" xfId="0" applyFont="1" applyBorder="1" applyAlignment="1"/>
    <xf numFmtId="0" fontId="12326" fillId="0" borderId="12326" xfId="0" applyFont="1" applyBorder="1" applyAlignment="1"/>
    <xf numFmtId="0" fontId="12327" fillId="0" borderId="12327" xfId="0" applyFont="1" applyBorder="1" applyAlignment="1"/>
    <xf numFmtId="0" fontId="12328" fillId="0" borderId="12328" xfId="0" applyFont="1" applyBorder="1" applyAlignment="1"/>
    <xf numFmtId="0" fontId="12329" fillId="0" borderId="12329" xfId="0" applyFont="1" applyBorder="1" applyAlignment="1"/>
    <xf numFmtId="0" fontId="12330" fillId="0" borderId="12330" xfId="0" applyFont="1" applyBorder="1" applyAlignment="1"/>
    <xf numFmtId="0" fontId="12331" fillId="0" borderId="12331" xfId="0" applyFont="1" applyBorder="1" applyAlignment="1"/>
    <xf numFmtId="0" fontId="12332" fillId="0" borderId="12332" xfId="0" applyFont="1" applyBorder="1" applyAlignment="1"/>
    <xf numFmtId="0" fontId="12333" fillId="0" borderId="12333" xfId="0" applyFont="1" applyBorder="1" applyAlignment="1"/>
    <xf numFmtId="0" fontId="12334" fillId="0" borderId="12334" xfId="0" applyFont="1" applyBorder="1" applyAlignment="1"/>
    <xf numFmtId="0" fontId="12335" fillId="0" borderId="12335" xfId="0" applyFont="1" applyBorder="1" applyAlignment="1"/>
    <xf numFmtId="0" fontId="12336" fillId="0" borderId="12336" xfId="0" applyFont="1" applyBorder="1" applyAlignment="1"/>
    <xf numFmtId="0" fontId="12337" fillId="0" borderId="12337" xfId="0" applyFont="1" applyBorder="1" applyAlignment="1"/>
    <xf numFmtId="0" fontId="12338" fillId="0" borderId="12338" xfId="0" applyFont="1" applyBorder="1" applyAlignment="1"/>
    <xf numFmtId="0" fontId="12339" fillId="0" borderId="12339" xfId="0" applyFont="1" applyBorder="1" applyAlignment="1"/>
    <xf numFmtId="0" fontId="12340" fillId="0" borderId="12340" xfId="0" applyFont="1" applyBorder="1" applyAlignment="1"/>
    <xf numFmtId="0" fontId="12341" fillId="0" borderId="12341" xfId="0" applyFont="1" applyBorder="1" applyAlignment="1"/>
    <xf numFmtId="0" fontId="12342" fillId="0" borderId="12342" xfId="0" applyFont="1" applyBorder="1" applyAlignment="1"/>
    <xf numFmtId="0" fontId="12343" fillId="0" borderId="12343" xfId="0" applyFont="1" applyBorder="1" applyAlignment="1"/>
    <xf numFmtId="0" fontId="12344" fillId="0" borderId="12344" xfId="0" applyFont="1" applyBorder="1" applyAlignment="1"/>
    <xf numFmtId="0" fontId="12345" fillId="0" borderId="12345" xfId="0" applyFont="1" applyBorder="1" applyAlignment="1"/>
    <xf numFmtId="0" fontId="12346" fillId="0" borderId="12346" xfId="0" applyFont="1" applyBorder="1" applyAlignment="1"/>
    <xf numFmtId="0" fontId="12347" fillId="0" borderId="12347" xfId="0" applyFont="1" applyBorder="1" applyAlignment="1"/>
    <xf numFmtId="0" fontId="12348" fillId="0" borderId="12348" xfId="0" applyFont="1" applyBorder="1" applyAlignment="1"/>
    <xf numFmtId="0" fontId="12349" fillId="0" borderId="12349" xfId="0" applyFont="1" applyBorder="1" applyAlignment="1"/>
    <xf numFmtId="0" fontId="12350" fillId="0" borderId="12350" xfId="0" applyFont="1" applyBorder="1" applyAlignment="1"/>
    <xf numFmtId="0" fontId="12351" fillId="0" borderId="12351" xfId="0" applyFont="1" applyBorder="1" applyAlignment="1"/>
    <xf numFmtId="0" fontId="12352" fillId="0" borderId="12352" xfId="0" applyFont="1" applyBorder="1" applyAlignment="1"/>
    <xf numFmtId="0" fontId="12353" fillId="0" borderId="12353" xfId="0" applyFont="1" applyBorder="1" applyAlignment="1"/>
    <xf numFmtId="0" fontId="12354" fillId="0" borderId="12354" xfId="0" applyFont="1" applyBorder="1" applyAlignment="1"/>
    <xf numFmtId="0" fontId="12355" fillId="0" borderId="12355" xfId="0" applyFont="1" applyBorder="1" applyAlignment="1"/>
    <xf numFmtId="0" fontId="12356" fillId="0" borderId="12356" xfId="0" applyFont="1" applyBorder="1" applyAlignment="1"/>
    <xf numFmtId="0" fontId="12357" fillId="0" borderId="12357" xfId="0" applyFont="1" applyBorder="1" applyAlignment="1"/>
    <xf numFmtId="0" fontId="12358" fillId="0" borderId="12358" xfId="0" applyFont="1" applyBorder="1" applyAlignment="1"/>
    <xf numFmtId="0" fontId="12359" fillId="0" borderId="12359" xfId="0" applyFont="1" applyBorder="1" applyAlignment="1"/>
    <xf numFmtId="0" fontId="12360" fillId="0" borderId="12360" xfId="0" applyFont="1" applyBorder="1" applyAlignment="1"/>
    <xf numFmtId="0" fontId="12361" fillId="0" borderId="12361" xfId="0" applyFont="1" applyBorder="1" applyAlignment="1"/>
    <xf numFmtId="0" fontId="12362" fillId="0" borderId="12362" xfId="0" applyFont="1" applyBorder="1" applyAlignment="1"/>
    <xf numFmtId="0" fontId="12363" fillId="0" borderId="12363" xfId="0" applyFont="1" applyBorder="1" applyAlignment="1"/>
    <xf numFmtId="0" fontId="12364" fillId="0" borderId="12364" xfId="0" applyFont="1" applyBorder="1" applyAlignment="1"/>
    <xf numFmtId="0" fontId="12365" fillId="0" borderId="12365" xfId="0" applyFont="1" applyBorder="1" applyAlignment="1"/>
    <xf numFmtId="0" fontId="12366" fillId="0" borderId="12366" xfId="0" applyFont="1" applyBorder="1" applyAlignment="1"/>
    <xf numFmtId="0" fontId="12367" fillId="0" borderId="12367" xfId="0" applyFont="1" applyBorder="1" applyAlignment="1"/>
    <xf numFmtId="0" fontId="12368" fillId="0" borderId="12368" xfId="0" applyFont="1" applyBorder="1" applyAlignment="1"/>
    <xf numFmtId="0" fontId="12369" fillId="0" borderId="12369" xfId="0" applyFont="1" applyBorder="1" applyAlignment="1"/>
    <xf numFmtId="0" fontId="12370" fillId="0" borderId="12370" xfId="0" applyFont="1" applyBorder="1" applyAlignment="1"/>
    <xf numFmtId="0" fontId="12371" fillId="0" borderId="12371" xfId="0" applyFont="1" applyBorder="1" applyAlignment="1"/>
    <xf numFmtId="0" fontId="12372" fillId="0" borderId="12372" xfId="0" applyFont="1" applyBorder="1" applyAlignment="1"/>
    <xf numFmtId="0" fontId="12373" fillId="0" borderId="12373" xfId="0" applyFont="1" applyBorder="1" applyAlignment="1"/>
    <xf numFmtId="0" fontId="12374" fillId="0" borderId="12374" xfId="0" applyFont="1" applyBorder="1" applyAlignment="1"/>
    <xf numFmtId="0" fontId="12375" fillId="0" borderId="12375" xfId="0" applyFont="1" applyBorder="1" applyAlignment="1"/>
    <xf numFmtId="0" fontId="12376" fillId="0" borderId="12376" xfId="0" applyFont="1" applyBorder="1" applyAlignment="1"/>
    <xf numFmtId="0" fontId="12377" fillId="0" borderId="12377" xfId="0" applyFont="1" applyBorder="1" applyAlignment="1"/>
    <xf numFmtId="0" fontId="12378" fillId="0" borderId="12378" xfId="0" applyFont="1" applyBorder="1" applyAlignment="1"/>
    <xf numFmtId="0" fontId="12379" fillId="0" borderId="12379" xfId="0" applyFont="1" applyBorder="1" applyAlignment="1"/>
    <xf numFmtId="0" fontId="12380" fillId="0" borderId="12380" xfId="0" applyFont="1" applyBorder="1" applyAlignment="1"/>
    <xf numFmtId="0" fontId="12381" fillId="0" borderId="12381" xfId="0" applyFont="1" applyBorder="1" applyAlignment="1"/>
    <xf numFmtId="0" fontId="12382" fillId="0" borderId="12382" xfId="0" applyFont="1" applyBorder="1" applyAlignment="1"/>
    <xf numFmtId="0" fontId="12383" fillId="0" borderId="12383" xfId="0" applyFont="1" applyBorder="1" applyAlignment="1"/>
    <xf numFmtId="0" fontId="12384" fillId="0" borderId="12384" xfId="0" applyFont="1" applyBorder="1" applyAlignment="1"/>
    <xf numFmtId="0" fontId="12385" fillId="0" borderId="12385" xfId="0" applyFont="1" applyBorder="1" applyAlignment="1"/>
    <xf numFmtId="0" fontId="12386" fillId="0" borderId="12386" xfId="0" applyFont="1" applyBorder="1" applyAlignment="1"/>
    <xf numFmtId="0" fontId="12387" fillId="0" borderId="12387" xfId="0" applyFont="1" applyBorder="1" applyAlignment="1"/>
    <xf numFmtId="0" fontId="12388" fillId="0" borderId="12388" xfId="0" applyFont="1" applyBorder="1" applyAlignment="1"/>
    <xf numFmtId="0" fontId="12389" fillId="0" borderId="12389" xfId="0" applyFont="1" applyBorder="1" applyAlignment="1"/>
    <xf numFmtId="0" fontId="12390" fillId="0" borderId="12390" xfId="0" applyFont="1" applyBorder="1" applyAlignment="1"/>
    <xf numFmtId="0" fontId="12391" fillId="0" borderId="12391" xfId="0" applyFont="1" applyBorder="1" applyAlignment="1"/>
    <xf numFmtId="0" fontId="12392" fillId="0" borderId="12392" xfId="0" applyFont="1" applyBorder="1" applyAlignment="1"/>
    <xf numFmtId="0" fontId="12393" fillId="0" borderId="12393" xfId="0" applyFont="1" applyBorder="1" applyAlignment="1"/>
    <xf numFmtId="0" fontId="12394" fillId="0" borderId="12394" xfId="0" applyFont="1" applyBorder="1" applyAlignment="1"/>
    <xf numFmtId="0" fontId="12395" fillId="0" borderId="12395" xfId="0" applyFont="1" applyBorder="1" applyAlignment="1"/>
    <xf numFmtId="0" fontId="12396" fillId="0" borderId="12396" xfId="0" applyFont="1" applyBorder="1" applyAlignment="1"/>
    <xf numFmtId="0" fontId="12397" fillId="0" borderId="12397" xfId="0" applyFont="1" applyBorder="1" applyAlignment="1"/>
    <xf numFmtId="0" fontId="12398" fillId="0" borderId="12398" xfId="0" applyFont="1" applyBorder="1" applyAlignment="1"/>
    <xf numFmtId="0" fontId="12399" fillId="0" borderId="12399" xfId="0" applyFont="1" applyBorder="1" applyAlignment="1"/>
    <xf numFmtId="0" fontId="12400" fillId="0" borderId="12400" xfId="0" applyFont="1" applyBorder="1" applyAlignment="1"/>
    <xf numFmtId="0" fontId="12401" fillId="0" borderId="12401" xfId="0" applyFont="1" applyBorder="1" applyAlignment="1"/>
    <xf numFmtId="0" fontId="12402" fillId="0" borderId="12402" xfId="0" applyFont="1" applyBorder="1" applyAlignment="1"/>
    <xf numFmtId="0" fontId="12403" fillId="0" borderId="12403" xfId="0" applyFont="1" applyBorder="1" applyAlignment="1"/>
    <xf numFmtId="0" fontId="12404" fillId="0" borderId="12404" xfId="0" applyFont="1" applyBorder="1" applyAlignment="1"/>
    <xf numFmtId="0" fontId="12405" fillId="0" borderId="12405" xfId="0" applyFont="1" applyBorder="1" applyAlignment="1"/>
    <xf numFmtId="0" fontId="12406" fillId="0" borderId="12406" xfId="0" applyFont="1" applyBorder="1" applyAlignment="1"/>
    <xf numFmtId="0" fontId="12407" fillId="0" borderId="12407" xfId="0" applyFont="1" applyBorder="1" applyAlignment="1"/>
    <xf numFmtId="0" fontId="12408" fillId="0" borderId="12408" xfId="0" applyFont="1" applyBorder="1" applyAlignment="1"/>
    <xf numFmtId="0" fontId="12409" fillId="0" borderId="12409" xfId="0" applyFont="1" applyBorder="1" applyAlignment="1"/>
    <xf numFmtId="0" fontId="12410" fillId="0" borderId="12410" xfId="0" applyFont="1" applyBorder="1" applyAlignment="1"/>
    <xf numFmtId="0" fontId="12411" fillId="0" borderId="12411" xfId="0" applyFont="1" applyBorder="1" applyAlignment="1"/>
    <xf numFmtId="0" fontId="12412" fillId="0" borderId="12412" xfId="0" applyFont="1" applyBorder="1" applyAlignment="1"/>
    <xf numFmtId="0" fontId="12413" fillId="0" borderId="12413" xfId="0" applyFont="1" applyBorder="1" applyAlignment="1"/>
    <xf numFmtId="0" fontId="12414" fillId="0" borderId="12414" xfId="0" applyFont="1" applyBorder="1" applyAlignment="1"/>
    <xf numFmtId="0" fontId="12415" fillId="0" borderId="12415" xfId="0" applyFont="1" applyBorder="1" applyAlignment="1"/>
    <xf numFmtId="0" fontId="12416" fillId="0" borderId="12416" xfId="0" applyFont="1" applyBorder="1" applyAlignment="1"/>
    <xf numFmtId="0" fontId="12417" fillId="0" borderId="12417" xfId="0" applyFont="1" applyBorder="1" applyAlignment="1"/>
    <xf numFmtId="0" fontId="12418" fillId="0" borderId="12418" xfId="0" applyFont="1" applyBorder="1" applyAlignment="1"/>
    <xf numFmtId="0" fontId="12419" fillId="0" borderId="12419" xfId="0" applyFont="1" applyBorder="1" applyAlignment="1"/>
    <xf numFmtId="0" fontId="12420" fillId="0" borderId="12420" xfId="0" applyFont="1" applyBorder="1" applyAlignment="1"/>
    <xf numFmtId="0" fontId="12421" fillId="0" borderId="12421" xfId="0" applyFont="1" applyBorder="1" applyAlignment="1"/>
    <xf numFmtId="0" fontId="12422" fillId="0" borderId="12422" xfId="0" applyFont="1" applyBorder="1" applyAlignment="1"/>
    <xf numFmtId="0" fontId="12423" fillId="0" borderId="12423" xfId="0" applyFont="1" applyBorder="1" applyAlignment="1"/>
    <xf numFmtId="0" fontId="12424" fillId="0" borderId="12424" xfId="0" applyFont="1" applyBorder="1" applyAlignment="1"/>
    <xf numFmtId="0" fontId="12425" fillId="0" borderId="12425" xfId="0" applyFont="1" applyBorder="1" applyAlignment="1"/>
    <xf numFmtId="0" fontId="12426" fillId="0" borderId="12426" xfId="0" applyFont="1" applyBorder="1" applyAlignment="1"/>
    <xf numFmtId="0" fontId="12427" fillId="0" borderId="12427" xfId="0" applyFont="1" applyBorder="1" applyAlignment="1"/>
    <xf numFmtId="0" fontId="12428" fillId="0" borderId="12428" xfId="0" applyFont="1" applyBorder="1" applyAlignment="1"/>
    <xf numFmtId="0" fontId="12429" fillId="0" borderId="12429" xfId="0" applyFont="1" applyBorder="1" applyAlignment="1"/>
    <xf numFmtId="0" fontId="12430" fillId="0" borderId="12430" xfId="0" applyFont="1" applyBorder="1" applyAlignment="1"/>
    <xf numFmtId="0" fontId="12431" fillId="0" borderId="12431" xfId="0" applyFont="1" applyBorder="1" applyAlignment="1"/>
    <xf numFmtId="0" fontId="12432" fillId="0" borderId="12432" xfId="0" applyFont="1" applyBorder="1" applyAlignment="1"/>
    <xf numFmtId="0" fontId="12433" fillId="0" borderId="12433" xfId="0" applyFont="1" applyBorder="1" applyAlignment="1"/>
    <xf numFmtId="0" fontId="12434" fillId="0" borderId="12434" xfId="0" applyFont="1" applyBorder="1" applyAlignment="1"/>
    <xf numFmtId="0" fontId="12435" fillId="0" borderId="12435" xfId="0" applyFont="1" applyBorder="1" applyAlignment="1"/>
    <xf numFmtId="0" fontId="12436" fillId="0" borderId="12436" xfId="0" applyFont="1" applyBorder="1" applyAlignment="1"/>
    <xf numFmtId="0" fontId="12437" fillId="0" borderId="12437" xfId="0" applyFont="1" applyBorder="1" applyAlignment="1"/>
    <xf numFmtId="0" fontId="12438" fillId="0" borderId="12438" xfId="0" applyFont="1" applyBorder="1" applyAlignment="1"/>
    <xf numFmtId="0" fontId="12439" fillId="0" borderId="12439" xfId="0" applyFont="1" applyBorder="1" applyAlignment="1"/>
    <xf numFmtId="0" fontId="12440" fillId="0" borderId="12440" xfId="0" applyFont="1" applyBorder="1" applyAlignment="1"/>
    <xf numFmtId="0" fontId="12441" fillId="0" borderId="12441" xfId="0" applyFont="1" applyBorder="1" applyAlignment="1"/>
    <xf numFmtId="0" fontId="12442" fillId="0" borderId="12442" xfId="0" applyFont="1" applyBorder="1" applyAlignment="1"/>
    <xf numFmtId="0" fontId="12443" fillId="0" borderId="12443" xfId="0" applyFont="1" applyBorder="1" applyAlignment="1"/>
    <xf numFmtId="0" fontId="12444" fillId="0" borderId="12444" xfId="0" applyFont="1" applyBorder="1" applyAlignment="1"/>
    <xf numFmtId="0" fontId="12445" fillId="0" borderId="12445" xfId="0" applyFont="1" applyBorder="1" applyAlignment="1"/>
    <xf numFmtId="0" fontId="12446" fillId="0" borderId="12446" xfId="0" applyFont="1" applyBorder="1" applyAlignment="1"/>
    <xf numFmtId="0" fontId="12447" fillId="0" borderId="12447" xfId="0" applyFont="1" applyBorder="1" applyAlignment="1"/>
    <xf numFmtId="0" fontId="12448" fillId="0" borderId="12448" xfId="0" applyFont="1" applyBorder="1" applyAlignment="1"/>
    <xf numFmtId="0" fontId="12449" fillId="0" borderId="12449" xfId="0" applyFont="1" applyBorder="1" applyAlignment="1"/>
    <xf numFmtId="0" fontId="12450" fillId="0" borderId="12450" xfId="0" applyFont="1" applyBorder="1" applyAlignment="1"/>
    <xf numFmtId="0" fontId="12451" fillId="0" borderId="12451" xfId="0" applyFont="1" applyBorder="1" applyAlignment="1"/>
    <xf numFmtId="0" fontId="12452" fillId="0" borderId="12452" xfId="0" applyFont="1" applyBorder="1" applyAlignment="1"/>
    <xf numFmtId="0" fontId="12453" fillId="0" borderId="12453" xfId="0" applyFont="1" applyBorder="1" applyAlignment="1"/>
    <xf numFmtId="0" fontId="12454" fillId="0" borderId="12454" xfId="0" applyFont="1" applyBorder="1" applyAlignment="1"/>
    <xf numFmtId="0" fontId="12455" fillId="0" borderId="12455" xfId="0" applyFont="1" applyBorder="1" applyAlignment="1"/>
    <xf numFmtId="0" fontId="12456" fillId="0" borderId="12456" xfId="0" applyFont="1" applyBorder="1" applyAlignment="1"/>
    <xf numFmtId="0" fontId="12457" fillId="0" borderId="12457" xfId="0" applyFont="1" applyBorder="1" applyAlignment="1"/>
    <xf numFmtId="0" fontId="12458" fillId="0" borderId="12458" xfId="0" applyFont="1" applyBorder="1" applyAlignment="1"/>
    <xf numFmtId="0" fontId="12459" fillId="0" borderId="12459" xfId="0" applyFont="1" applyBorder="1" applyAlignment="1"/>
    <xf numFmtId="0" fontId="12460" fillId="0" borderId="12460" xfId="0" applyFont="1" applyBorder="1" applyAlignment="1"/>
    <xf numFmtId="0" fontId="12461" fillId="0" borderId="12461" xfId="0" applyFont="1" applyBorder="1" applyAlignment="1"/>
    <xf numFmtId="0" fontId="12462" fillId="0" borderId="12462" xfId="0" applyFont="1" applyBorder="1" applyAlignment="1"/>
    <xf numFmtId="0" fontId="12463" fillId="0" borderId="12463" xfId="0" applyFont="1" applyBorder="1" applyAlignment="1"/>
    <xf numFmtId="0" fontId="12464" fillId="0" borderId="12464" xfId="0" applyFont="1" applyBorder="1" applyAlignment="1"/>
    <xf numFmtId="0" fontId="12465" fillId="0" borderId="12465" xfId="0" applyFont="1" applyBorder="1" applyAlignment="1"/>
    <xf numFmtId="0" fontId="12466" fillId="0" borderId="12466" xfId="0" applyFont="1" applyBorder="1" applyAlignment="1"/>
    <xf numFmtId="0" fontId="12467" fillId="0" borderId="12467" xfId="0" applyFont="1" applyBorder="1" applyAlignment="1"/>
    <xf numFmtId="0" fontId="12468" fillId="0" borderId="12468" xfId="0" applyFont="1" applyBorder="1" applyAlignment="1"/>
    <xf numFmtId="0" fontId="12469" fillId="0" borderId="12469" xfId="0" applyFont="1" applyBorder="1" applyAlignment="1"/>
    <xf numFmtId="0" fontId="12470" fillId="0" borderId="12470" xfId="0" applyFont="1" applyBorder="1" applyAlignment="1"/>
    <xf numFmtId="0" fontId="12471" fillId="0" borderId="12471" xfId="0" applyFont="1" applyBorder="1" applyAlignment="1"/>
    <xf numFmtId="0" fontId="12472" fillId="0" borderId="12472" xfId="0" applyFont="1" applyBorder="1" applyAlignment="1"/>
    <xf numFmtId="0" fontId="12473" fillId="0" borderId="12473" xfId="0" applyFont="1" applyBorder="1" applyAlignment="1"/>
    <xf numFmtId="0" fontId="12474" fillId="0" borderId="12474" xfId="0" applyFont="1" applyBorder="1" applyAlignment="1"/>
    <xf numFmtId="0" fontId="12475" fillId="0" borderId="12475" xfId="0" applyFont="1" applyBorder="1" applyAlignment="1"/>
    <xf numFmtId="0" fontId="12476" fillId="0" borderId="12476" xfId="0" applyFont="1" applyBorder="1" applyAlignment="1"/>
    <xf numFmtId="0" fontId="12477" fillId="0" borderId="12477" xfId="0" applyFont="1" applyBorder="1" applyAlignment="1"/>
    <xf numFmtId="0" fontId="12478" fillId="0" borderId="12478" xfId="0" applyFont="1" applyBorder="1" applyAlignment="1"/>
    <xf numFmtId="0" fontId="12479" fillId="0" borderId="12479" xfId="0" applyFont="1" applyBorder="1" applyAlignment="1"/>
    <xf numFmtId="0" fontId="12480" fillId="0" borderId="12480" xfId="0" applyFont="1" applyBorder="1" applyAlignment="1"/>
    <xf numFmtId="0" fontId="12481" fillId="0" borderId="12481" xfId="0" applyFont="1" applyBorder="1" applyAlignment="1"/>
    <xf numFmtId="0" fontId="12482" fillId="0" borderId="12482" xfId="0" applyFont="1" applyBorder="1" applyAlignment="1"/>
    <xf numFmtId="0" fontId="12483" fillId="0" borderId="12483" xfId="0" applyFont="1" applyBorder="1" applyAlignment="1"/>
    <xf numFmtId="0" fontId="12484" fillId="0" borderId="12484" xfId="0" applyFont="1" applyBorder="1" applyAlignment="1"/>
    <xf numFmtId="0" fontId="12485" fillId="0" borderId="12485" xfId="0" applyFont="1" applyBorder="1" applyAlignment="1"/>
    <xf numFmtId="0" fontId="12486" fillId="0" borderId="12486" xfId="0" applyFont="1" applyBorder="1" applyAlignment="1"/>
    <xf numFmtId="0" fontId="12487" fillId="0" borderId="12487" xfId="0" applyFont="1" applyBorder="1" applyAlignment="1"/>
    <xf numFmtId="0" fontId="12488" fillId="0" borderId="12488" xfId="0" applyFont="1" applyBorder="1" applyAlignment="1"/>
    <xf numFmtId="0" fontId="12489" fillId="0" borderId="12489" xfId="0" applyFont="1" applyBorder="1" applyAlignment="1"/>
    <xf numFmtId="0" fontId="12490" fillId="0" borderId="12490" xfId="0" applyFont="1" applyBorder="1" applyAlignment="1"/>
    <xf numFmtId="0" fontId="12491" fillId="0" borderId="12491" xfId="0" applyFont="1" applyBorder="1" applyAlignment="1"/>
    <xf numFmtId="0" fontId="12492" fillId="0" borderId="12492" xfId="0" applyFont="1" applyBorder="1" applyAlignment="1"/>
    <xf numFmtId="0" fontId="12493" fillId="0" borderId="12493" xfId="0" applyFont="1" applyBorder="1" applyAlignment="1"/>
    <xf numFmtId="0" fontId="12494" fillId="0" borderId="12494" xfId="0" applyFont="1" applyBorder="1" applyAlignment="1"/>
    <xf numFmtId="0" fontId="12495" fillId="0" borderId="12495" xfId="0" applyFont="1" applyBorder="1" applyAlignment="1"/>
    <xf numFmtId="0" fontId="12496" fillId="0" borderId="12496" xfId="0" applyFont="1" applyBorder="1" applyAlignment="1"/>
    <xf numFmtId="0" fontId="12497" fillId="0" borderId="12497" xfId="0" applyFont="1" applyBorder="1" applyAlignment="1"/>
    <xf numFmtId="0" fontId="12498" fillId="0" borderId="12498" xfId="0" applyFont="1" applyBorder="1" applyAlignment="1"/>
    <xf numFmtId="0" fontId="12499" fillId="0" borderId="12499" xfId="0" applyFont="1" applyBorder="1" applyAlignment="1"/>
    <xf numFmtId="0" fontId="12500" fillId="0" borderId="12500" xfId="0" applyFont="1" applyBorder="1" applyAlignment="1"/>
    <xf numFmtId="0" fontId="12501" fillId="0" borderId="12501" xfId="0" applyFont="1" applyBorder="1" applyAlignment="1"/>
    <xf numFmtId="0" fontId="12502" fillId="0" borderId="12502" xfId="0" applyFont="1" applyBorder="1" applyAlignment="1"/>
    <xf numFmtId="0" fontId="12503" fillId="0" borderId="12503" xfId="0" applyFont="1" applyBorder="1" applyAlignment="1"/>
    <xf numFmtId="0" fontId="12504" fillId="0" borderId="12504" xfId="0" applyFont="1" applyBorder="1" applyAlignment="1"/>
    <xf numFmtId="0" fontId="12505" fillId="0" borderId="12505" xfId="0" applyFont="1" applyBorder="1" applyAlignment="1"/>
    <xf numFmtId="0" fontId="12506" fillId="0" borderId="12506" xfId="0" applyFont="1" applyBorder="1" applyAlignment="1"/>
    <xf numFmtId="0" fontId="12507" fillId="0" borderId="12507" xfId="0" applyFont="1" applyBorder="1" applyAlignment="1"/>
    <xf numFmtId="0" fontId="12508" fillId="0" borderId="12508" xfId="0" applyFont="1" applyBorder="1" applyAlignment="1"/>
    <xf numFmtId="0" fontId="12509" fillId="0" borderId="12509" xfId="0" applyFont="1" applyBorder="1" applyAlignment="1"/>
    <xf numFmtId="0" fontId="12510" fillId="0" borderId="12510" xfId="0" applyFont="1" applyBorder="1" applyAlignment="1"/>
    <xf numFmtId="0" fontId="12511" fillId="0" borderId="12511" xfId="0" applyFont="1" applyBorder="1" applyAlignment="1"/>
    <xf numFmtId="0" fontId="12512" fillId="0" borderId="12512" xfId="0" applyFont="1" applyBorder="1" applyAlignment="1"/>
    <xf numFmtId="0" fontId="12513" fillId="0" borderId="12513" xfId="0" applyFont="1" applyBorder="1" applyAlignment="1"/>
    <xf numFmtId="0" fontId="12514" fillId="0" borderId="12514" xfId="0" applyFont="1" applyBorder="1" applyAlignment="1"/>
    <xf numFmtId="0" fontId="12515" fillId="0" borderId="12515" xfId="0" applyFont="1" applyBorder="1" applyAlignment="1"/>
    <xf numFmtId="0" fontId="12516" fillId="0" borderId="12516" xfId="0" applyFont="1" applyBorder="1" applyAlignment="1"/>
    <xf numFmtId="0" fontId="12517" fillId="0" borderId="12517" xfId="0" applyFont="1" applyBorder="1" applyAlignment="1"/>
    <xf numFmtId="0" fontId="12518" fillId="0" borderId="12518" xfId="0" applyFont="1" applyBorder="1" applyAlignment="1"/>
    <xf numFmtId="0" fontId="12519" fillId="0" borderId="12519" xfId="0" applyFont="1" applyBorder="1" applyAlignment="1"/>
    <xf numFmtId="0" fontId="12520" fillId="0" borderId="12520" xfId="0" applyFont="1" applyBorder="1" applyAlignment="1"/>
    <xf numFmtId="0" fontId="12521" fillId="0" borderId="12521" xfId="0" applyFont="1" applyBorder="1" applyAlignment="1"/>
    <xf numFmtId="0" fontId="12522" fillId="0" borderId="12522" xfId="0" applyFont="1" applyBorder="1" applyAlignment="1"/>
    <xf numFmtId="0" fontId="12523" fillId="0" borderId="12523" xfId="0" applyFont="1" applyBorder="1" applyAlignment="1"/>
    <xf numFmtId="0" fontId="12524" fillId="0" borderId="12524" xfId="0" applyFont="1" applyBorder="1" applyAlignment="1"/>
    <xf numFmtId="0" fontId="12525" fillId="0" borderId="12525" xfId="0" applyFont="1" applyBorder="1" applyAlignment="1"/>
    <xf numFmtId="0" fontId="12526" fillId="0" borderId="12526" xfId="0" applyFont="1" applyBorder="1" applyAlignment="1"/>
    <xf numFmtId="0" fontId="12527" fillId="0" borderId="12527" xfId="0" applyFont="1" applyBorder="1" applyAlignment="1"/>
    <xf numFmtId="0" fontId="12528" fillId="0" borderId="12528" xfId="0" applyFont="1" applyBorder="1" applyAlignment="1"/>
    <xf numFmtId="0" fontId="12529" fillId="0" borderId="12529" xfId="0" applyFont="1" applyBorder="1" applyAlignment="1"/>
    <xf numFmtId="0" fontId="12530" fillId="0" borderId="12530" xfId="0" applyFont="1" applyBorder="1" applyAlignment="1"/>
    <xf numFmtId="0" fontId="12531" fillId="0" borderId="12531" xfId="0" applyFont="1" applyBorder="1" applyAlignment="1"/>
    <xf numFmtId="0" fontId="12532" fillId="0" borderId="12532" xfId="0" applyFont="1" applyBorder="1" applyAlignment="1"/>
    <xf numFmtId="0" fontId="12533" fillId="0" borderId="12533" xfId="0" applyFont="1" applyBorder="1" applyAlignment="1"/>
    <xf numFmtId="0" fontId="12534" fillId="0" borderId="12534" xfId="0" applyFont="1" applyBorder="1" applyAlignment="1"/>
    <xf numFmtId="0" fontId="12535" fillId="0" borderId="12535" xfId="0" applyFont="1" applyBorder="1" applyAlignment="1"/>
    <xf numFmtId="0" fontId="12536" fillId="0" borderId="12536" xfId="0" applyFont="1" applyBorder="1" applyAlignment="1"/>
    <xf numFmtId="0" fontId="12537" fillId="0" borderId="12537" xfId="0" applyFont="1" applyBorder="1" applyAlignment="1"/>
    <xf numFmtId="0" fontId="12538" fillId="0" borderId="12538" xfId="0" applyFont="1" applyBorder="1" applyAlignment="1"/>
    <xf numFmtId="0" fontId="12539" fillId="0" borderId="12539" xfId="0" applyFont="1" applyBorder="1" applyAlignment="1"/>
    <xf numFmtId="0" fontId="12540" fillId="0" borderId="12540" xfId="0" applyFont="1" applyBorder="1" applyAlignment="1"/>
    <xf numFmtId="0" fontId="12541" fillId="0" borderId="12541" xfId="0" applyFont="1" applyBorder="1" applyAlignment="1"/>
    <xf numFmtId="0" fontId="12542" fillId="0" borderId="12542" xfId="0" applyFont="1" applyBorder="1" applyAlignment="1"/>
    <xf numFmtId="0" fontId="12543" fillId="0" borderId="12543" xfId="0" applyFont="1" applyBorder="1" applyAlignment="1"/>
    <xf numFmtId="0" fontId="12544" fillId="0" borderId="12544" xfId="0" applyFont="1" applyBorder="1" applyAlignment="1"/>
    <xf numFmtId="0" fontId="12545" fillId="0" borderId="12545" xfId="0" applyFont="1" applyBorder="1" applyAlignment="1"/>
    <xf numFmtId="0" fontId="12546" fillId="0" borderId="12546" xfId="0" applyFont="1" applyBorder="1" applyAlignment="1"/>
    <xf numFmtId="0" fontId="12547" fillId="0" borderId="12547" xfId="0" applyFont="1" applyBorder="1" applyAlignment="1"/>
    <xf numFmtId="0" fontId="12548" fillId="0" borderId="12548" xfId="0" applyFont="1" applyBorder="1" applyAlignment="1"/>
    <xf numFmtId="0" fontId="12549" fillId="0" borderId="12549" xfId="0" applyFont="1" applyBorder="1" applyAlignment="1"/>
    <xf numFmtId="0" fontId="12550" fillId="0" borderId="12550" xfId="0" applyFont="1" applyBorder="1" applyAlignment="1"/>
    <xf numFmtId="0" fontId="12551" fillId="0" borderId="12551" xfId="0" applyFont="1" applyBorder="1" applyAlignment="1"/>
    <xf numFmtId="0" fontId="12552" fillId="0" borderId="12552" xfId="0" applyFont="1" applyBorder="1" applyAlignment="1"/>
    <xf numFmtId="0" fontId="12553" fillId="0" borderId="12553" xfId="0" applyFont="1" applyBorder="1" applyAlignment="1"/>
    <xf numFmtId="0" fontId="12554" fillId="0" borderId="12554" xfId="0" applyFont="1" applyBorder="1" applyAlignment="1"/>
    <xf numFmtId="0" fontId="12555" fillId="0" borderId="12555" xfId="0" applyFont="1" applyBorder="1" applyAlignment="1"/>
    <xf numFmtId="0" fontId="12556" fillId="0" borderId="12556" xfId="0" applyFont="1" applyBorder="1" applyAlignment="1"/>
    <xf numFmtId="0" fontId="12557" fillId="0" borderId="12557" xfId="0" applyFont="1" applyBorder="1" applyAlignment="1"/>
    <xf numFmtId="0" fontId="12558" fillId="0" borderId="12558" xfId="0" applyFont="1" applyBorder="1" applyAlignment="1"/>
    <xf numFmtId="0" fontId="12559" fillId="0" borderId="12559" xfId="0" applyFont="1" applyBorder="1" applyAlignment="1"/>
    <xf numFmtId="0" fontId="12560" fillId="0" borderId="12560" xfId="0" applyFont="1" applyBorder="1" applyAlignment="1"/>
    <xf numFmtId="0" fontId="12561" fillId="0" borderId="12561" xfId="0" applyFont="1" applyBorder="1" applyAlignment="1"/>
    <xf numFmtId="0" fontId="12562" fillId="0" borderId="12562" xfId="0" applyFont="1" applyBorder="1" applyAlignment="1"/>
    <xf numFmtId="0" fontId="12563" fillId="0" borderId="12563" xfId="0" applyFont="1" applyBorder="1" applyAlignment="1"/>
    <xf numFmtId="0" fontId="12564" fillId="0" borderId="12564" xfId="0" applyFont="1" applyBorder="1" applyAlignment="1"/>
    <xf numFmtId="0" fontId="12565" fillId="0" borderId="12565" xfId="0" applyFont="1" applyBorder="1" applyAlignment="1"/>
    <xf numFmtId="0" fontId="12566" fillId="0" borderId="12566" xfId="0" applyFont="1" applyBorder="1" applyAlignment="1"/>
    <xf numFmtId="0" fontId="12567" fillId="0" borderId="12567" xfId="0" applyFont="1" applyBorder="1" applyAlignment="1"/>
    <xf numFmtId="0" fontId="12568" fillId="0" borderId="12568" xfId="0" applyFont="1" applyBorder="1" applyAlignment="1"/>
    <xf numFmtId="0" fontId="12569" fillId="0" borderId="12569" xfId="0" applyFont="1" applyBorder="1" applyAlignment="1"/>
    <xf numFmtId="0" fontId="12570" fillId="0" borderId="12570" xfId="0" applyFont="1" applyBorder="1" applyAlignment="1"/>
    <xf numFmtId="0" fontId="12571" fillId="0" borderId="12571" xfId="0" applyFont="1" applyBorder="1" applyAlignment="1"/>
    <xf numFmtId="0" fontId="12572" fillId="0" borderId="12572" xfId="0" applyFont="1" applyBorder="1" applyAlignment="1"/>
    <xf numFmtId="0" fontId="12573" fillId="0" borderId="12573" xfId="0" applyFont="1" applyBorder="1" applyAlignment="1"/>
    <xf numFmtId="0" fontId="12574" fillId="0" borderId="12574" xfId="0" applyFont="1" applyBorder="1" applyAlignment="1"/>
    <xf numFmtId="0" fontId="12575" fillId="0" borderId="12575" xfId="0" applyFont="1" applyBorder="1" applyAlignment="1"/>
    <xf numFmtId="0" fontId="12576" fillId="0" borderId="12576" xfId="0" applyFont="1" applyBorder="1" applyAlignment="1"/>
    <xf numFmtId="0" fontId="12577" fillId="0" borderId="12577" xfId="0" applyFont="1" applyBorder="1" applyAlignment="1"/>
    <xf numFmtId="0" fontId="12578" fillId="0" borderId="12578" xfId="0" applyFont="1" applyBorder="1" applyAlignment="1"/>
    <xf numFmtId="0" fontId="12579" fillId="0" borderId="12579" xfId="0" applyFont="1" applyBorder="1" applyAlignment="1"/>
    <xf numFmtId="0" fontId="12580" fillId="0" borderId="12580" xfId="0" applyFont="1" applyBorder="1" applyAlignment="1"/>
    <xf numFmtId="0" fontId="12581" fillId="0" borderId="12581" xfId="0" applyFont="1" applyBorder="1" applyAlignment="1"/>
    <xf numFmtId="0" fontId="12582" fillId="0" borderId="12582" xfId="0" applyFont="1" applyBorder="1" applyAlignment="1"/>
    <xf numFmtId="0" fontId="12583" fillId="0" borderId="12583" xfId="0" applyFont="1" applyBorder="1" applyAlignment="1"/>
    <xf numFmtId="0" fontId="12584" fillId="0" borderId="12584" xfId="0" applyFont="1" applyBorder="1" applyAlignment="1"/>
    <xf numFmtId="0" fontId="12585" fillId="0" borderId="12585" xfId="0" applyFont="1" applyBorder="1" applyAlignment="1"/>
    <xf numFmtId="0" fontId="12586" fillId="0" borderId="12586" xfId="0" applyFont="1" applyBorder="1" applyAlignment="1"/>
    <xf numFmtId="0" fontId="12587" fillId="0" borderId="12587" xfId="0" applyFont="1" applyBorder="1" applyAlignment="1"/>
    <xf numFmtId="0" fontId="12588" fillId="0" borderId="12588" xfId="0" applyFont="1" applyBorder="1" applyAlignment="1"/>
    <xf numFmtId="0" fontId="12589" fillId="0" borderId="12589" xfId="0" applyFont="1" applyBorder="1" applyAlignment="1"/>
    <xf numFmtId="0" fontId="12590" fillId="0" borderId="12590" xfId="0" applyFont="1" applyBorder="1" applyAlignment="1"/>
    <xf numFmtId="0" fontId="12591" fillId="0" borderId="12591" xfId="0" applyFont="1" applyBorder="1" applyAlignment="1"/>
    <xf numFmtId="0" fontId="12592" fillId="0" borderId="12592" xfId="0" applyFont="1" applyBorder="1" applyAlignment="1"/>
    <xf numFmtId="0" fontId="12593" fillId="0" borderId="12593" xfId="0" applyFont="1" applyBorder="1" applyAlignment="1"/>
    <xf numFmtId="0" fontId="12594" fillId="0" borderId="12594" xfId="0" applyFont="1" applyBorder="1" applyAlignment="1"/>
    <xf numFmtId="0" fontId="12595" fillId="0" borderId="12595" xfId="0" applyFont="1" applyBorder="1" applyAlignment="1"/>
    <xf numFmtId="0" fontId="12596" fillId="0" borderId="12596" xfId="0" applyFont="1" applyBorder="1" applyAlignment="1"/>
    <xf numFmtId="0" fontId="12597" fillId="0" borderId="12597" xfId="0" applyFont="1" applyBorder="1" applyAlignment="1"/>
    <xf numFmtId="0" fontId="12598" fillId="0" borderId="12598" xfId="0" applyFont="1" applyBorder="1" applyAlignment="1"/>
    <xf numFmtId="0" fontId="12599" fillId="0" borderId="12599" xfId="0" applyFont="1" applyBorder="1" applyAlignment="1"/>
    <xf numFmtId="0" fontId="12600" fillId="0" borderId="12600" xfId="0" applyFont="1" applyBorder="1" applyAlignment="1"/>
    <xf numFmtId="0" fontId="12601" fillId="0" borderId="12601" xfId="0" applyFont="1" applyBorder="1" applyAlignment="1"/>
    <xf numFmtId="0" fontId="12602" fillId="0" borderId="12602" xfId="0" applyFont="1" applyBorder="1" applyAlignment="1"/>
    <xf numFmtId="0" fontId="12603" fillId="0" borderId="12603" xfId="0" applyFont="1" applyBorder="1" applyAlignment="1"/>
    <xf numFmtId="0" fontId="12604" fillId="0" borderId="12604" xfId="0" applyFont="1" applyBorder="1" applyAlignment="1"/>
    <xf numFmtId="0" fontId="12605" fillId="0" borderId="12605" xfId="0" applyFont="1" applyBorder="1" applyAlignment="1"/>
    <xf numFmtId="0" fontId="12606" fillId="0" borderId="12606" xfId="0" applyFont="1" applyBorder="1" applyAlignment="1"/>
    <xf numFmtId="0" fontId="12607" fillId="0" borderId="12607" xfId="0" applyFont="1" applyBorder="1" applyAlignment="1"/>
    <xf numFmtId="0" fontId="12608" fillId="0" borderId="12608" xfId="0" applyFont="1" applyBorder="1" applyAlignment="1"/>
    <xf numFmtId="0" fontId="12609" fillId="0" borderId="12609" xfId="0" applyFont="1" applyBorder="1" applyAlignment="1"/>
    <xf numFmtId="0" fontId="12610" fillId="0" borderId="12610" xfId="0" applyFont="1" applyBorder="1" applyAlignment="1"/>
    <xf numFmtId="0" fontId="12611" fillId="0" borderId="12611" xfId="0" applyFont="1" applyBorder="1" applyAlignment="1"/>
    <xf numFmtId="0" fontId="12612" fillId="0" borderId="12612" xfId="0" applyFont="1" applyBorder="1" applyAlignment="1"/>
    <xf numFmtId="0" fontId="12613" fillId="0" borderId="12613" xfId="0" applyFont="1" applyBorder="1" applyAlignment="1"/>
    <xf numFmtId="0" fontId="12614" fillId="0" borderId="12614" xfId="0" applyFont="1" applyBorder="1" applyAlignment="1"/>
    <xf numFmtId="0" fontId="12615" fillId="0" borderId="12615" xfId="0" applyFont="1" applyBorder="1" applyAlignment="1"/>
    <xf numFmtId="0" fontId="12616" fillId="0" borderId="12616" xfId="0" applyFont="1" applyBorder="1" applyAlignment="1"/>
    <xf numFmtId="0" fontId="12617" fillId="0" borderId="12617" xfId="0" applyFont="1" applyBorder="1" applyAlignment="1"/>
    <xf numFmtId="0" fontId="12618" fillId="0" borderId="12618" xfId="0" applyFont="1" applyBorder="1" applyAlignment="1"/>
    <xf numFmtId="0" fontId="12619" fillId="0" borderId="12619" xfId="0" applyFont="1" applyBorder="1" applyAlignment="1"/>
    <xf numFmtId="0" fontId="12620" fillId="0" borderId="12620" xfId="0" applyFont="1" applyBorder="1" applyAlignment="1"/>
    <xf numFmtId="0" fontId="12621" fillId="0" borderId="12621" xfId="0" applyFont="1" applyBorder="1" applyAlignment="1"/>
    <xf numFmtId="0" fontId="12622" fillId="0" borderId="12622" xfId="0" applyFont="1" applyBorder="1" applyAlignment="1"/>
    <xf numFmtId="0" fontId="12623" fillId="0" borderId="12623" xfId="0" applyFont="1" applyBorder="1" applyAlignment="1"/>
    <xf numFmtId="0" fontId="12624" fillId="0" borderId="12624" xfId="0" applyFont="1" applyBorder="1" applyAlignment="1"/>
    <xf numFmtId="0" fontId="12625" fillId="0" borderId="12625" xfId="0" applyFont="1" applyBorder="1" applyAlignment="1"/>
    <xf numFmtId="0" fontId="12626" fillId="0" borderId="12626" xfId="0" applyFont="1" applyBorder="1" applyAlignment="1"/>
    <xf numFmtId="0" fontId="12627" fillId="0" borderId="12627" xfId="0" applyFont="1" applyBorder="1" applyAlignment="1"/>
    <xf numFmtId="0" fontId="12628" fillId="0" borderId="12628" xfId="0" applyFont="1" applyBorder="1" applyAlignment="1"/>
    <xf numFmtId="0" fontId="12629" fillId="0" borderId="12629" xfId="0" applyFont="1" applyBorder="1" applyAlignment="1"/>
    <xf numFmtId="0" fontId="12630" fillId="0" borderId="12630" xfId="0" applyFont="1" applyBorder="1" applyAlignment="1"/>
    <xf numFmtId="0" fontId="12631" fillId="0" borderId="12631" xfId="0" applyFont="1" applyBorder="1" applyAlignment="1"/>
    <xf numFmtId="0" fontId="12632" fillId="0" borderId="12632" xfId="0" applyFont="1" applyBorder="1" applyAlignment="1"/>
    <xf numFmtId="0" fontId="12633" fillId="0" borderId="12633" xfId="0" applyFont="1" applyBorder="1" applyAlignment="1"/>
    <xf numFmtId="0" fontId="12634" fillId="0" borderId="12634" xfId="0" applyFont="1" applyBorder="1" applyAlignment="1"/>
    <xf numFmtId="0" fontId="12635" fillId="0" borderId="12635" xfId="0" applyFont="1" applyBorder="1" applyAlignment="1"/>
    <xf numFmtId="0" fontId="12636" fillId="0" borderId="12636" xfId="0" applyFont="1" applyBorder="1" applyAlignment="1"/>
    <xf numFmtId="0" fontId="12637" fillId="0" borderId="12637" xfId="0" applyFont="1" applyBorder="1" applyAlignment="1"/>
    <xf numFmtId="0" fontId="12638" fillId="0" borderId="12638" xfId="0" applyFont="1" applyBorder="1" applyAlignment="1"/>
    <xf numFmtId="0" fontId="12639" fillId="0" borderId="12639" xfId="0" applyFont="1" applyBorder="1" applyAlignment="1"/>
    <xf numFmtId="0" fontId="12640" fillId="0" borderId="12640" xfId="0" applyFont="1" applyBorder="1" applyAlignment="1"/>
    <xf numFmtId="0" fontId="12641" fillId="0" borderId="12641" xfId="0" applyFont="1" applyBorder="1" applyAlignment="1"/>
    <xf numFmtId="0" fontId="12642" fillId="0" borderId="12642" xfId="0" applyFont="1" applyBorder="1" applyAlignment="1"/>
    <xf numFmtId="0" fontId="12643" fillId="0" borderId="12643" xfId="0" applyFont="1" applyBorder="1" applyAlignment="1"/>
    <xf numFmtId="0" fontId="12644" fillId="0" borderId="12644" xfId="0" applyFont="1" applyBorder="1" applyAlignment="1"/>
    <xf numFmtId="0" fontId="12645" fillId="0" borderId="12645" xfId="0" applyFont="1" applyBorder="1" applyAlignment="1"/>
    <xf numFmtId="0" fontId="12646" fillId="0" borderId="12646" xfId="0" applyFont="1" applyBorder="1" applyAlignment="1"/>
    <xf numFmtId="0" fontId="12647" fillId="0" borderId="12647" xfId="0" applyFont="1" applyBorder="1" applyAlignment="1"/>
    <xf numFmtId="0" fontId="12648" fillId="0" borderId="12648" xfId="0" applyFont="1" applyBorder="1" applyAlignment="1"/>
    <xf numFmtId="0" fontId="12649" fillId="0" borderId="12649" xfId="0" applyFont="1" applyBorder="1" applyAlignment="1"/>
    <xf numFmtId="0" fontId="12650" fillId="0" borderId="12650" xfId="0" applyFont="1" applyBorder="1" applyAlignment="1"/>
    <xf numFmtId="0" fontId="12651" fillId="0" borderId="12651" xfId="0" applyFont="1" applyBorder="1" applyAlignment="1"/>
    <xf numFmtId="0" fontId="12652" fillId="0" borderId="12652" xfId="0" applyFont="1" applyBorder="1" applyAlignment="1"/>
    <xf numFmtId="0" fontId="12653" fillId="0" borderId="12653" xfId="0" applyFont="1" applyBorder="1" applyAlignment="1"/>
    <xf numFmtId="0" fontId="12654" fillId="0" borderId="12654" xfId="0" applyFont="1" applyBorder="1" applyAlignment="1"/>
    <xf numFmtId="0" fontId="12655" fillId="0" borderId="12655" xfId="0" applyFont="1" applyBorder="1" applyAlignment="1"/>
    <xf numFmtId="0" fontId="12656" fillId="0" borderId="12656" xfId="0" applyFont="1" applyBorder="1" applyAlignment="1"/>
    <xf numFmtId="0" fontId="12657" fillId="0" borderId="12657" xfId="0" applyFont="1" applyBorder="1" applyAlignment="1"/>
    <xf numFmtId="0" fontId="12658" fillId="0" borderId="12658" xfId="0" applyFont="1" applyBorder="1" applyAlignment="1"/>
    <xf numFmtId="0" fontId="12659" fillId="0" borderId="12659" xfId="0" applyFont="1" applyBorder="1" applyAlignment="1"/>
    <xf numFmtId="0" fontId="12660" fillId="0" borderId="12660" xfId="0" applyFont="1" applyBorder="1" applyAlignment="1"/>
    <xf numFmtId="0" fontId="12661" fillId="0" borderId="12661" xfId="0" applyFont="1" applyBorder="1" applyAlignment="1"/>
    <xf numFmtId="0" fontId="12662" fillId="0" borderId="12662" xfId="0" applyFont="1" applyBorder="1" applyAlignment="1"/>
    <xf numFmtId="0" fontId="12663" fillId="0" borderId="12663" xfId="0" applyFont="1" applyBorder="1" applyAlignment="1"/>
    <xf numFmtId="0" fontId="12664" fillId="0" borderId="12664" xfId="0" applyFont="1" applyBorder="1" applyAlignment="1"/>
    <xf numFmtId="0" fontId="12665" fillId="0" borderId="12665" xfId="0" applyFont="1" applyBorder="1" applyAlignment="1"/>
    <xf numFmtId="0" fontId="12666" fillId="0" borderId="12666" xfId="0" applyFont="1" applyBorder="1" applyAlignment="1"/>
    <xf numFmtId="0" fontId="12667" fillId="0" borderId="12667" xfId="0" applyFont="1" applyBorder="1" applyAlignment="1"/>
    <xf numFmtId="0" fontId="12668" fillId="0" borderId="12668" xfId="0" applyFont="1" applyBorder="1" applyAlignment="1"/>
    <xf numFmtId="0" fontId="12669" fillId="0" borderId="12669" xfId="0" applyFont="1" applyBorder="1" applyAlignment="1"/>
    <xf numFmtId="0" fontId="12670" fillId="0" borderId="12670" xfId="0" applyFont="1" applyBorder="1" applyAlignment="1"/>
    <xf numFmtId="0" fontId="12671" fillId="0" borderId="12671" xfId="0" applyFont="1" applyBorder="1" applyAlignment="1"/>
    <xf numFmtId="0" fontId="12672" fillId="0" borderId="12672" xfId="0" applyFont="1" applyBorder="1" applyAlignment="1"/>
    <xf numFmtId="0" fontId="12673" fillId="0" borderId="12673" xfId="0" applyFont="1" applyBorder="1" applyAlignment="1"/>
    <xf numFmtId="0" fontId="12674" fillId="0" borderId="12674" xfId="0" applyFont="1" applyBorder="1" applyAlignment="1"/>
    <xf numFmtId="0" fontId="12675" fillId="0" borderId="12675" xfId="0" applyFont="1" applyBorder="1" applyAlignment="1"/>
    <xf numFmtId="0" fontId="12676" fillId="0" borderId="12676" xfId="0" applyFont="1" applyBorder="1" applyAlignment="1"/>
    <xf numFmtId="0" fontId="12677" fillId="0" borderId="12677" xfId="0" applyFont="1" applyBorder="1" applyAlignment="1"/>
    <xf numFmtId="0" fontId="12678" fillId="0" borderId="12678" xfId="0" applyFont="1" applyBorder="1" applyAlignment="1"/>
    <xf numFmtId="0" fontId="12679" fillId="0" borderId="12679" xfId="0" applyFont="1" applyBorder="1" applyAlignment="1"/>
    <xf numFmtId="0" fontId="12680" fillId="0" borderId="12680" xfId="0" applyFont="1" applyBorder="1" applyAlignment="1"/>
    <xf numFmtId="0" fontId="12681" fillId="0" borderId="12681" xfId="0" applyFont="1" applyBorder="1" applyAlignment="1"/>
    <xf numFmtId="0" fontId="12682" fillId="0" borderId="12682" xfId="0" applyFont="1" applyBorder="1" applyAlignment="1"/>
    <xf numFmtId="0" fontId="12683" fillId="0" borderId="12683" xfId="0" applyFont="1" applyBorder="1" applyAlignment="1"/>
    <xf numFmtId="0" fontId="12684" fillId="0" borderId="12684" xfId="0" applyFont="1" applyBorder="1" applyAlignment="1"/>
    <xf numFmtId="0" fontId="12685" fillId="0" borderId="12685" xfId="0" applyFont="1" applyBorder="1" applyAlignment="1"/>
    <xf numFmtId="0" fontId="12686" fillId="0" borderId="12686" xfId="0" applyFont="1" applyBorder="1" applyAlignment="1"/>
    <xf numFmtId="0" fontId="12687" fillId="0" borderId="12687" xfId="0" applyFont="1" applyBorder="1" applyAlignment="1"/>
    <xf numFmtId="0" fontId="12688" fillId="0" borderId="12688" xfId="0" applyFont="1" applyBorder="1" applyAlignment="1"/>
    <xf numFmtId="0" fontId="12689" fillId="0" borderId="12689" xfId="0" applyFont="1" applyBorder="1" applyAlignment="1"/>
    <xf numFmtId="0" fontId="12690" fillId="0" borderId="12690" xfId="0" applyFont="1" applyBorder="1" applyAlignment="1"/>
    <xf numFmtId="0" fontId="12691" fillId="0" borderId="12691" xfId="0" applyFont="1" applyBorder="1" applyAlignment="1"/>
    <xf numFmtId="0" fontId="12692" fillId="0" borderId="12692" xfId="0" applyFont="1" applyBorder="1" applyAlignment="1"/>
    <xf numFmtId="0" fontId="12693" fillId="0" borderId="12693" xfId="0" applyFont="1" applyBorder="1" applyAlignment="1"/>
    <xf numFmtId="0" fontId="12694" fillId="0" borderId="12694" xfId="0" applyFont="1" applyBorder="1" applyAlignment="1"/>
    <xf numFmtId="0" fontId="12695" fillId="0" borderId="12695" xfId="0" applyFont="1" applyBorder="1" applyAlignment="1"/>
    <xf numFmtId="0" fontId="12696" fillId="0" borderId="12696" xfId="0" applyFont="1" applyBorder="1" applyAlignment="1"/>
    <xf numFmtId="0" fontId="12697" fillId="0" borderId="12697" xfId="0" applyFont="1" applyBorder="1" applyAlignment="1"/>
    <xf numFmtId="0" fontId="12698" fillId="0" borderId="12698" xfId="0" applyFont="1" applyBorder="1" applyAlignment="1"/>
    <xf numFmtId="0" fontId="12699" fillId="0" borderId="12699" xfId="0" applyFont="1" applyBorder="1" applyAlignment="1"/>
    <xf numFmtId="0" fontId="12700" fillId="0" borderId="12700" xfId="0" applyFont="1" applyBorder="1" applyAlignment="1"/>
    <xf numFmtId="0" fontId="12701" fillId="0" borderId="12701" xfId="0" applyFont="1" applyBorder="1" applyAlignment="1"/>
    <xf numFmtId="0" fontId="12702" fillId="0" borderId="12702" xfId="0" applyFont="1" applyBorder="1" applyAlignment="1"/>
    <xf numFmtId="0" fontId="12703" fillId="0" borderId="12703" xfId="0" applyFont="1" applyBorder="1" applyAlignment="1"/>
    <xf numFmtId="0" fontId="12704" fillId="0" borderId="12704" xfId="0" applyFont="1" applyBorder="1" applyAlignment="1"/>
    <xf numFmtId="0" fontId="12705" fillId="0" borderId="12705" xfId="0" applyFont="1" applyBorder="1" applyAlignment="1"/>
    <xf numFmtId="0" fontId="12706" fillId="0" borderId="12706" xfId="0" applyFont="1" applyBorder="1" applyAlignment="1"/>
    <xf numFmtId="0" fontId="12707" fillId="0" borderId="12707" xfId="0" applyFont="1" applyBorder="1" applyAlignment="1"/>
    <xf numFmtId="0" fontId="12708" fillId="0" borderId="12708" xfId="0" applyFont="1" applyBorder="1" applyAlignment="1"/>
    <xf numFmtId="0" fontId="12709" fillId="0" borderId="12709" xfId="0" applyFont="1" applyBorder="1" applyAlignment="1"/>
    <xf numFmtId="0" fontId="12710" fillId="0" borderId="12710" xfId="0" applyFont="1" applyBorder="1" applyAlignment="1"/>
    <xf numFmtId="0" fontId="12711" fillId="0" borderId="12711" xfId="0" applyFont="1" applyBorder="1" applyAlignment="1"/>
    <xf numFmtId="0" fontId="12712" fillId="0" borderId="12712" xfId="0" applyFont="1" applyBorder="1" applyAlignment="1"/>
    <xf numFmtId="0" fontId="12713" fillId="0" borderId="12713" xfId="0" applyFont="1" applyBorder="1" applyAlignment="1"/>
    <xf numFmtId="0" fontId="12714" fillId="0" borderId="12714" xfId="0" applyFont="1" applyBorder="1" applyAlignment="1"/>
    <xf numFmtId="0" fontId="12715" fillId="0" borderId="12715" xfId="0" applyFont="1" applyBorder="1" applyAlignment="1"/>
    <xf numFmtId="0" fontId="12716" fillId="0" borderId="12716" xfId="0" applyFont="1" applyBorder="1" applyAlignment="1"/>
    <xf numFmtId="0" fontId="12717" fillId="0" borderId="12717" xfId="0" applyFont="1" applyBorder="1" applyAlignment="1"/>
    <xf numFmtId="0" fontId="12718" fillId="0" borderId="12718" xfId="0" applyFont="1" applyBorder="1" applyAlignment="1"/>
    <xf numFmtId="0" fontId="12719" fillId="0" borderId="12719" xfId="0" applyFont="1" applyBorder="1" applyAlignment="1"/>
    <xf numFmtId="0" fontId="12720" fillId="0" borderId="12720" xfId="0" applyFont="1" applyBorder="1" applyAlignment="1"/>
    <xf numFmtId="0" fontId="12721" fillId="0" borderId="12721" xfId="0" applyFont="1" applyBorder="1" applyAlignment="1"/>
    <xf numFmtId="0" fontId="12722" fillId="0" borderId="12722" xfId="0" applyFont="1" applyBorder="1" applyAlignment="1"/>
    <xf numFmtId="0" fontId="12723" fillId="0" borderId="12723" xfId="0" applyFont="1" applyBorder="1" applyAlignment="1"/>
    <xf numFmtId="0" fontId="12724" fillId="0" borderId="12724" xfId="0" applyFont="1" applyBorder="1" applyAlignment="1"/>
    <xf numFmtId="0" fontId="12725" fillId="0" borderId="12725" xfId="0" applyFont="1" applyBorder="1" applyAlignment="1"/>
    <xf numFmtId="0" fontId="12726" fillId="0" borderId="12726" xfId="0" applyFont="1" applyBorder="1" applyAlignment="1"/>
    <xf numFmtId="0" fontId="12727" fillId="0" borderId="12727" xfId="0" applyFont="1" applyBorder="1" applyAlignment="1"/>
    <xf numFmtId="0" fontId="12728" fillId="0" borderId="12728" xfId="0" applyFont="1" applyBorder="1" applyAlignment="1"/>
    <xf numFmtId="0" fontId="12729" fillId="0" borderId="12729" xfId="0" applyFont="1" applyBorder="1" applyAlignment="1"/>
    <xf numFmtId="0" fontId="12730" fillId="0" borderId="12730" xfId="0" applyFont="1" applyBorder="1" applyAlignment="1"/>
    <xf numFmtId="0" fontId="12731" fillId="0" borderId="12731" xfId="0" applyFont="1" applyBorder="1" applyAlignment="1"/>
    <xf numFmtId="0" fontId="12732" fillId="0" borderId="12732" xfId="0" applyFont="1" applyBorder="1" applyAlignment="1"/>
    <xf numFmtId="0" fontId="12733" fillId="0" borderId="12733" xfId="0" applyFont="1" applyBorder="1" applyAlignment="1"/>
    <xf numFmtId="0" fontId="12734" fillId="0" borderId="12734" xfId="0" applyFont="1" applyBorder="1" applyAlignment="1"/>
    <xf numFmtId="0" fontId="12735" fillId="0" borderId="12735" xfId="0" applyFont="1" applyBorder="1" applyAlignment="1"/>
    <xf numFmtId="0" fontId="12736" fillId="0" borderId="12736" xfId="0" applyFont="1" applyBorder="1" applyAlignment="1"/>
    <xf numFmtId="0" fontId="12737" fillId="0" borderId="12737" xfId="0" applyFont="1" applyBorder="1" applyAlignment="1"/>
    <xf numFmtId="0" fontId="12738" fillId="0" borderId="12738" xfId="0" applyFont="1" applyBorder="1" applyAlignment="1"/>
    <xf numFmtId="0" fontId="12739" fillId="0" borderId="12739" xfId="0" applyFont="1" applyBorder="1" applyAlignment="1"/>
    <xf numFmtId="0" fontId="12740" fillId="0" borderId="12740" xfId="0" applyFont="1" applyBorder="1" applyAlignment="1"/>
    <xf numFmtId="0" fontId="12741" fillId="0" borderId="12741" xfId="0" applyFont="1" applyBorder="1" applyAlignment="1"/>
    <xf numFmtId="0" fontId="12742" fillId="0" borderId="12742" xfId="0" applyFont="1" applyBorder="1" applyAlignment="1"/>
    <xf numFmtId="0" fontId="12743" fillId="0" borderId="12743" xfId="0" applyFont="1" applyBorder="1" applyAlignment="1"/>
    <xf numFmtId="0" fontId="12744" fillId="0" borderId="12744" xfId="0" applyFont="1" applyBorder="1" applyAlignment="1"/>
    <xf numFmtId="0" fontId="12745" fillId="0" borderId="12745" xfId="0" applyFont="1" applyBorder="1" applyAlignment="1"/>
    <xf numFmtId="0" fontId="12746" fillId="0" borderId="12746" xfId="0" applyFont="1" applyBorder="1" applyAlignment="1"/>
    <xf numFmtId="0" fontId="12747" fillId="0" borderId="12747" xfId="0" applyFont="1" applyBorder="1" applyAlignment="1"/>
    <xf numFmtId="0" fontId="12748" fillId="0" borderId="12748" xfId="0" applyFont="1" applyBorder="1" applyAlignment="1"/>
    <xf numFmtId="0" fontId="12749" fillId="0" borderId="12749" xfId="0" applyFont="1" applyBorder="1" applyAlignment="1"/>
    <xf numFmtId="0" fontId="12750" fillId="0" borderId="12750" xfId="0" applyFont="1" applyBorder="1" applyAlignment="1"/>
    <xf numFmtId="0" fontId="12751" fillId="0" borderId="12751" xfId="0" applyFont="1" applyBorder="1" applyAlignment="1"/>
    <xf numFmtId="0" fontId="12752" fillId="0" borderId="12752" xfId="0" applyFont="1" applyBorder="1" applyAlignment="1"/>
    <xf numFmtId="0" fontId="12753" fillId="0" borderId="12753" xfId="0" applyFont="1" applyBorder="1" applyAlignment="1"/>
    <xf numFmtId="0" fontId="12754" fillId="0" borderId="12754" xfId="0" applyFont="1" applyBorder="1" applyAlignment="1"/>
    <xf numFmtId="0" fontId="12755" fillId="0" borderId="12755" xfId="0" applyFont="1" applyBorder="1" applyAlignment="1"/>
    <xf numFmtId="0" fontId="12756" fillId="0" borderId="12756" xfId="0" applyFont="1" applyBorder="1" applyAlignment="1"/>
    <xf numFmtId="0" fontId="12757" fillId="0" borderId="12757" xfId="0" applyFont="1" applyBorder="1" applyAlignment="1"/>
    <xf numFmtId="0" fontId="12758" fillId="0" borderId="12758" xfId="0" applyFont="1" applyBorder="1" applyAlignment="1"/>
    <xf numFmtId="0" fontId="12759" fillId="0" borderId="12759" xfId="0" applyFont="1" applyBorder="1" applyAlignment="1"/>
    <xf numFmtId="0" fontId="12760" fillId="0" borderId="12760" xfId="0" applyFont="1" applyBorder="1" applyAlignment="1"/>
    <xf numFmtId="0" fontId="12761" fillId="0" borderId="12761" xfId="0" applyFont="1" applyBorder="1" applyAlignment="1"/>
    <xf numFmtId="0" fontId="12762" fillId="0" borderId="12762" xfId="0" applyFont="1" applyBorder="1" applyAlignment="1"/>
    <xf numFmtId="0" fontId="12763" fillId="0" borderId="12763" xfId="0" applyFont="1" applyBorder="1" applyAlignment="1"/>
    <xf numFmtId="0" fontId="12764" fillId="0" borderId="12764" xfId="0" applyFont="1" applyBorder="1" applyAlignment="1"/>
    <xf numFmtId="0" fontId="12765" fillId="0" borderId="12765" xfId="0" applyFont="1" applyBorder="1" applyAlignment="1"/>
    <xf numFmtId="0" fontId="12766" fillId="0" borderId="12766" xfId="0" applyFont="1" applyBorder="1" applyAlignment="1"/>
    <xf numFmtId="0" fontId="12767" fillId="0" borderId="12767" xfId="0" applyFont="1" applyBorder="1" applyAlignment="1"/>
    <xf numFmtId="0" fontId="12768" fillId="0" borderId="12768" xfId="0" applyFont="1" applyBorder="1" applyAlignment="1"/>
    <xf numFmtId="0" fontId="12769" fillId="0" borderId="12769" xfId="0" applyFont="1" applyBorder="1" applyAlignment="1"/>
    <xf numFmtId="0" fontId="12770" fillId="0" borderId="12770" xfId="0" applyFont="1" applyBorder="1" applyAlignment="1"/>
    <xf numFmtId="0" fontId="12771" fillId="0" borderId="12771" xfId="0" applyFont="1" applyBorder="1" applyAlignment="1"/>
    <xf numFmtId="0" fontId="12772" fillId="0" borderId="12772" xfId="0" applyFont="1" applyBorder="1" applyAlignment="1"/>
    <xf numFmtId="0" fontId="12773" fillId="0" borderId="12773" xfId="0" applyFont="1" applyBorder="1" applyAlignment="1"/>
    <xf numFmtId="0" fontId="12774" fillId="0" borderId="12774" xfId="0" applyFont="1" applyBorder="1" applyAlignment="1"/>
    <xf numFmtId="0" fontId="12775" fillId="0" borderId="12775" xfId="0" applyFont="1" applyBorder="1" applyAlignment="1"/>
    <xf numFmtId="0" fontId="12776" fillId="0" borderId="12776" xfId="0" applyFont="1" applyBorder="1" applyAlignment="1"/>
    <xf numFmtId="0" fontId="12777" fillId="0" borderId="12777" xfId="0" applyFont="1" applyBorder="1" applyAlignment="1"/>
    <xf numFmtId="0" fontId="12778" fillId="0" borderId="12778" xfId="0" applyFont="1" applyBorder="1" applyAlignment="1"/>
    <xf numFmtId="0" fontId="12779" fillId="0" borderId="12779" xfId="0" applyFont="1" applyBorder="1" applyAlignment="1"/>
    <xf numFmtId="0" fontId="12780" fillId="0" borderId="12780" xfId="0" applyFont="1" applyBorder="1" applyAlignment="1"/>
    <xf numFmtId="0" fontId="12781" fillId="0" borderId="12781" xfId="0" applyFont="1" applyBorder="1" applyAlignment="1"/>
    <xf numFmtId="0" fontId="12782" fillId="0" borderId="12782" xfId="0" applyFont="1" applyBorder="1" applyAlignment="1"/>
    <xf numFmtId="0" fontId="12783" fillId="0" borderId="12783" xfId="0" applyFont="1" applyBorder="1" applyAlignment="1"/>
    <xf numFmtId="0" fontId="12784" fillId="0" borderId="12784" xfId="0" applyFont="1" applyBorder="1" applyAlignment="1"/>
    <xf numFmtId="0" fontId="12785" fillId="0" borderId="12785" xfId="0" applyFont="1" applyBorder="1" applyAlignment="1"/>
    <xf numFmtId="0" fontId="12786" fillId="0" borderId="12786" xfId="0" applyFont="1" applyBorder="1" applyAlignment="1"/>
    <xf numFmtId="0" fontId="12787" fillId="0" borderId="12787" xfId="0" applyFont="1" applyBorder="1" applyAlignment="1"/>
    <xf numFmtId="0" fontId="12788" fillId="0" borderId="12788" xfId="0" applyFont="1" applyBorder="1" applyAlignment="1"/>
    <xf numFmtId="0" fontId="12789" fillId="0" borderId="12789" xfId="0" applyFont="1" applyBorder="1" applyAlignment="1"/>
    <xf numFmtId="0" fontId="12790" fillId="0" borderId="12790" xfId="0" applyFont="1" applyBorder="1" applyAlignment="1"/>
    <xf numFmtId="0" fontId="12791" fillId="0" borderId="12791" xfId="0" applyFont="1" applyBorder="1" applyAlignment="1"/>
    <xf numFmtId="0" fontId="12792" fillId="0" borderId="12792" xfId="0" applyFont="1" applyBorder="1" applyAlignment="1"/>
    <xf numFmtId="0" fontId="12793" fillId="0" borderId="12793" xfId="0" applyFont="1" applyBorder="1" applyAlignment="1"/>
    <xf numFmtId="0" fontId="12794" fillId="0" borderId="12794" xfId="0" applyFont="1" applyBorder="1" applyAlignment="1"/>
    <xf numFmtId="0" fontId="12795" fillId="0" borderId="12795" xfId="0" applyFont="1" applyBorder="1" applyAlignment="1"/>
    <xf numFmtId="0" fontId="12796" fillId="0" borderId="12796" xfId="0" applyFont="1" applyBorder="1" applyAlignment="1"/>
    <xf numFmtId="0" fontId="12797" fillId="0" borderId="12797" xfId="0" applyFont="1" applyBorder="1" applyAlignment="1"/>
    <xf numFmtId="0" fontId="12798" fillId="0" borderId="12798" xfId="0" applyFont="1" applyBorder="1" applyAlignment="1"/>
    <xf numFmtId="0" fontId="12799" fillId="0" borderId="12799" xfId="0" applyFont="1" applyBorder="1" applyAlignment="1"/>
    <xf numFmtId="0" fontId="12800" fillId="0" borderId="12800" xfId="0" applyFont="1" applyBorder="1" applyAlignment="1"/>
    <xf numFmtId="0" fontId="12801" fillId="0" borderId="12801" xfId="0" applyFont="1" applyBorder="1" applyAlignment="1"/>
    <xf numFmtId="0" fontId="12802" fillId="0" borderId="12802" xfId="0" applyFont="1" applyBorder="1" applyAlignment="1"/>
    <xf numFmtId="0" fontId="12803" fillId="0" borderId="12803" xfId="0" applyFont="1" applyBorder="1" applyAlignment="1"/>
    <xf numFmtId="0" fontId="12804" fillId="0" borderId="12804" xfId="0" applyFont="1" applyBorder="1" applyAlignment="1"/>
    <xf numFmtId="0" fontId="12805" fillId="0" borderId="12805" xfId="0" applyFont="1" applyBorder="1" applyAlignment="1"/>
    <xf numFmtId="0" fontId="12806" fillId="0" borderId="12806" xfId="0" applyFont="1" applyBorder="1" applyAlignment="1"/>
    <xf numFmtId="0" fontId="12807" fillId="0" borderId="12807" xfId="0" applyFont="1" applyBorder="1" applyAlignment="1"/>
    <xf numFmtId="0" fontId="12808" fillId="0" borderId="12808" xfId="0" applyFont="1" applyBorder="1" applyAlignment="1"/>
    <xf numFmtId="0" fontId="12809" fillId="0" borderId="12809" xfId="0" applyFont="1" applyBorder="1" applyAlignment="1"/>
    <xf numFmtId="0" fontId="12810" fillId="0" borderId="12810" xfId="0" applyFont="1" applyBorder="1" applyAlignment="1"/>
    <xf numFmtId="0" fontId="12811" fillId="0" borderId="12811" xfId="0" applyFont="1" applyBorder="1" applyAlignment="1"/>
    <xf numFmtId="0" fontId="12812" fillId="0" borderId="12812" xfId="0" applyFont="1" applyBorder="1" applyAlignment="1"/>
    <xf numFmtId="0" fontId="12813" fillId="0" borderId="12813" xfId="0" applyFont="1" applyBorder="1" applyAlignment="1"/>
    <xf numFmtId="0" fontId="12814" fillId="0" borderId="12814" xfId="0" applyFont="1" applyBorder="1" applyAlignment="1"/>
    <xf numFmtId="0" fontId="12815" fillId="0" borderId="12815" xfId="0" applyFont="1" applyBorder="1" applyAlignment="1"/>
    <xf numFmtId="0" fontId="12816" fillId="0" borderId="12816" xfId="0" applyFont="1" applyBorder="1" applyAlignment="1"/>
    <xf numFmtId="0" fontId="12817" fillId="0" borderId="12817" xfId="0" applyFont="1" applyBorder="1" applyAlignment="1"/>
    <xf numFmtId="0" fontId="12818" fillId="0" borderId="12818" xfId="0" applyFont="1" applyBorder="1" applyAlignment="1"/>
    <xf numFmtId="0" fontId="12819" fillId="0" borderId="12819" xfId="0" applyFont="1" applyBorder="1" applyAlignment="1"/>
    <xf numFmtId="0" fontId="12820" fillId="0" borderId="12820" xfId="0" applyFont="1" applyBorder="1" applyAlignment="1"/>
    <xf numFmtId="0" fontId="12821" fillId="0" borderId="12821" xfId="0" applyFont="1" applyBorder="1" applyAlignment="1"/>
    <xf numFmtId="0" fontId="12822" fillId="0" borderId="12822" xfId="0" applyFont="1" applyBorder="1" applyAlignment="1"/>
    <xf numFmtId="0" fontId="12823" fillId="0" borderId="12823" xfId="0" applyFont="1" applyBorder="1" applyAlignment="1"/>
    <xf numFmtId="0" fontId="12824" fillId="0" borderId="12824" xfId="0" applyFont="1" applyBorder="1" applyAlignment="1"/>
    <xf numFmtId="0" fontId="12825" fillId="0" borderId="12825" xfId="0" applyFont="1" applyBorder="1" applyAlignment="1"/>
    <xf numFmtId="0" fontId="12826" fillId="0" borderId="12826" xfId="0" applyFont="1" applyBorder="1" applyAlignment="1"/>
    <xf numFmtId="0" fontId="12827" fillId="0" borderId="12827" xfId="0" applyFont="1" applyBorder="1" applyAlignment="1"/>
    <xf numFmtId="0" fontId="12828" fillId="0" borderId="12828" xfId="0" applyFont="1" applyBorder="1" applyAlignment="1"/>
    <xf numFmtId="0" fontId="12829" fillId="0" borderId="12829" xfId="0" applyFont="1" applyBorder="1" applyAlignment="1"/>
    <xf numFmtId="0" fontId="12830" fillId="0" borderId="12830" xfId="0" applyFont="1" applyBorder="1" applyAlignment="1"/>
    <xf numFmtId="0" fontId="12831" fillId="0" borderId="12831" xfId="0" applyFont="1" applyBorder="1" applyAlignment="1"/>
    <xf numFmtId="0" fontId="12832" fillId="0" borderId="12832" xfId="0" applyFont="1" applyBorder="1" applyAlignment="1"/>
    <xf numFmtId="0" fontId="12833" fillId="0" borderId="12833" xfId="0" applyFont="1" applyBorder="1" applyAlignment="1"/>
    <xf numFmtId="0" fontId="12834" fillId="0" borderId="12834" xfId="0" applyFont="1" applyBorder="1" applyAlignment="1"/>
    <xf numFmtId="0" fontId="12835" fillId="0" borderId="12835" xfId="0" applyFont="1" applyBorder="1" applyAlignment="1"/>
    <xf numFmtId="0" fontId="12836" fillId="0" borderId="12836" xfId="0" applyFont="1" applyBorder="1" applyAlignment="1"/>
    <xf numFmtId="0" fontId="12837" fillId="0" borderId="12837" xfId="0" applyFont="1" applyBorder="1" applyAlignment="1"/>
    <xf numFmtId="0" fontId="12838" fillId="0" borderId="12838" xfId="0" applyFont="1" applyBorder="1" applyAlignment="1"/>
    <xf numFmtId="0" fontId="12839" fillId="0" borderId="12839" xfId="0" applyFont="1" applyBorder="1" applyAlignment="1"/>
    <xf numFmtId="0" fontId="12840" fillId="0" borderId="12840" xfId="0" applyFont="1" applyBorder="1" applyAlignment="1"/>
    <xf numFmtId="0" fontId="12841" fillId="0" borderId="12841" xfId="0" applyFont="1" applyBorder="1" applyAlignment="1"/>
    <xf numFmtId="0" fontId="12842" fillId="0" borderId="12842" xfId="0" applyFont="1" applyBorder="1" applyAlignment="1"/>
    <xf numFmtId="0" fontId="12843" fillId="0" borderId="12843" xfId="0" applyFont="1" applyBorder="1" applyAlignment="1"/>
    <xf numFmtId="0" fontId="12844" fillId="0" borderId="12844" xfId="0" applyFont="1" applyBorder="1" applyAlignment="1"/>
    <xf numFmtId="0" fontId="12845" fillId="0" borderId="12845" xfId="0" applyFont="1" applyBorder="1" applyAlignment="1"/>
    <xf numFmtId="0" fontId="12846" fillId="0" borderId="12846" xfId="0" applyFont="1" applyBorder="1" applyAlignment="1"/>
    <xf numFmtId="0" fontId="12847" fillId="0" borderId="12847" xfId="0" applyFont="1" applyBorder="1" applyAlignment="1"/>
    <xf numFmtId="0" fontId="12848" fillId="0" borderId="12848" xfId="0" applyFont="1" applyBorder="1" applyAlignment="1"/>
    <xf numFmtId="0" fontId="12849" fillId="0" borderId="12849" xfId="0" applyFont="1" applyBorder="1" applyAlignment="1"/>
    <xf numFmtId="0" fontId="12850" fillId="0" borderId="12850" xfId="0" applyFont="1" applyBorder="1" applyAlignment="1"/>
    <xf numFmtId="0" fontId="12851" fillId="0" borderId="12851" xfId="0" applyFont="1" applyBorder="1" applyAlignment="1"/>
    <xf numFmtId="0" fontId="12852" fillId="0" borderId="12852" xfId="0" applyFont="1" applyBorder="1" applyAlignment="1"/>
    <xf numFmtId="0" fontId="12853" fillId="0" borderId="12853" xfId="0" applyFont="1" applyBorder="1" applyAlignment="1"/>
    <xf numFmtId="0" fontId="12854" fillId="0" borderId="12854" xfId="0" applyFont="1" applyBorder="1" applyAlignment="1"/>
    <xf numFmtId="0" fontId="12855" fillId="0" borderId="12855" xfId="0" applyFont="1" applyBorder="1" applyAlignment="1"/>
    <xf numFmtId="0" fontId="12856" fillId="0" borderId="12856" xfId="0" applyFont="1" applyBorder="1" applyAlignment="1"/>
    <xf numFmtId="0" fontId="12857" fillId="0" borderId="12857" xfId="0" applyFont="1" applyBorder="1" applyAlignment="1"/>
    <xf numFmtId="0" fontId="12858" fillId="0" borderId="12858" xfId="0" applyFont="1" applyBorder="1" applyAlignment="1"/>
    <xf numFmtId="0" fontId="12859" fillId="0" borderId="12859" xfId="0" applyFont="1" applyBorder="1" applyAlignment="1"/>
    <xf numFmtId="0" fontId="12860" fillId="0" borderId="12860" xfId="0" applyFont="1" applyBorder="1" applyAlignment="1"/>
    <xf numFmtId="0" fontId="12861" fillId="0" borderId="12861" xfId="0" applyFont="1" applyBorder="1" applyAlignment="1"/>
    <xf numFmtId="0" fontId="12862" fillId="0" borderId="12862" xfId="0" applyFont="1" applyBorder="1" applyAlignment="1"/>
    <xf numFmtId="0" fontId="12863" fillId="0" borderId="12863" xfId="0" applyFont="1" applyBorder="1" applyAlignment="1"/>
    <xf numFmtId="0" fontId="12864" fillId="0" borderId="12864" xfId="0" applyFont="1" applyBorder="1" applyAlignment="1"/>
    <xf numFmtId="0" fontId="12865" fillId="0" borderId="12865" xfId="0" applyFont="1" applyBorder="1" applyAlignment="1"/>
    <xf numFmtId="0" fontId="12866" fillId="0" borderId="12866" xfId="0" applyFont="1" applyBorder="1" applyAlignment="1"/>
    <xf numFmtId="0" fontId="12867" fillId="0" borderId="12867" xfId="0" applyFont="1" applyBorder="1" applyAlignment="1"/>
    <xf numFmtId="0" fontId="12868" fillId="0" borderId="12868" xfId="0" applyFont="1" applyBorder="1" applyAlignment="1"/>
    <xf numFmtId="0" fontId="12869" fillId="0" borderId="12869" xfId="0" applyFont="1" applyBorder="1" applyAlignment="1"/>
    <xf numFmtId="0" fontId="12870" fillId="0" borderId="12870" xfId="0" applyFont="1" applyBorder="1" applyAlignment="1"/>
    <xf numFmtId="0" fontId="12871" fillId="0" borderId="12871" xfId="0" applyFont="1" applyBorder="1" applyAlignment="1"/>
    <xf numFmtId="0" fontId="12872" fillId="0" borderId="12872" xfId="0" applyFont="1" applyBorder="1" applyAlignment="1"/>
    <xf numFmtId="0" fontId="12873" fillId="0" borderId="12873" xfId="0" applyFont="1" applyBorder="1" applyAlignment="1"/>
    <xf numFmtId="0" fontId="12874" fillId="0" borderId="12874" xfId="0" applyFont="1" applyBorder="1" applyAlignment="1"/>
    <xf numFmtId="0" fontId="12875" fillId="0" borderId="12875" xfId="0" applyFont="1" applyBorder="1" applyAlignment="1"/>
    <xf numFmtId="0" fontId="12876" fillId="0" borderId="12876" xfId="0" applyFont="1" applyBorder="1" applyAlignment="1"/>
    <xf numFmtId="0" fontId="12877" fillId="0" borderId="12877" xfId="0" applyFont="1" applyBorder="1" applyAlignment="1"/>
    <xf numFmtId="0" fontId="12878" fillId="0" borderId="12878" xfId="0" applyFont="1" applyBorder="1" applyAlignment="1"/>
    <xf numFmtId="0" fontId="12879" fillId="0" borderId="12879" xfId="0" applyFont="1" applyBorder="1" applyAlignment="1"/>
    <xf numFmtId="0" fontId="12880" fillId="0" borderId="12880" xfId="0" applyFont="1" applyBorder="1" applyAlignment="1"/>
    <xf numFmtId="0" fontId="12881" fillId="0" borderId="12881" xfId="0" applyFont="1" applyBorder="1" applyAlignment="1"/>
    <xf numFmtId="0" fontId="12882" fillId="0" borderId="12882" xfId="0" applyFont="1" applyBorder="1" applyAlignment="1"/>
    <xf numFmtId="0" fontId="12883" fillId="0" borderId="12883" xfId="0" applyFont="1" applyBorder="1" applyAlignment="1"/>
    <xf numFmtId="0" fontId="12884" fillId="0" borderId="12884" xfId="0" applyFont="1" applyBorder="1" applyAlignment="1"/>
    <xf numFmtId="0" fontId="12885" fillId="0" borderId="12885" xfId="0" applyFont="1" applyBorder="1" applyAlignment="1"/>
    <xf numFmtId="0" fontId="12886" fillId="0" borderId="12886" xfId="0" applyFont="1" applyBorder="1" applyAlignment="1"/>
    <xf numFmtId="0" fontId="12887" fillId="0" borderId="12887" xfId="0" applyFont="1" applyBorder="1" applyAlignment="1"/>
    <xf numFmtId="0" fontId="12888" fillId="0" borderId="12888" xfId="0" applyFont="1" applyBorder="1" applyAlignment="1"/>
    <xf numFmtId="0" fontId="12889" fillId="0" borderId="12889" xfId="0" applyFont="1" applyBorder="1" applyAlignment="1"/>
    <xf numFmtId="0" fontId="12890" fillId="0" borderId="12890" xfId="0" applyFont="1" applyBorder="1" applyAlignment="1"/>
    <xf numFmtId="0" fontId="12891" fillId="0" borderId="12891" xfId="0" applyFont="1" applyBorder="1" applyAlignment="1"/>
    <xf numFmtId="0" fontId="12892" fillId="0" borderId="12892" xfId="0" applyFont="1" applyBorder="1" applyAlignment="1"/>
    <xf numFmtId="0" fontId="12893" fillId="0" borderId="12893" xfId="0" applyFont="1" applyBorder="1" applyAlignment="1"/>
    <xf numFmtId="0" fontId="12894" fillId="0" borderId="12894" xfId="0" applyFont="1" applyBorder="1" applyAlignment="1"/>
    <xf numFmtId="0" fontId="12895" fillId="0" borderId="12895" xfId="0" applyFont="1" applyBorder="1" applyAlignment="1"/>
    <xf numFmtId="0" fontId="12896" fillId="0" borderId="12896" xfId="0" applyFont="1" applyBorder="1" applyAlignment="1"/>
    <xf numFmtId="0" fontId="12897" fillId="0" borderId="12897" xfId="0" applyFont="1" applyBorder="1" applyAlignment="1"/>
    <xf numFmtId="0" fontId="12898" fillId="0" borderId="12898" xfId="0" applyFont="1" applyBorder="1" applyAlignment="1"/>
    <xf numFmtId="0" fontId="12899" fillId="0" borderId="12899" xfId="0" applyFont="1" applyBorder="1" applyAlignment="1"/>
    <xf numFmtId="0" fontId="12900" fillId="0" borderId="12900" xfId="0" applyFont="1" applyBorder="1" applyAlignment="1"/>
    <xf numFmtId="0" fontId="12901" fillId="0" borderId="12901" xfId="0" applyFont="1" applyBorder="1" applyAlignment="1"/>
    <xf numFmtId="0" fontId="12902" fillId="0" borderId="12902" xfId="0" applyFont="1" applyBorder="1" applyAlignment="1"/>
    <xf numFmtId="0" fontId="12903" fillId="0" borderId="12903" xfId="0" applyFont="1" applyBorder="1" applyAlignment="1"/>
    <xf numFmtId="0" fontId="12904" fillId="0" borderId="12904" xfId="0" applyFont="1" applyBorder="1" applyAlignment="1"/>
    <xf numFmtId="0" fontId="12905" fillId="0" borderId="12905" xfId="0" applyFont="1" applyBorder="1" applyAlignment="1"/>
    <xf numFmtId="0" fontId="12906" fillId="0" borderId="12906" xfId="0" applyFont="1" applyBorder="1" applyAlignment="1"/>
    <xf numFmtId="0" fontId="12907" fillId="0" borderId="12907" xfId="0" applyFont="1" applyBorder="1" applyAlignment="1"/>
    <xf numFmtId="0" fontId="12908" fillId="0" borderId="12908" xfId="0" applyFont="1" applyBorder="1" applyAlignment="1"/>
    <xf numFmtId="0" fontId="12909" fillId="0" borderId="12909" xfId="0" applyFont="1" applyBorder="1" applyAlignment="1"/>
    <xf numFmtId="0" fontId="12910" fillId="0" borderId="12910" xfId="0" applyFont="1" applyBorder="1" applyAlignment="1"/>
    <xf numFmtId="0" fontId="12911" fillId="0" borderId="12911" xfId="0" applyFont="1" applyBorder="1" applyAlignment="1"/>
    <xf numFmtId="0" fontId="12912" fillId="0" borderId="12912" xfId="0" applyFont="1" applyBorder="1" applyAlignment="1"/>
    <xf numFmtId="0" fontId="12913" fillId="0" borderId="12913" xfId="0" applyFont="1" applyBorder="1" applyAlignment="1"/>
    <xf numFmtId="0" fontId="12914" fillId="0" borderId="12914" xfId="0" applyFont="1" applyBorder="1" applyAlignment="1"/>
    <xf numFmtId="0" fontId="12915" fillId="0" borderId="12915" xfId="0" applyFont="1" applyBorder="1" applyAlignment="1"/>
    <xf numFmtId="0" fontId="12916" fillId="0" borderId="12916" xfId="0" applyFont="1" applyBorder="1" applyAlignment="1"/>
    <xf numFmtId="0" fontId="12917" fillId="0" borderId="12917" xfId="0" applyFont="1" applyBorder="1" applyAlignment="1"/>
    <xf numFmtId="0" fontId="12918" fillId="0" borderId="12918" xfId="0" applyFont="1" applyBorder="1" applyAlignment="1"/>
    <xf numFmtId="0" fontId="12919" fillId="0" borderId="12919" xfId="0" applyFont="1" applyBorder="1" applyAlignment="1"/>
    <xf numFmtId="0" fontId="12920" fillId="0" borderId="12920" xfId="0" applyFont="1" applyBorder="1" applyAlignment="1"/>
    <xf numFmtId="0" fontId="12921" fillId="0" borderId="12921" xfId="0" applyFont="1" applyBorder="1" applyAlignment="1"/>
    <xf numFmtId="0" fontId="12922" fillId="0" borderId="12922" xfId="0" applyFont="1" applyBorder="1" applyAlignment="1"/>
    <xf numFmtId="0" fontId="12923" fillId="0" borderId="12923" xfId="0" applyFont="1" applyBorder="1" applyAlignment="1"/>
    <xf numFmtId="0" fontId="12924" fillId="0" borderId="12924" xfId="0" applyFont="1" applyBorder="1" applyAlignment="1"/>
    <xf numFmtId="0" fontId="12925" fillId="0" borderId="12925" xfId="0" applyFont="1" applyBorder="1" applyAlignment="1"/>
    <xf numFmtId="0" fontId="12926" fillId="0" borderId="12926" xfId="0" applyFont="1" applyBorder="1" applyAlignment="1"/>
    <xf numFmtId="0" fontId="12927" fillId="0" borderId="12927" xfId="0" applyFont="1" applyBorder="1" applyAlignment="1"/>
    <xf numFmtId="0" fontId="12928" fillId="0" borderId="12928" xfId="0" applyFont="1" applyBorder="1" applyAlignment="1"/>
    <xf numFmtId="0" fontId="12929" fillId="0" borderId="12929" xfId="0" applyFont="1" applyBorder="1" applyAlignment="1"/>
    <xf numFmtId="0" fontId="12930" fillId="0" borderId="12930" xfId="0" applyFont="1" applyBorder="1" applyAlignment="1"/>
    <xf numFmtId="0" fontId="12931" fillId="0" borderId="12931" xfId="0" applyFont="1" applyBorder="1" applyAlignment="1"/>
    <xf numFmtId="0" fontId="12932" fillId="0" borderId="12932" xfId="0" applyFont="1" applyBorder="1" applyAlignment="1"/>
    <xf numFmtId="0" fontId="12933" fillId="0" borderId="12933" xfId="0" applyFont="1" applyBorder="1" applyAlignment="1"/>
    <xf numFmtId="0" fontId="12934" fillId="0" borderId="12934" xfId="0" applyFont="1" applyBorder="1" applyAlignment="1"/>
    <xf numFmtId="0" fontId="12935" fillId="0" borderId="12935" xfId="0" applyFont="1" applyBorder="1" applyAlignment="1"/>
    <xf numFmtId="0" fontId="12936" fillId="0" borderId="12936" xfId="0" applyFont="1" applyBorder="1" applyAlignment="1"/>
    <xf numFmtId="0" fontId="12937" fillId="0" borderId="12937" xfId="0" applyFont="1" applyBorder="1" applyAlignment="1"/>
    <xf numFmtId="0" fontId="12938" fillId="0" borderId="12938" xfId="0" applyFont="1" applyBorder="1" applyAlignment="1"/>
    <xf numFmtId="0" fontId="12939" fillId="0" borderId="12939" xfId="0" applyFont="1" applyBorder="1" applyAlignment="1"/>
    <xf numFmtId="0" fontId="12940" fillId="0" borderId="12940" xfId="0" applyFont="1" applyBorder="1" applyAlignment="1"/>
    <xf numFmtId="0" fontId="12941" fillId="0" borderId="12941" xfId="0" applyFont="1" applyBorder="1" applyAlignment="1"/>
    <xf numFmtId="0" fontId="12942" fillId="0" borderId="12942" xfId="0" applyFont="1" applyBorder="1" applyAlignment="1"/>
    <xf numFmtId="0" fontId="12943" fillId="0" borderId="12943" xfId="0" applyFont="1" applyBorder="1" applyAlignment="1"/>
    <xf numFmtId="0" fontId="12944" fillId="0" borderId="12944" xfId="0" applyFont="1" applyBorder="1" applyAlignment="1"/>
    <xf numFmtId="0" fontId="12945" fillId="0" borderId="12945" xfId="0" applyFont="1" applyBorder="1" applyAlignment="1"/>
    <xf numFmtId="0" fontId="12946" fillId="0" borderId="12946" xfId="0" applyFont="1" applyBorder="1" applyAlignment="1"/>
    <xf numFmtId="0" fontId="12947" fillId="0" borderId="12947" xfId="0" applyFont="1" applyBorder="1" applyAlignment="1"/>
    <xf numFmtId="0" fontId="12948" fillId="0" borderId="12948" xfId="0" applyFont="1" applyBorder="1" applyAlignment="1"/>
    <xf numFmtId="0" fontId="12949" fillId="0" borderId="12949" xfId="0" applyFont="1" applyBorder="1" applyAlignment="1"/>
    <xf numFmtId="0" fontId="12950" fillId="0" borderId="12950" xfId="0" applyFont="1" applyBorder="1" applyAlignment="1"/>
    <xf numFmtId="0" fontId="12951" fillId="0" borderId="12951" xfId="0" applyFont="1" applyBorder="1" applyAlignment="1"/>
    <xf numFmtId="0" fontId="12952" fillId="0" borderId="12952" xfId="0" applyFont="1" applyBorder="1" applyAlignment="1"/>
    <xf numFmtId="0" fontId="12953" fillId="0" borderId="12953" xfId="0" applyFont="1" applyBorder="1" applyAlignment="1"/>
    <xf numFmtId="0" fontId="12954" fillId="0" borderId="12954" xfId="0" applyFont="1" applyBorder="1" applyAlignment="1"/>
    <xf numFmtId="0" fontId="12955" fillId="0" borderId="12955" xfId="0" applyFont="1" applyBorder="1" applyAlignment="1"/>
    <xf numFmtId="0" fontId="12956" fillId="0" borderId="12956" xfId="0" applyFont="1" applyBorder="1" applyAlignment="1"/>
    <xf numFmtId="0" fontId="12957" fillId="0" borderId="12957" xfId="0" applyFont="1" applyBorder="1" applyAlignment="1"/>
    <xf numFmtId="0" fontId="12958" fillId="0" borderId="12958" xfId="0" applyFont="1" applyBorder="1" applyAlignment="1"/>
    <xf numFmtId="0" fontId="12959" fillId="0" borderId="12959" xfId="0" applyFont="1" applyBorder="1" applyAlignment="1"/>
    <xf numFmtId="0" fontId="12960" fillId="0" borderId="12960" xfId="0" applyFont="1" applyBorder="1" applyAlignment="1"/>
    <xf numFmtId="0" fontId="12961" fillId="0" borderId="12961" xfId="0" applyFont="1" applyBorder="1" applyAlignment="1"/>
    <xf numFmtId="0" fontId="12962" fillId="0" borderId="12962" xfId="0" applyFont="1" applyBorder="1" applyAlignment="1"/>
    <xf numFmtId="0" fontId="12963" fillId="0" borderId="12963" xfId="0" applyFont="1" applyBorder="1" applyAlignment="1"/>
    <xf numFmtId="0" fontId="12964" fillId="0" borderId="12964" xfId="0" applyFont="1" applyBorder="1" applyAlignment="1"/>
    <xf numFmtId="0" fontId="12965" fillId="0" borderId="12965" xfId="0" applyFont="1" applyBorder="1" applyAlignment="1"/>
    <xf numFmtId="0" fontId="12966" fillId="0" borderId="12966" xfId="0" applyFont="1" applyBorder="1" applyAlignment="1"/>
    <xf numFmtId="0" fontId="12967" fillId="0" borderId="12967" xfId="0" applyFont="1" applyBorder="1" applyAlignment="1"/>
    <xf numFmtId="0" fontId="12968" fillId="0" borderId="12968" xfId="0" applyFont="1" applyBorder="1" applyAlignment="1"/>
    <xf numFmtId="0" fontId="12969" fillId="0" borderId="12969" xfId="0" applyFont="1" applyBorder="1" applyAlignment="1"/>
    <xf numFmtId="0" fontId="12970" fillId="0" borderId="12970" xfId="0" applyFont="1" applyBorder="1" applyAlignment="1"/>
    <xf numFmtId="0" fontId="12971" fillId="0" borderId="12971" xfId="0" applyFont="1" applyBorder="1" applyAlignment="1"/>
    <xf numFmtId="0" fontId="12972" fillId="0" borderId="12972" xfId="0" applyFont="1" applyBorder="1" applyAlignment="1"/>
    <xf numFmtId="0" fontId="12973" fillId="0" borderId="12973" xfId="0" applyFont="1" applyBorder="1" applyAlignment="1"/>
    <xf numFmtId="0" fontId="12974" fillId="0" borderId="12974" xfId="0" applyFont="1" applyBorder="1" applyAlignment="1"/>
    <xf numFmtId="0" fontId="12975" fillId="0" borderId="12975" xfId="0" applyFont="1" applyBorder="1" applyAlignment="1"/>
    <xf numFmtId="0" fontId="12976" fillId="0" borderId="12976" xfId="0" applyFont="1" applyBorder="1" applyAlignment="1"/>
    <xf numFmtId="0" fontId="12977" fillId="0" borderId="12977" xfId="0" applyFont="1" applyBorder="1" applyAlignment="1"/>
    <xf numFmtId="0" fontId="12978" fillId="0" borderId="12978" xfId="0" applyFont="1" applyBorder="1" applyAlignment="1"/>
    <xf numFmtId="0" fontId="12979" fillId="0" borderId="12979" xfId="0" applyFont="1" applyBorder="1" applyAlignment="1"/>
    <xf numFmtId="0" fontId="12980" fillId="0" borderId="12980" xfId="0" applyFont="1" applyBorder="1" applyAlignment="1"/>
    <xf numFmtId="0" fontId="12981" fillId="0" borderId="12981" xfId="0" applyFont="1" applyBorder="1" applyAlignment="1"/>
    <xf numFmtId="0" fontId="12982" fillId="0" borderId="12982" xfId="0" applyFont="1" applyBorder="1" applyAlignment="1"/>
    <xf numFmtId="0" fontId="12983" fillId="0" borderId="12983" xfId="0" applyFont="1" applyBorder="1" applyAlignment="1"/>
    <xf numFmtId="0" fontId="12984" fillId="0" borderId="12984" xfId="0" applyFont="1" applyBorder="1" applyAlignment="1"/>
    <xf numFmtId="0" fontId="12985" fillId="0" borderId="12985" xfId="0" applyFont="1" applyBorder="1" applyAlignment="1"/>
    <xf numFmtId="0" fontId="12986" fillId="0" borderId="12986" xfId="0" applyFont="1" applyBorder="1" applyAlignment="1"/>
    <xf numFmtId="0" fontId="12987" fillId="0" borderId="12987" xfId="0" applyFont="1" applyBorder="1" applyAlignment="1"/>
    <xf numFmtId="0" fontId="12988" fillId="0" borderId="12988" xfId="0" applyFont="1" applyBorder="1" applyAlignment="1"/>
    <xf numFmtId="0" fontId="12989" fillId="0" borderId="12989" xfId="0" applyFont="1" applyBorder="1" applyAlignment="1"/>
    <xf numFmtId="0" fontId="12990" fillId="0" borderId="12990" xfId="0" applyFont="1" applyBorder="1" applyAlignment="1"/>
    <xf numFmtId="0" fontId="12991" fillId="0" borderId="12991" xfId="0" applyFont="1" applyBorder="1" applyAlignment="1"/>
    <xf numFmtId="0" fontId="12992" fillId="0" borderId="12992" xfId="0" applyFont="1" applyBorder="1" applyAlignment="1"/>
    <xf numFmtId="0" fontId="12993" fillId="0" borderId="12993" xfId="0" applyFont="1" applyBorder="1" applyAlignment="1"/>
    <xf numFmtId="0" fontId="12994" fillId="0" borderId="12994" xfId="0" applyFont="1" applyBorder="1" applyAlignment="1"/>
    <xf numFmtId="0" fontId="12995" fillId="0" borderId="12995" xfId="0" applyFont="1" applyBorder="1" applyAlignment="1"/>
    <xf numFmtId="0" fontId="12996" fillId="0" borderId="12996" xfId="0" applyFont="1" applyBorder="1" applyAlignment="1"/>
    <xf numFmtId="0" fontId="12997" fillId="0" borderId="12997" xfId="0" applyFont="1" applyBorder="1" applyAlignment="1"/>
    <xf numFmtId="0" fontId="12998" fillId="0" borderId="12998" xfId="0" applyFont="1" applyBorder="1" applyAlignment="1"/>
    <xf numFmtId="0" fontId="12999" fillId="0" borderId="12999" xfId="0" applyFont="1" applyBorder="1" applyAlignment="1"/>
    <xf numFmtId="0" fontId="13000" fillId="0" borderId="13000" xfId="0" applyFont="1" applyBorder="1" applyAlignment="1"/>
    <xf numFmtId="0" fontId="13001" fillId="0" borderId="13001" xfId="0" applyFont="1" applyBorder="1" applyAlignment="1"/>
    <xf numFmtId="0" fontId="13002" fillId="0" borderId="13002" xfId="0" applyFont="1" applyBorder="1" applyAlignment="1"/>
    <xf numFmtId="0" fontId="13003" fillId="0" borderId="13003" xfId="0" applyFont="1" applyBorder="1" applyAlignment="1"/>
    <xf numFmtId="0" fontId="13004" fillId="0" borderId="13004" xfId="0" applyFont="1" applyBorder="1" applyAlignment="1"/>
    <xf numFmtId="0" fontId="13005" fillId="0" borderId="13005" xfId="0" applyFont="1" applyBorder="1" applyAlignment="1"/>
    <xf numFmtId="0" fontId="13006" fillId="0" borderId="13006" xfId="0" applyFont="1" applyBorder="1" applyAlignment="1"/>
    <xf numFmtId="0" fontId="13007" fillId="0" borderId="13007" xfId="0" applyFont="1" applyBorder="1" applyAlignment="1"/>
    <xf numFmtId="0" fontId="13008" fillId="0" borderId="13008" xfId="0" applyFont="1" applyBorder="1" applyAlignment="1"/>
    <xf numFmtId="0" fontId="13009" fillId="0" borderId="13009" xfId="0" applyFont="1" applyBorder="1" applyAlignment="1"/>
    <xf numFmtId="0" fontId="13010" fillId="0" borderId="13010" xfId="0" applyFont="1" applyBorder="1" applyAlignment="1"/>
    <xf numFmtId="0" fontId="13011" fillId="0" borderId="13011" xfId="0" applyFont="1" applyBorder="1" applyAlignment="1"/>
    <xf numFmtId="0" fontId="13012" fillId="0" borderId="13012" xfId="0" applyFont="1" applyBorder="1" applyAlignment="1"/>
    <xf numFmtId="0" fontId="13013" fillId="0" borderId="13013" xfId="0" applyFont="1" applyBorder="1" applyAlignment="1"/>
    <xf numFmtId="0" fontId="13014" fillId="0" borderId="13014" xfId="0" applyFont="1" applyBorder="1" applyAlignment="1"/>
    <xf numFmtId="0" fontId="13015" fillId="0" borderId="13015" xfId="0" applyFont="1" applyBorder="1" applyAlignment="1"/>
    <xf numFmtId="0" fontId="13016" fillId="0" borderId="13016" xfId="0" applyFont="1" applyBorder="1" applyAlignment="1"/>
    <xf numFmtId="0" fontId="13017" fillId="0" borderId="13017" xfId="0" applyFont="1" applyBorder="1" applyAlignment="1"/>
    <xf numFmtId="0" fontId="13018" fillId="0" borderId="13018" xfId="0" applyFont="1" applyBorder="1" applyAlignment="1"/>
    <xf numFmtId="0" fontId="13019" fillId="0" borderId="13019" xfId="0" applyFont="1" applyBorder="1" applyAlignment="1"/>
    <xf numFmtId="0" fontId="13020" fillId="0" borderId="13020" xfId="0" applyFont="1" applyBorder="1" applyAlignment="1"/>
    <xf numFmtId="0" fontId="13021" fillId="0" borderId="13021" xfId="0" applyFont="1" applyBorder="1" applyAlignment="1"/>
    <xf numFmtId="0" fontId="13022" fillId="0" borderId="13022" xfId="0" applyFont="1" applyBorder="1" applyAlignment="1"/>
    <xf numFmtId="0" fontId="13023" fillId="0" borderId="13023" xfId="0" applyFont="1" applyBorder="1" applyAlignment="1"/>
    <xf numFmtId="0" fontId="13024" fillId="0" borderId="13024" xfId="0" applyFont="1" applyBorder="1" applyAlignment="1"/>
    <xf numFmtId="0" fontId="13025" fillId="0" borderId="13025" xfId="0" applyFont="1" applyBorder="1" applyAlignment="1"/>
    <xf numFmtId="0" fontId="13026" fillId="0" borderId="13026" xfId="0" applyFont="1" applyBorder="1" applyAlignment="1"/>
    <xf numFmtId="0" fontId="13027" fillId="0" borderId="13027" xfId="0" applyFont="1" applyBorder="1" applyAlignment="1"/>
    <xf numFmtId="0" fontId="13028" fillId="0" borderId="13028" xfId="0" applyFont="1" applyBorder="1" applyAlignment="1"/>
    <xf numFmtId="0" fontId="13029" fillId="0" borderId="13029" xfId="0" applyFont="1" applyBorder="1" applyAlignment="1"/>
    <xf numFmtId="0" fontId="13030" fillId="0" borderId="13030" xfId="0" applyFont="1" applyBorder="1" applyAlignment="1"/>
    <xf numFmtId="0" fontId="13031" fillId="0" borderId="13031" xfId="0" applyFont="1" applyBorder="1" applyAlignment="1"/>
    <xf numFmtId="0" fontId="13032" fillId="0" borderId="13032" xfId="0" applyFont="1" applyBorder="1" applyAlignment="1"/>
    <xf numFmtId="0" fontId="13033" fillId="0" borderId="13033" xfId="0" applyFont="1" applyBorder="1" applyAlignment="1"/>
    <xf numFmtId="0" fontId="13034" fillId="0" borderId="13034" xfId="0" applyFont="1" applyBorder="1" applyAlignment="1"/>
    <xf numFmtId="0" fontId="13035" fillId="0" borderId="13035" xfId="0" applyFont="1" applyBorder="1" applyAlignment="1"/>
    <xf numFmtId="0" fontId="13036" fillId="0" borderId="13036" xfId="0" applyFont="1" applyBorder="1" applyAlignment="1"/>
    <xf numFmtId="0" fontId="13037" fillId="0" borderId="13037" xfId="0" applyFont="1" applyBorder="1" applyAlignment="1"/>
    <xf numFmtId="0" fontId="13038" fillId="0" borderId="13038" xfId="0" applyFont="1" applyBorder="1" applyAlignment="1"/>
    <xf numFmtId="0" fontId="13039" fillId="0" borderId="13039" xfId="0" applyFont="1" applyBorder="1" applyAlignment="1"/>
    <xf numFmtId="0" fontId="13040" fillId="0" borderId="13040" xfId="0" applyFont="1" applyBorder="1" applyAlignment="1"/>
    <xf numFmtId="0" fontId="13041" fillId="0" borderId="13041" xfId="0" applyFont="1" applyBorder="1" applyAlignment="1"/>
    <xf numFmtId="0" fontId="13042" fillId="0" borderId="13042" xfId="0" applyFont="1" applyBorder="1" applyAlignment="1"/>
    <xf numFmtId="0" fontId="13043" fillId="0" borderId="13043" xfId="0" applyFont="1" applyBorder="1" applyAlignment="1"/>
    <xf numFmtId="0" fontId="13044" fillId="0" borderId="13044" xfId="0" applyFont="1" applyBorder="1" applyAlignment="1"/>
    <xf numFmtId="0" fontId="13045" fillId="0" borderId="13045" xfId="0" applyFont="1" applyBorder="1" applyAlignment="1"/>
    <xf numFmtId="0" fontId="13046" fillId="0" borderId="13046" xfId="0" applyFont="1" applyBorder="1" applyAlignment="1"/>
    <xf numFmtId="0" fontId="13047" fillId="0" borderId="13047" xfId="0" applyFont="1" applyBorder="1" applyAlignment="1"/>
    <xf numFmtId="0" fontId="13048" fillId="0" borderId="13048" xfId="0" applyFont="1" applyBorder="1" applyAlignment="1"/>
    <xf numFmtId="0" fontId="13049" fillId="0" borderId="13049" xfId="0" applyFont="1" applyBorder="1" applyAlignment="1"/>
    <xf numFmtId="0" fontId="13050" fillId="0" borderId="13050" xfId="0" applyFont="1" applyBorder="1" applyAlignment="1"/>
    <xf numFmtId="0" fontId="13051" fillId="0" borderId="13051" xfId="0" applyFont="1" applyBorder="1" applyAlignment="1"/>
    <xf numFmtId="0" fontId="13052" fillId="0" borderId="13052" xfId="0" applyFont="1" applyBorder="1" applyAlignment="1"/>
    <xf numFmtId="0" fontId="13053" fillId="0" borderId="13053" xfId="0" applyFont="1" applyBorder="1" applyAlignment="1"/>
    <xf numFmtId="0" fontId="13054" fillId="0" borderId="13054" xfId="0" applyFont="1" applyBorder="1" applyAlignment="1"/>
    <xf numFmtId="0" fontId="13055" fillId="0" borderId="13055" xfId="0" applyFont="1" applyBorder="1" applyAlignment="1"/>
    <xf numFmtId="0" fontId="13056" fillId="0" borderId="13056" xfId="0" applyFont="1" applyBorder="1" applyAlignment="1"/>
    <xf numFmtId="0" fontId="13057" fillId="0" borderId="13057" xfId="0" applyFont="1" applyBorder="1" applyAlignment="1"/>
    <xf numFmtId="0" fontId="13058" fillId="0" borderId="13058" xfId="0" applyFont="1" applyBorder="1" applyAlignment="1"/>
    <xf numFmtId="0" fontId="13059" fillId="0" borderId="13059" xfId="0" applyFont="1" applyBorder="1" applyAlignment="1"/>
    <xf numFmtId="0" fontId="13060" fillId="0" borderId="13060" xfId="0" applyFont="1" applyBorder="1" applyAlignment="1"/>
    <xf numFmtId="0" fontId="13061" fillId="0" borderId="13061" xfId="0" applyFont="1" applyBorder="1" applyAlignment="1"/>
    <xf numFmtId="0" fontId="13062" fillId="0" borderId="13062" xfId="0" applyFont="1" applyBorder="1" applyAlignment="1"/>
    <xf numFmtId="0" fontId="13063" fillId="0" borderId="13063" xfId="0" applyFont="1" applyBorder="1" applyAlignment="1"/>
    <xf numFmtId="0" fontId="13064" fillId="0" borderId="13064" xfId="0" applyFont="1" applyBorder="1" applyAlignment="1"/>
    <xf numFmtId="0" fontId="13065" fillId="0" borderId="13065" xfId="0" applyFont="1" applyBorder="1" applyAlignment="1"/>
    <xf numFmtId="0" fontId="13066" fillId="0" borderId="13066" xfId="0" applyFont="1" applyBorder="1" applyAlignment="1"/>
    <xf numFmtId="0" fontId="13067" fillId="0" borderId="13067" xfId="0" applyFont="1" applyBorder="1" applyAlignment="1"/>
    <xf numFmtId="0" fontId="13068" fillId="0" borderId="13068" xfId="0" applyFont="1" applyBorder="1" applyAlignment="1"/>
    <xf numFmtId="0" fontId="13069" fillId="0" borderId="13069" xfId="0" applyFont="1" applyBorder="1" applyAlignment="1"/>
    <xf numFmtId="0" fontId="13070" fillId="0" borderId="13070" xfId="0" applyFont="1" applyBorder="1" applyAlignment="1"/>
    <xf numFmtId="0" fontId="13071" fillId="0" borderId="13071" xfId="0" applyFont="1" applyBorder="1" applyAlignment="1"/>
    <xf numFmtId="0" fontId="13072" fillId="0" borderId="13072" xfId="0" applyFont="1" applyBorder="1" applyAlignment="1"/>
    <xf numFmtId="0" fontId="13073" fillId="0" borderId="13073" xfId="0" applyFont="1" applyBorder="1" applyAlignment="1"/>
    <xf numFmtId="0" fontId="13074" fillId="0" borderId="13074" xfId="0" applyFont="1" applyBorder="1" applyAlignment="1"/>
    <xf numFmtId="0" fontId="13075" fillId="0" borderId="13075" xfId="0" applyFont="1" applyBorder="1" applyAlignment="1"/>
    <xf numFmtId="0" fontId="13076" fillId="0" borderId="13076" xfId="0" applyFont="1" applyBorder="1" applyAlignment="1"/>
    <xf numFmtId="0" fontId="13077" fillId="0" borderId="13077" xfId="0" applyFont="1" applyBorder="1" applyAlignment="1"/>
    <xf numFmtId="0" fontId="13078" fillId="0" borderId="13078" xfId="0" applyFont="1" applyBorder="1" applyAlignment="1"/>
    <xf numFmtId="0" fontId="13079" fillId="0" borderId="13079" xfId="0" applyFont="1" applyBorder="1" applyAlignment="1"/>
    <xf numFmtId="0" fontId="13080" fillId="0" borderId="13080" xfId="0" applyFont="1" applyBorder="1" applyAlignment="1"/>
    <xf numFmtId="0" fontId="13081" fillId="0" borderId="13081" xfId="0" applyFont="1" applyBorder="1" applyAlignment="1"/>
    <xf numFmtId="0" fontId="13082" fillId="0" borderId="13082" xfId="0" applyFont="1" applyBorder="1" applyAlignment="1"/>
    <xf numFmtId="0" fontId="13083" fillId="0" borderId="13083" xfId="0" applyFont="1" applyBorder="1" applyAlignment="1"/>
    <xf numFmtId="0" fontId="13084" fillId="0" borderId="13084" xfId="0" applyFont="1" applyBorder="1" applyAlignment="1"/>
    <xf numFmtId="0" fontId="13085" fillId="0" borderId="13085" xfId="0" applyFont="1" applyBorder="1" applyAlignment="1"/>
    <xf numFmtId="0" fontId="13086" fillId="0" borderId="13086" xfId="0" applyFont="1" applyBorder="1" applyAlignment="1"/>
    <xf numFmtId="0" fontId="13087" fillId="0" borderId="13087" xfId="0" applyFont="1" applyBorder="1" applyAlignment="1"/>
    <xf numFmtId="0" fontId="13088" fillId="0" borderId="13088" xfId="0" applyFont="1" applyBorder="1" applyAlignment="1"/>
    <xf numFmtId="0" fontId="13089" fillId="0" borderId="13089" xfId="0" applyFont="1" applyBorder="1" applyAlignment="1"/>
    <xf numFmtId="0" fontId="13090" fillId="0" borderId="13090" xfId="0" applyFont="1" applyBorder="1" applyAlignment="1"/>
    <xf numFmtId="0" fontId="13091" fillId="0" borderId="13091" xfId="0" applyFont="1" applyBorder="1" applyAlignment="1"/>
    <xf numFmtId="0" fontId="13092" fillId="0" borderId="13092" xfId="0" applyFont="1" applyBorder="1" applyAlignment="1"/>
    <xf numFmtId="0" fontId="13093" fillId="0" borderId="13093" xfId="0" applyFont="1" applyBorder="1" applyAlignment="1"/>
    <xf numFmtId="0" fontId="13094" fillId="0" borderId="13094" xfId="0" applyFont="1" applyBorder="1" applyAlignment="1"/>
    <xf numFmtId="0" fontId="13095" fillId="0" borderId="13095" xfId="0" applyFont="1" applyBorder="1" applyAlignment="1"/>
    <xf numFmtId="0" fontId="13096" fillId="0" borderId="13096" xfId="0" applyFont="1" applyBorder="1" applyAlignment="1"/>
    <xf numFmtId="0" fontId="13097" fillId="0" borderId="13097" xfId="0" applyFont="1" applyBorder="1" applyAlignment="1"/>
    <xf numFmtId="0" fontId="13098" fillId="0" borderId="13098" xfId="0" applyFont="1" applyBorder="1" applyAlignment="1"/>
    <xf numFmtId="0" fontId="13099" fillId="0" borderId="13099" xfId="0" applyFont="1" applyBorder="1" applyAlignment="1"/>
    <xf numFmtId="0" fontId="13100" fillId="0" borderId="13100" xfId="0" applyFont="1" applyBorder="1" applyAlignment="1"/>
    <xf numFmtId="0" fontId="13101" fillId="0" borderId="13101" xfId="0" applyFont="1" applyBorder="1" applyAlignment="1"/>
    <xf numFmtId="0" fontId="13102" fillId="0" borderId="13102" xfId="0" applyFont="1" applyBorder="1" applyAlignment="1"/>
    <xf numFmtId="0" fontId="13103" fillId="0" borderId="13103" xfId="0" applyFont="1" applyBorder="1" applyAlignment="1"/>
    <xf numFmtId="0" fontId="13104" fillId="0" borderId="13104" xfId="0" applyFont="1" applyBorder="1" applyAlignment="1"/>
    <xf numFmtId="0" fontId="13105" fillId="0" borderId="13105" xfId="0" applyFont="1" applyBorder="1" applyAlignment="1"/>
    <xf numFmtId="0" fontId="13106" fillId="0" borderId="13106" xfId="0" applyFont="1" applyBorder="1" applyAlignment="1"/>
    <xf numFmtId="0" fontId="13107" fillId="0" borderId="13107" xfId="0" applyFont="1" applyBorder="1" applyAlignment="1"/>
    <xf numFmtId="0" fontId="13108" fillId="0" borderId="13108" xfId="0" applyFont="1" applyBorder="1" applyAlignment="1"/>
    <xf numFmtId="0" fontId="13109" fillId="0" borderId="13109" xfId="0" applyFont="1" applyBorder="1" applyAlignment="1"/>
    <xf numFmtId="0" fontId="13110" fillId="0" borderId="13110" xfId="0" applyFont="1" applyBorder="1" applyAlignment="1"/>
    <xf numFmtId="0" fontId="13111" fillId="0" borderId="13111" xfId="0" applyFont="1" applyBorder="1" applyAlignment="1"/>
    <xf numFmtId="0" fontId="13112" fillId="0" borderId="13112" xfId="0" applyFont="1" applyBorder="1" applyAlignment="1"/>
    <xf numFmtId="0" fontId="13113" fillId="0" borderId="13113" xfId="0" applyFont="1" applyBorder="1" applyAlignment="1"/>
    <xf numFmtId="0" fontId="13114" fillId="0" borderId="13114" xfId="0" applyFont="1" applyBorder="1" applyAlignment="1"/>
    <xf numFmtId="0" fontId="13115" fillId="0" borderId="13115" xfId="0" applyFont="1" applyBorder="1" applyAlignment="1"/>
    <xf numFmtId="0" fontId="13116" fillId="0" borderId="13116" xfId="0" applyFont="1" applyBorder="1" applyAlignment="1"/>
    <xf numFmtId="0" fontId="13117" fillId="0" borderId="13117" xfId="0" applyFont="1" applyBorder="1" applyAlignment="1"/>
    <xf numFmtId="0" fontId="13118" fillId="0" borderId="13118" xfId="0" applyFont="1" applyBorder="1" applyAlignment="1"/>
    <xf numFmtId="0" fontId="13119" fillId="0" borderId="13119" xfId="0" applyFont="1" applyBorder="1" applyAlignment="1"/>
    <xf numFmtId="0" fontId="13120" fillId="0" borderId="13120" xfId="0" applyFont="1" applyBorder="1" applyAlignment="1"/>
    <xf numFmtId="0" fontId="13121" fillId="0" borderId="13121" xfId="0" applyFont="1" applyBorder="1" applyAlignment="1"/>
    <xf numFmtId="0" fontId="13122" fillId="0" borderId="13122" xfId="0" applyFont="1" applyBorder="1" applyAlignment="1"/>
    <xf numFmtId="0" fontId="13123" fillId="0" borderId="13123" xfId="0" applyFont="1" applyBorder="1" applyAlignment="1"/>
    <xf numFmtId="0" fontId="13124" fillId="0" borderId="13124" xfId="0" applyFont="1" applyBorder="1" applyAlignment="1"/>
    <xf numFmtId="0" fontId="13125" fillId="0" borderId="13125" xfId="0" applyFont="1" applyBorder="1" applyAlignment="1"/>
    <xf numFmtId="0" fontId="13126" fillId="0" borderId="13126" xfId="0" applyFont="1" applyBorder="1" applyAlignment="1"/>
    <xf numFmtId="0" fontId="13127" fillId="0" borderId="13127" xfId="0" applyFont="1" applyBorder="1" applyAlignment="1"/>
    <xf numFmtId="0" fontId="13128" fillId="0" borderId="13128" xfId="0" applyFont="1" applyBorder="1" applyAlignment="1"/>
    <xf numFmtId="0" fontId="13129" fillId="0" borderId="13129" xfId="0" applyFont="1" applyBorder="1" applyAlignment="1"/>
    <xf numFmtId="0" fontId="13130" fillId="0" borderId="13130" xfId="0" applyFont="1" applyBorder="1" applyAlignment="1"/>
    <xf numFmtId="0" fontId="13131" fillId="0" borderId="13131" xfId="0" applyFont="1" applyBorder="1" applyAlignment="1"/>
    <xf numFmtId="0" fontId="13132" fillId="0" borderId="13132" xfId="0" applyFont="1" applyBorder="1" applyAlignment="1"/>
    <xf numFmtId="0" fontId="13133" fillId="0" borderId="13133" xfId="0" applyFont="1" applyBorder="1" applyAlignment="1"/>
    <xf numFmtId="0" fontId="13134" fillId="0" borderId="13134" xfId="0" applyFont="1" applyBorder="1" applyAlignment="1"/>
    <xf numFmtId="0" fontId="13135" fillId="0" borderId="13135" xfId="0" applyFont="1" applyBorder="1" applyAlignment="1"/>
    <xf numFmtId="0" fontId="13136" fillId="0" borderId="13136" xfId="0" applyFont="1" applyBorder="1" applyAlignment="1"/>
    <xf numFmtId="0" fontId="13137" fillId="0" borderId="13137" xfId="0" applyFont="1" applyBorder="1" applyAlignment="1"/>
    <xf numFmtId="0" fontId="13138" fillId="0" borderId="13138" xfId="0" applyFont="1" applyBorder="1" applyAlignment="1"/>
    <xf numFmtId="0" fontId="13139" fillId="0" borderId="13139" xfId="0" applyFont="1" applyBorder="1" applyAlignment="1"/>
    <xf numFmtId="0" fontId="13140" fillId="0" borderId="13140" xfId="0" applyFont="1" applyBorder="1" applyAlignment="1"/>
    <xf numFmtId="0" fontId="13141" fillId="0" borderId="13141" xfId="0" applyFont="1" applyBorder="1" applyAlignment="1"/>
    <xf numFmtId="0" fontId="13142" fillId="0" borderId="13142" xfId="0" applyFont="1" applyBorder="1" applyAlignment="1"/>
    <xf numFmtId="0" fontId="13143" fillId="0" borderId="13143" xfId="0" applyFont="1" applyBorder="1" applyAlignment="1"/>
    <xf numFmtId="0" fontId="13144" fillId="0" borderId="13144" xfId="0" applyFont="1" applyBorder="1" applyAlignment="1"/>
    <xf numFmtId="0" fontId="13145" fillId="0" borderId="13145" xfId="0" applyFont="1" applyBorder="1" applyAlignment="1"/>
    <xf numFmtId="0" fontId="13146" fillId="0" borderId="13146" xfId="0" applyFont="1" applyBorder="1" applyAlignment="1"/>
    <xf numFmtId="0" fontId="13147" fillId="0" borderId="13147" xfId="0" applyFont="1" applyBorder="1" applyAlignment="1"/>
    <xf numFmtId="0" fontId="13148" fillId="0" borderId="13148" xfId="0" applyFont="1" applyBorder="1" applyAlignment="1"/>
    <xf numFmtId="0" fontId="13149" fillId="0" borderId="13149" xfId="0" applyFont="1" applyBorder="1" applyAlignment="1"/>
    <xf numFmtId="0" fontId="13150" fillId="0" borderId="13150" xfId="0" applyFont="1" applyBorder="1" applyAlignment="1"/>
    <xf numFmtId="0" fontId="13151" fillId="0" borderId="13151" xfId="0" applyFont="1" applyBorder="1" applyAlignment="1"/>
    <xf numFmtId="0" fontId="13152" fillId="0" borderId="13152" xfId="0" applyFont="1" applyBorder="1" applyAlignment="1"/>
    <xf numFmtId="0" fontId="13153" fillId="0" borderId="13153" xfId="0" applyFont="1" applyBorder="1" applyAlignment="1"/>
    <xf numFmtId="0" fontId="13154" fillId="0" borderId="13154" xfId="0" applyFont="1" applyBorder="1" applyAlignment="1"/>
    <xf numFmtId="0" fontId="13155" fillId="0" borderId="13155" xfId="0" applyFont="1" applyBorder="1" applyAlignment="1"/>
    <xf numFmtId="0" fontId="13156" fillId="0" borderId="13156" xfId="0" applyFont="1" applyBorder="1" applyAlignment="1"/>
    <xf numFmtId="0" fontId="13157" fillId="0" borderId="13157" xfId="0" applyFont="1" applyBorder="1" applyAlignment="1"/>
    <xf numFmtId="0" fontId="13158" fillId="0" borderId="13158" xfId="0" applyFont="1" applyBorder="1" applyAlignment="1"/>
    <xf numFmtId="0" fontId="13159" fillId="0" borderId="13159" xfId="0" applyFont="1" applyBorder="1" applyAlignment="1"/>
    <xf numFmtId="0" fontId="13160" fillId="0" borderId="13160" xfId="0" applyFont="1" applyBorder="1" applyAlignment="1"/>
    <xf numFmtId="0" fontId="13161" fillId="0" borderId="13161" xfId="0" applyFont="1" applyBorder="1" applyAlignment="1"/>
    <xf numFmtId="0" fontId="13162" fillId="0" borderId="13162" xfId="0" applyFont="1" applyBorder="1" applyAlignment="1"/>
    <xf numFmtId="0" fontId="13163" fillId="0" borderId="13163" xfId="0" applyFont="1" applyBorder="1" applyAlignment="1"/>
    <xf numFmtId="0" fontId="13164" fillId="0" borderId="13164" xfId="0" applyFont="1" applyBorder="1" applyAlignment="1"/>
    <xf numFmtId="0" fontId="13165" fillId="0" borderId="13165" xfId="0" applyFont="1" applyBorder="1" applyAlignment="1"/>
    <xf numFmtId="0" fontId="13166" fillId="0" borderId="13166" xfId="0" applyFont="1" applyBorder="1" applyAlignment="1"/>
    <xf numFmtId="0" fontId="13167" fillId="0" borderId="13167" xfId="0" applyFont="1" applyBorder="1" applyAlignment="1"/>
    <xf numFmtId="0" fontId="13168" fillId="0" borderId="13168" xfId="0" applyFont="1" applyBorder="1" applyAlignment="1"/>
    <xf numFmtId="0" fontId="13169" fillId="0" borderId="13169" xfId="0" applyFont="1" applyBorder="1" applyAlignment="1"/>
    <xf numFmtId="0" fontId="13170" fillId="0" borderId="13170" xfId="0" applyFont="1" applyBorder="1" applyAlignment="1"/>
    <xf numFmtId="0" fontId="13171" fillId="0" borderId="13171" xfId="0" applyFont="1" applyBorder="1" applyAlignment="1"/>
    <xf numFmtId="0" fontId="13172" fillId="0" borderId="13172" xfId="0" applyFont="1" applyBorder="1" applyAlignment="1"/>
    <xf numFmtId="0" fontId="13173" fillId="0" borderId="13173" xfId="0" applyFont="1" applyBorder="1" applyAlignment="1"/>
    <xf numFmtId="0" fontId="13174" fillId="0" borderId="13174" xfId="0" applyFont="1" applyBorder="1" applyAlignment="1"/>
    <xf numFmtId="0" fontId="13175" fillId="0" borderId="13175" xfId="0" applyFont="1" applyBorder="1" applyAlignment="1"/>
    <xf numFmtId="0" fontId="13176" fillId="0" borderId="13176" xfId="0" applyFont="1" applyBorder="1" applyAlignment="1"/>
    <xf numFmtId="0" fontId="13177" fillId="0" borderId="13177" xfId="0" applyFont="1" applyBorder="1" applyAlignment="1"/>
    <xf numFmtId="0" fontId="13178" fillId="0" borderId="13178" xfId="0" applyFont="1" applyBorder="1" applyAlignment="1"/>
    <xf numFmtId="0" fontId="13179" fillId="0" borderId="13179" xfId="0" applyFont="1" applyBorder="1" applyAlignment="1"/>
    <xf numFmtId="0" fontId="13180" fillId="0" borderId="13180" xfId="0" applyFont="1" applyBorder="1" applyAlignment="1"/>
    <xf numFmtId="0" fontId="13181" fillId="0" borderId="13181" xfId="0" applyFont="1" applyBorder="1" applyAlignment="1"/>
    <xf numFmtId="0" fontId="13182" fillId="0" borderId="13182" xfId="0" applyFont="1" applyBorder="1" applyAlignment="1"/>
    <xf numFmtId="0" fontId="13183" fillId="0" borderId="13183" xfId="0" applyFont="1" applyBorder="1" applyAlignment="1"/>
    <xf numFmtId="0" fontId="13184" fillId="0" borderId="13184" xfId="0" applyFont="1" applyBorder="1" applyAlignment="1"/>
    <xf numFmtId="0" fontId="13185" fillId="0" borderId="13185" xfId="0" applyFont="1" applyBorder="1" applyAlignment="1"/>
    <xf numFmtId="0" fontId="13186" fillId="0" borderId="13186" xfId="0" applyFont="1" applyBorder="1" applyAlignment="1"/>
    <xf numFmtId="0" fontId="13187" fillId="0" borderId="13187" xfId="0" applyFont="1" applyBorder="1" applyAlignment="1"/>
    <xf numFmtId="0" fontId="13188" fillId="0" borderId="13188" xfId="0" applyFont="1" applyBorder="1" applyAlignment="1"/>
    <xf numFmtId="0" fontId="13189" fillId="0" borderId="13189" xfId="0" applyFont="1" applyBorder="1" applyAlignment="1"/>
    <xf numFmtId="0" fontId="13190" fillId="0" borderId="13190" xfId="0" applyFont="1" applyBorder="1" applyAlignment="1"/>
    <xf numFmtId="0" fontId="13191" fillId="0" borderId="13191" xfId="0" applyFont="1" applyBorder="1" applyAlignment="1"/>
    <xf numFmtId="0" fontId="13192" fillId="0" borderId="13192" xfId="0" applyFont="1" applyBorder="1" applyAlignment="1"/>
    <xf numFmtId="0" fontId="13193" fillId="0" borderId="13193" xfId="0" applyFont="1" applyBorder="1" applyAlignment="1"/>
    <xf numFmtId="0" fontId="13194" fillId="0" borderId="13194" xfId="0" applyFont="1" applyBorder="1" applyAlignment="1"/>
    <xf numFmtId="0" fontId="13195" fillId="0" borderId="13195" xfId="0" applyFont="1" applyBorder="1" applyAlignment="1"/>
    <xf numFmtId="0" fontId="13196" fillId="0" borderId="13196" xfId="0" applyFont="1" applyBorder="1" applyAlignment="1"/>
    <xf numFmtId="0" fontId="13197" fillId="0" borderId="13197" xfId="0" applyFont="1" applyBorder="1" applyAlignment="1"/>
    <xf numFmtId="0" fontId="13198" fillId="0" borderId="13198" xfId="0" applyFont="1" applyBorder="1" applyAlignment="1"/>
    <xf numFmtId="0" fontId="13199" fillId="0" borderId="13199" xfId="0" applyFont="1" applyBorder="1" applyAlignment="1"/>
    <xf numFmtId="0" fontId="13200" fillId="0" borderId="13200" xfId="0" applyFont="1" applyBorder="1" applyAlignment="1"/>
    <xf numFmtId="0" fontId="13201" fillId="0" borderId="13201" xfId="0" applyFont="1" applyBorder="1" applyAlignment="1"/>
    <xf numFmtId="0" fontId="13202" fillId="0" borderId="13202" xfId="0" applyFont="1" applyBorder="1" applyAlignment="1"/>
    <xf numFmtId="0" fontId="13203" fillId="0" borderId="13203" xfId="0" applyFont="1" applyBorder="1" applyAlignment="1"/>
    <xf numFmtId="0" fontId="13204" fillId="0" borderId="13204" xfId="0" applyFont="1" applyBorder="1" applyAlignment="1"/>
    <xf numFmtId="0" fontId="13205" fillId="0" borderId="13205" xfId="0" applyFont="1" applyBorder="1" applyAlignment="1"/>
    <xf numFmtId="0" fontId="13206" fillId="0" borderId="13206" xfId="0" applyFont="1" applyBorder="1" applyAlignment="1"/>
    <xf numFmtId="0" fontId="13207" fillId="0" borderId="13207" xfId="0" applyFont="1" applyBorder="1" applyAlignment="1"/>
    <xf numFmtId="0" fontId="13208" fillId="0" borderId="13208" xfId="0" applyFont="1" applyBorder="1" applyAlignment="1"/>
    <xf numFmtId="0" fontId="13209" fillId="0" borderId="13209" xfId="0" applyFont="1" applyBorder="1" applyAlignment="1"/>
    <xf numFmtId="0" fontId="13210" fillId="0" borderId="13210" xfId="0" applyFont="1" applyBorder="1" applyAlignment="1"/>
    <xf numFmtId="0" fontId="13211" fillId="0" borderId="13211" xfId="0" applyFont="1" applyBorder="1" applyAlignment="1"/>
    <xf numFmtId="0" fontId="13212" fillId="0" borderId="13212" xfId="0" applyFont="1" applyBorder="1" applyAlignment="1"/>
    <xf numFmtId="0" fontId="13213" fillId="0" borderId="13213" xfId="0" applyFont="1" applyBorder="1" applyAlignment="1"/>
    <xf numFmtId="0" fontId="13214" fillId="0" borderId="13214" xfId="0" applyFont="1" applyBorder="1" applyAlignment="1"/>
    <xf numFmtId="0" fontId="13215" fillId="0" borderId="13215" xfId="0" applyFont="1" applyBorder="1" applyAlignment="1"/>
    <xf numFmtId="0" fontId="13216" fillId="0" borderId="13216" xfId="0" applyFont="1" applyBorder="1" applyAlignment="1"/>
    <xf numFmtId="0" fontId="13217" fillId="0" borderId="13217" xfId="0" applyFont="1" applyBorder="1" applyAlignment="1"/>
    <xf numFmtId="0" fontId="13218" fillId="0" borderId="13218" xfId="0" applyFont="1" applyBorder="1" applyAlignment="1"/>
    <xf numFmtId="0" fontId="13219" fillId="0" borderId="13219" xfId="0" applyFont="1" applyBorder="1" applyAlignment="1"/>
    <xf numFmtId="0" fontId="13220" fillId="0" borderId="13220" xfId="0" applyFont="1" applyBorder="1" applyAlignment="1"/>
    <xf numFmtId="0" fontId="13221" fillId="0" borderId="13221" xfId="0" applyFont="1" applyBorder="1" applyAlignment="1"/>
    <xf numFmtId="0" fontId="13222" fillId="0" borderId="13222" xfId="0" applyFont="1" applyBorder="1" applyAlignment="1"/>
    <xf numFmtId="0" fontId="13223" fillId="0" borderId="13223" xfId="0" applyFont="1" applyBorder="1" applyAlignment="1"/>
    <xf numFmtId="0" fontId="13224" fillId="0" borderId="13224" xfId="0" applyFont="1" applyBorder="1" applyAlignment="1"/>
    <xf numFmtId="0" fontId="13225" fillId="0" borderId="13225" xfId="0" applyFont="1" applyBorder="1" applyAlignment="1"/>
    <xf numFmtId="0" fontId="13226" fillId="0" borderId="13226" xfId="0" applyFont="1" applyBorder="1" applyAlignment="1"/>
    <xf numFmtId="0" fontId="13227" fillId="0" borderId="13227" xfId="0" applyFont="1" applyBorder="1" applyAlignment="1"/>
    <xf numFmtId="0" fontId="13228" fillId="0" borderId="13228" xfId="0" applyFont="1" applyBorder="1" applyAlignment="1"/>
    <xf numFmtId="0" fontId="13229" fillId="0" borderId="13229" xfId="0" applyFont="1" applyBorder="1" applyAlignment="1"/>
    <xf numFmtId="0" fontId="13230" fillId="0" borderId="13230" xfId="0" applyFont="1" applyBorder="1" applyAlignment="1"/>
    <xf numFmtId="0" fontId="13231" fillId="0" borderId="13231" xfId="0" applyFont="1" applyBorder="1" applyAlignment="1"/>
    <xf numFmtId="0" fontId="13232" fillId="0" borderId="13232" xfId="0" applyFont="1" applyBorder="1" applyAlignment="1"/>
    <xf numFmtId="0" fontId="13233" fillId="0" borderId="13233" xfId="0" applyFont="1" applyBorder="1" applyAlignment="1"/>
    <xf numFmtId="0" fontId="13234" fillId="0" borderId="13234" xfId="0" applyFont="1" applyBorder="1" applyAlignment="1"/>
    <xf numFmtId="0" fontId="13235" fillId="0" borderId="13235" xfId="0" applyFont="1" applyBorder="1" applyAlignment="1"/>
    <xf numFmtId="0" fontId="13236" fillId="0" borderId="13236" xfId="0" applyFont="1" applyBorder="1" applyAlignment="1"/>
    <xf numFmtId="0" fontId="13237" fillId="0" borderId="13237" xfId="0" applyFont="1" applyBorder="1" applyAlignment="1"/>
    <xf numFmtId="0" fontId="13238" fillId="0" borderId="13238" xfId="0" applyFont="1" applyBorder="1" applyAlignment="1"/>
    <xf numFmtId="0" fontId="13239" fillId="0" borderId="13239" xfId="0" applyFont="1" applyBorder="1" applyAlignment="1"/>
    <xf numFmtId="0" fontId="13240" fillId="0" borderId="13240" xfId="0" applyFont="1" applyBorder="1" applyAlignment="1"/>
    <xf numFmtId="0" fontId="13241" fillId="0" borderId="13241" xfId="0" applyFont="1" applyBorder="1" applyAlignment="1"/>
    <xf numFmtId="0" fontId="13242" fillId="0" borderId="13242" xfId="0" applyFont="1" applyBorder="1" applyAlignment="1"/>
    <xf numFmtId="0" fontId="13243" fillId="0" borderId="13243" xfId="0" applyFont="1" applyBorder="1" applyAlignment="1"/>
    <xf numFmtId="0" fontId="13244" fillId="0" borderId="13244" xfId="0" applyFont="1" applyBorder="1" applyAlignment="1"/>
    <xf numFmtId="0" fontId="13245" fillId="0" borderId="13245" xfId="0" applyFont="1" applyBorder="1" applyAlignment="1"/>
    <xf numFmtId="0" fontId="13246" fillId="0" borderId="13246" xfId="0" applyFont="1" applyBorder="1" applyAlignment="1"/>
    <xf numFmtId="0" fontId="13247" fillId="0" borderId="13247" xfId="0" applyFont="1" applyBorder="1" applyAlignment="1"/>
    <xf numFmtId="0" fontId="13248" fillId="0" borderId="13248" xfId="0" applyFont="1" applyBorder="1" applyAlignment="1"/>
    <xf numFmtId="0" fontId="13249" fillId="0" borderId="13249" xfId="0" applyFont="1" applyBorder="1" applyAlignment="1"/>
    <xf numFmtId="0" fontId="13250" fillId="0" borderId="13250" xfId="0" applyFont="1" applyBorder="1" applyAlignment="1"/>
    <xf numFmtId="0" fontId="13251" fillId="0" borderId="13251" xfId="0" applyFont="1" applyBorder="1" applyAlignment="1"/>
    <xf numFmtId="0" fontId="13252" fillId="0" borderId="13252" xfId="0" applyFont="1" applyBorder="1" applyAlignment="1"/>
    <xf numFmtId="0" fontId="13253" fillId="0" borderId="13253" xfId="0" applyFont="1" applyBorder="1" applyAlignment="1"/>
    <xf numFmtId="0" fontId="13254" fillId="0" borderId="13254" xfId="0" applyFont="1" applyBorder="1" applyAlignment="1"/>
    <xf numFmtId="0" fontId="13255" fillId="0" borderId="13255" xfId="0" applyFont="1" applyBorder="1" applyAlignment="1"/>
    <xf numFmtId="0" fontId="13256" fillId="0" borderId="13256" xfId="0" applyFont="1" applyBorder="1" applyAlignment="1"/>
    <xf numFmtId="0" fontId="13257" fillId="0" borderId="13257" xfId="0" applyFont="1" applyBorder="1" applyAlignment="1"/>
    <xf numFmtId="0" fontId="13258" fillId="0" borderId="13258" xfId="0" applyFont="1" applyBorder="1" applyAlignment="1"/>
    <xf numFmtId="0" fontId="13259" fillId="0" borderId="13259" xfId="0" applyFont="1" applyBorder="1" applyAlignment="1"/>
    <xf numFmtId="0" fontId="13260" fillId="0" borderId="13260" xfId="0" applyFont="1" applyBorder="1" applyAlignment="1"/>
    <xf numFmtId="0" fontId="13261" fillId="0" borderId="13261" xfId="0" applyFont="1" applyBorder="1" applyAlignment="1"/>
    <xf numFmtId="0" fontId="13262" fillId="0" borderId="13262" xfId="0" applyFont="1" applyBorder="1" applyAlignment="1"/>
    <xf numFmtId="0" fontId="13263" fillId="0" borderId="13263" xfId="0" applyFont="1" applyBorder="1" applyAlignment="1"/>
    <xf numFmtId="0" fontId="13264" fillId="0" borderId="13264" xfId="0" applyFont="1" applyBorder="1" applyAlignment="1"/>
    <xf numFmtId="0" fontId="13265" fillId="0" borderId="13265" xfId="0" applyFont="1" applyBorder="1" applyAlignment="1"/>
    <xf numFmtId="0" fontId="13266" fillId="0" borderId="13266" xfId="0" applyFont="1" applyBorder="1" applyAlignment="1"/>
    <xf numFmtId="0" fontId="13267" fillId="0" borderId="13267" xfId="0" applyFont="1" applyBorder="1" applyAlignment="1"/>
    <xf numFmtId="0" fontId="13268" fillId="0" borderId="13268" xfId="0" applyFont="1" applyBorder="1" applyAlignment="1"/>
    <xf numFmtId="0" fontId="13269" fillId="0" borderId="13269" xfId="0" applyFont="1" applyBorder="1" applyAlignment="1"/>
    <xf numFmtId="0" fontId="13270" fillId="0" borderId="13270" xfId="0" applyFont="1" applyBorder="1" applyAlignment="1"/>
    <xf numFmtId="0" fontId="13271" fillId="0" borderId="13271" xfId="0" applyFont="1" applyBorder="1" applyAlignment="1"/>
    <xf numFmtId="0" fontId="13272" fillId="0" borderId="13272" xfId="0" applyFont="1" applyBorder="1" applyAlignment="1"/>
    <xf numFmtId="0" fontId="13273" fillId="0" borderId="13273" xfId="0" applyFont="1" applyBorder="1" applyAlignment="1"/>
    <xf numFmtId="0" fontId="13274" fillId="0" borderId="13274" xfId="0" applyFont="1" applyBorder="1" applyAlignment="1"/>
    <xf numFmtId="0" fontId="13275" fillId="0" borderId="13275" xfId="0" applyFont="1" applyBorder="1" applyAlignment="1"/>
    <xf numFmtId="0" fontId="13276" fillId="0" borderId="13276" xfId="0" applyFont="1" applyBorder="1" applyAlignment="1"/>
    <xf numFmtId="0" fontId="13277" fillId="0" borderId="13277" xfId="0" applyFont="1" applyBorder="1" applyAlignment="1"/>
    <xf numFmtId="0" fontId="13278" fillId="0" borderId="13278" xfId="0" applyFont="1" applyBorder="1" applyAlignment="1"/>
    <xf numFmtId="0" fontId="13279" fillId="0" borderId="13279" xfId="0" applyFont="1" applyBorder="1" applyAlignment="1"/>
    <xf numFmtId="0" fontId="13280" fillId="0" borderId="13280" xfId="0" applyFont="1" applyBorder="1" applyAlignment="1"/>
    <xf numFmtId="0" fontId="13281" fillId="0" borderId="13281" xfId="0" applyFont="1" applyBorder="1" applyAlignment="1"/>
    <xf numFmtId="0" fontId="13282" fillId="0" borderId="13282" xfId="0" applyFont="1" applyBorder="1" applyAlignment="1"/>
    <xf numFmtId="0" fontId="13283" fillId="0" borderId="13283" xfId="0" applyFont="1" applyBorder="1" applyAlignment="1"/>
    <xf numFmtId="0" fontId="13284" fillId="0" borderId="13284" xfId="0" applyFont="1" applyBorder="1" applyAlignment="1"/>
    <xf numFmtId="0" fontId="13285" fillId="0" borderId="13285" xfId="0" applyFont="1" applyBorder="1" applyAlignment="1"/>
    <xf numFmtId="0" fontId="13286" fillId="0" borderId="13286" xfId="0" applyFont="1" applyBorder="1" applyAlignment="1"/>
    <xf numFmtId="0" fontId="13287" fillId="0" borderId="13287" xfId="0" applyFont="1" applyBorder="1" applyAlignment="1"/>
    <xf numFmtId="0" fontId="13288" fillId="0" borderId="13288" xfId="0" applyFont="1" applyBorder="1" applyAlignment="1"/>
    <xf numFmtId="0" fontId="13289" fillId="0" borderId="13289" xfId="0" applyFont="1" applyBorder="1" applyAlignment="1"/>
    <xf numFmtId="0" fontId="13290" fillId="0" borderId="13290" xfId="0" applyFont="1" applyBorder="1" applyAlignment="1"/>
    <xf numFmtId="0" fontId="13291" fillId="0" borderId="13291" xfId="0" applyFont="1" applyBorder="1" applyAlignment="1"/>
    <xf numFmtId="0" fontId="13292" fillId="0" borderId="13292" xfId="0" applyFont="1" applyBorder="1" applyAlignment="1"/>
    <xf numFmtId="0" fontId="13293" fillId="0" borderId="13293" xfId="0" applyFont="1" applyBorder="1" applyAlignment="1"/>
    <xf numFmtId="0" fontId="13294" fillId="0" borderId="13294" xfId="0" applyFont="1" applyBorder="1" applyAlignment="1"/>
    <xf numFmtId="0" fontId="13295" fillId="0" borderId="13295" xfId="0" applyFont="1" applyBorder="1" applyAlignment="1"/>
    <xf numFmtId="0" fontId="13296" fillId="0" borderId="13296" xfId="0" applyFont="1" applyBorder="1" applyAlignment="1"/>
    <xf numFmtId="0" fontId="13297" fillId="0" borderId="13297" xfId="0" applyFont="1" applyBorder="1" applyAlignment="1"/>
    <xf numFmtId="0" fontId="13298" fillId="0" borderId="13298" xfId="0" applyFont="1" applyBorder="1" applyAlignment="1"/>
    <xf numFmtId="0" fontId="13299" fillId="0" borderId="13299" xfId="0" applyFont="1" applyBorder="1" applyAlignment="1"/>
    <xf numFmtId="0" fontId="13300" fillId="0" borderId="13300" xfId="0" applyFont="1" applyBorder="1" applyAlignment="1"/>
    <xf numFmtId="0" fontId="13301" fillId="0" borderId="13301" xfId="0" applyFont="1" applyBorder="1" applyAlignment="1"/>
    <xf numFmtId="0" fontId="13302" fillId="0" borderId="13302" xfId="0" applyFont="1" applyBorder="1" applyAlignment="1"/>
    <xf numFmtId="0" fontId="13303" fillId="0" borderId="13303" xfId="0" applyFont="1" applyBorder="1" applyAlignment="1"/>
    <xf numFmtId="0" fontId="13304" fillId="0" borderId="13304" xfId="0" applyFont="1" applyBorder="1" applyAlignment="1"/>
    <xf numFmtId="0" fontId="13305" fillId="0" borderId="13305" xfId="0" applyFont="1" applyBorder="1" applyAlignment="1"/>
    <xf numFmtId="0" fontId="13306" fillId="0" borderId="13306" xfId="0" applyFont="1" applyBorder="1" applyAlignment="1"/>
    <xf numFmtId="0" fontId="13307" fillId="0" borderId="13307" xfId="0" applyFont="1" applyBorder="1" applyAlignment="1"/>
    <xf numFmtId="0" fontId="13308" fillId="0" borderId="13308" xfId="0" applyFont="1" applyBorder="1" applyAlignment="1"/>
    <xf numFmtId="0" fontId="13309" fillId="0" borderId="13309" xfId="0" applyFont="1" applyBorder="1" applyAlignment="1"/>
    <xf numFmtId="0" fontId="13310" fillId="0" borderId="13310" xfId="0" applyFont="1" applyBorder="1" applyAlignment="1"/>
    <xf numFmtId="0" fontId="13311" fillId="0" borderId="13311" xfId="0" applyFont="1" applyBorder="1" applyAlignment="1"/>
    <xf numFmtId="0" fontId="13312" fillId="0" borderId="13312" xfId="0" applyFont="1" applyBorder="1" applyAlignment="1"/>
    <xf numFmtId="0" fontId="13313" fillId="0" borderId="13313" xfId="0" applyFont="1" applyBorder="1" applyAlignment="1"/>
    <xf numFmtId="0" fontId="13314" fillId="0" borderId="13314" xfId="0" applyFont="1" applyBorder="1" applyAlignment="1"/>
    <xf numFmtId="0" fontId="13315" fillId="0" borderId="13315" xfId="0" applyFont="1" applyBorder="1" applyAlignment="1"/>
    <xf numFmtId="0" fontId="13316" fillId="0" borderId="13316" xfId="0" applyFont="1" applyBorder="1" applyAlignment="1"/>
    <xf numFmtId="0" fontId="13317" fillId="0" borderId="13317" xfId="0" applyFont="1" applyBorder="1" applyAlignment="1"/>
    <xf numFmtId="0" fontId="13318" fillId="0" borderId="13318" xfId="0" applyFont="1" applyBorder="1" applyAlignment="1"/>
    <xf numFmtId="0" fontId="13319" fillId="0" borderId="13319" xfId="0" applyFont="1" applyBorder="1" applyAlignment="1"/>
    <xf numFmtId="0" fontId="13320" fillId="0" borderId="13320" xfId="0" applyFont="1" applyBorder="1" applyAlignment="1"/>
    <xf numFmtId="0" fontId="13321" fillId="0" borderId="13321" xfId="0" applyFont="1" applyBorder="1" applyAlignment="1"/>
    <xf numFmtId="0" fontId="13322" fillId="0" borderId="13322" xfId="0" applyFont="1" applyBorder="1" applyAlignment="1"/>
    <xf numFmtId="0" fontId="13323" fillId="0" borderId="13323" xfId="0" applyFont="1" applyBorder="1" applyAlignment="1"/>
    <xf numFmtId="0" fontId="13324" fillId="0" borderId="13324" xfId="0" applyFont="1" applyBorder="1" applyAlignment="1"/>
    <xf numFmtId="0" fontId="13325" fillId="0" borderId="13325" xfId="0" applyFont="1" applyBorder="1" applyAlignment="1"/>
    <xf numFmtId="0" fontId="13326" fillId="0" borderId="13326" xfId="0" applyFont="1" applyBorder="1" applyAlignment="1"/>
    <xf numFmtId="0" fontId="13327" fillId="0" borderId="13327" xfId="0" applyFont="1" applyBorder="1" applyAlignment="1"/>
    <xf numFmtId="0" fontId="13328" fillId="0" borderId="13328" xfId="0" applyFont="1" applyBorder="1" applyAlignment="1"/>
    <xf numFmtId="0" fontId="13329" fillId="0" borderId="13329" xfId="0" applyFont="1" applyBorder="1" applyAlignment="1"/>
    <xf numFmtId="0" fontId="13330" fillId="0" borderId="13330" xfId="0" applyFont="1" applyBorder="1" applyAlignment="1"/>
    <xf numFmtId="0" fontId="13331" fillId="0" borderId="13331" xfId="0" applyFont="1" applyBorder="1" applyAlignment="1"/>
    <xf numFmtId="0" fontId="13332" fillId="0" borderId="13332" xfId="0" applyFont="1" applyBorder="1" applyAlignment="1"/>
    <xf numFmtId="0" fontId="13333" fillId="0" borderId="13333" xfId="0" applyFont="1" applyBorder="1" applyAlignment="1"/>
    <xf numFmtId="0" fontId="13334" fillId="0" borderId="13334" xfId="0" applyFont="1" applyBorder="1" applyAlignment="1"/>
    <xf numFmtId="0" fontId="13335" fillId="0" borderId="13335" xfId="0" applyFont="1" applyBorder="1" applyAlignment="1"/>
    <xf numFmtId="0" fontId="13336" fillId="0" borderId="13336" xfId="0" applyFont="1" applyBorder="1" applyAlignment="1"/>
    <xf numFmtId="0" fontId="13337" fillId="0" borderId="13337" xfId="0" applyFont="1" applyBorder="1" applyAlignment="1"/>
    <xf numFmtId="0" fontId="13338" fillId="0" borderId="13338" xfId="0" applyFont="1" applyBorder="1" applyAlignment="1"/>
    <xf numFmtId="0" fontId="13339" fillId="0" borderId="13339" xfId="0" applyFont="1" applyBorder="1" applyAlignment="1"/>
    <xf numFmtId="0" fontId="13340" fillId="0" borderId="13340" xfId="0" applyFont="1" applyBorder="1" applyAlignment="1"/>
    <xf numFmtId="0" fontId="13341" fillId="0" borderId="13341" xfId="0" applyFont="1" applyBorder="1" applyAlignment="1"/>
    <xf numFmtId="0" fontId="13342" fillId="0" borderId="13342" xfId="0" applyFont="1" applyBorder="1" applyAlignment="1"/>
    <xf numFmtId="0" fontId="13343" fillId="0" borderId="13343" xfId="0" applyFont="1" applyBorder="1" applyAlignment="1"/>
    <xf numFmtId="0" fontId="13344" fillId="0" borderId="13344" xfId="0" applyFont="1" applyBorder="1" applyAlignment="1"/>
    <xf numFmtId="0" fontId="13345" fillId="0" borderId="13345" xfId="0" applyFont="1" applyBorder="1" applyAlignment="1"/>
    <xf numFmtId="0" fontId="13346" fillId="0" borderId="13346" xfId="0" applyFont="1" applyBorder="1" applyAlignment="1"/>
    <xf numFmtId="0" fontId="13347" fillId="0" borderId="13347" xfId="0" applyFont="1" applyBorder="1" applyAlignment="1"/>
    <xf numFmtId="0" fontId="13348" fillId="0" borderId="13348" xfId="0" applyFont="1" applyBorder="1" applyAlignment="1"/>
    <xf numFmtId="0" fontId="13349" fillId="0" borderId="13349" xfId="0" applyFont="1" applyBorder="1" applyAlignment="1"/>
    <xf numFmtId="0" fontId="13350" fillId="0" borderId="13350" xfId="0" applyFont="1" applyBorder="1" applyAlignment="1"/>
    <xf numFmtId="0" fontId="13351" fillId="0" borderId="13351" xfId="0" applyFont="1" applyBorder="1" applyAlignment="1"/>
    <xf numFmtId="0" fontId="13352" fillId="0" borderId="13352" xfId="0" applyFont="1" applyBorder="1" applyAlignment="1"/>
    <xf numFmtId="0" fontId="13353" fillId="0" borderId="13353" xfId="0" applyFont="1" applyBorder="1" applyAlignment="1"/>
    <xf numFmtId="0" fontId="13354" fillId="0" borderId="13354" xfId="0" applyFont="1" applyBorder="1" applyAlignment="1"/>
    <xf numFmtId="0" fontId="13355" fillId="0" borderId="13355" xfId="0" applyFont="1" applyBorder="1" applyAlignment="1"/>
    <xf numFmtId="0" fontId="13356" fillId="0" borderId="13356" xfId="0" applyFont="1" applyBorder="1" applyAlignment="1"/>
    <xf numFmtId="0" fontId="13357" fillId="0" borderId="13357" xfId="0" applyFont="1" applyBorder="1" applyAlignment="1"/>
    <xf numFmtId="0" fontId="13358" fillId="0" borderId="13358" xfId="0" applyFont="1" applyBorder="1" applyAlignment="1"/>
    <xf numFmtId="0" fontId="13359" fillId="0" borderId="13359" xfId="0" applyFont="1" applyBorder="1" applyAlignment="1"/>
    <xf numFmtId="0" fontId="13360" fillId="0" borderId="13360" xfId="0" applyFont="1" applyBorder="1" applyAlignment="1"/>
    <xf numFmtId="0" fontId="13361" fillId="0" borderId="13361" xfId="0" applyFont="1" applyBorder="1" applyAlignment="1"/>
    <xf numFmtId="0" fontId="13362" fillId="0" borderId="13362" xfId="0" applyFont="1" applyBorder="1" applyAlignment="1"/>
    <xf numFmtId="0" fontId="13363" fillId="0" borderId="13363" xfId="0" applyFont="1" applyBorder="1" applyAlignment="1"/>
    <xf numFmtId="0" fontId="13364" fillId="0" borderId="13364" xfId="0" applyFont="1" applyBorder="1" applyAlignment="1"/>
    <xf numFmtId="0" fontId="13365" fillId="0" borderId="13365" xfId="0" applyFont="1" applyBorder="1" applyAlignment="1"/>
    <xf numFmtId="0" fontId="13366" fillId="0" borderId="13366" xfId="0" applyFont="1" applyBorder="1" applyAlignment="1"/>
    <xf numFmtId="0" fontId="13367" fillId="0" borderId="13367" xfId="0" applyFont="1" applyBorder="1" applyAlignment="1"/>
    <xf numFmtId="0" fontId="13368" fillId="0" borderId="13368" xfId="0" applyFont="1" applyBorder="1" applyAlignment="1"/>
    <xf numFmtId="0" fontId="13369" fillId="0" borderId="13369" xfId="0" applyFont="1" applyBorder="1" applyAlignment="1"/>
    <xf numFmtId="0" fontId="13370" fillId="0" borderId="13370" xfId="0" applyFont="1" applyBorder="1" applyAlignment="1"/>
    <xf numFmtId="0" fontId="13371" fillId="0" borderId="13371" xfId="0" applyFont="1" applyBorder="1" applyAlignment="1"/>
    <xf numFmtId="0" fontId="13372" fillId="0" borderId="13372" xfId="0" applyFont="1" applyBorder="1" applyAlignment="1"/>
    <xf numFmtId="0" fontId="13373" fillId="0" borderId="13373" xfId="0" applyFont="1" applyBorder="1" applyAlignment="1"/>
    <xf numFmtId="0" fontId="13374" fillId="0" borderId="13374" xfId="0" applyFont="1" applyBorder="1" applyAlignment="1"/>
    <xf numFmtId="0" fontId="13375" fillId="0" borderId="13375" xfId="0" applyFont="1" applyBorder="1" applyAlignment="1"/>
    <xf numFmtId="0" fontId="13376" fillId="0" borderId="13376" xfId="0" applyFont="1" applyBorder="1" applyAlignment="1"/>
    <xf numFmtId="0" fontId="13377" fillId="0" borderId="13377" xfId="0" applyFont="1" applyBorder="1" applyAlignment="1"/>
    <xf numFmtId="0" fontId="13378" fillId="0" borderId="13378" xfId="0" applyFont="1" applyBorder="1" applyAlignment="1"/>
    <xf numFmtId="0" fontId="13379" fillId="0" borderId="13379" xfId="0" applyFont="1" applyBorder="1" applyAlignment="1"/>
    <xf numFmtId="0" fontId="13380" fillId="0" borderId="13380" xfId="0" applyFont="1" applyBorder="1" applyAlignment="1"/>
    <xf numFmtId="0" fontId="13381" fillId="0" borderId="13381" xfId="0" applyFont="1" applyBorder="1" applyAlignment="1"/>
    <xf numFmtId="0" fontId="13382" fillId="0" borderId="13382" xfId="0" applyFont="1" applyBorder="1" applyAlignment="1"/>
    <xf numFmtId="0" fontId="13383" fillId="0" borderId="13383" xfId="0" applyFont="1" applyBorder="1" applyAlignment="1"/>
    <xf numFmtId="0" fontId="13384" fillId="0" borderId="13384" xfId="0" applyFont="1" applyBorder="1" applyAlignment="1"/>
    <xf numFmtId="0" fontId="13385" fillId="0" borderId="13385" xfId="0" applyFont="1" applyBorder="1" applyAlignment="1"/>
    <xf numFmtId="0" fontId="13386" fillId="0" borderId="13386" xfId="0" applyFont="1" applyBorder="1" applyAlignment="1"/>
    <xf numFmtId="0" fontId="13387" fillId="0" borderId="13387" xfId="0" applyFont="1" applyBorder="1" applyAlignment="1"/>
    <xf numFmtId="0" fontId="13388" fillId="0" borderId="13388" xfId="0" applyFont="1" applyBorder="1" applyAlignment="1"/>
    <xf numFmtId="0" fontId="13389" fillId="0" borderId="13389" xfId="0" applyFont="1" applyBorder="1" applyAlignment="1"/>
    <xf numFmtId="0" fontId="13390" fillId="0" borderId="13390" xfId="0" applyFont="1" applyBorder="1" applyAlignment="1"/>
    <xf numFmtId="0" fontId="13391" fillId="0" borderId="13391" xfId="0" applyFont="1" applyBorder="1" applyAlignment="1"/>
    <xf numFmtId="0" fontId="13392" fillId="0" borderId="13392" xfId="0" applyFont="1" applyBorder="1" applyAlignment="1"/>
    <xf numFmtId="0" fontId="13393" fillId="0" borderId="13393" xfId="0" applyFont="1" applyBorder="1" applyAlignment="1"/>
    <xf numFmtId="0" fontId="13394" fillId="0" borderId="13394" xfId="0" applyFont="1" applyBorder="1" applyAlignment="1"/>
    <xf numFmtId="0" fontId="13395" fillId="0" borderId="13395" xfId="0" applyFont="1" applyBorder="1" applyAlignment="1"/>
    <xf numFmtId="0" fontId="13396" fillId="0" borderId="13396" xfId="0" applyFont="1" applyBorder="1" applyAlignment="1"/>
    <xf numFmtId="0" fontId="13397" fillId="0" borderId="13397" xfId="0" applyFont="1" applyBorder="1" applyAlignment="1"/>
    <xf numFmtId="0" fontId="13398" fillId="0" borderId="13398" xfId="0" applyFont="1" applyBorder="1" applyAlignment="1"/>
    <xf numFmtId="0" fontId="13399" fillId="0" borderId="13399" xfId="0" applyFont="1" applyBorder="1" applyAlignment="1"/>
    <xf numFmtId="0" fontId="13400" fillId="0" borderId="13400" xfId="0" applyFont="1" applyBorder="1" applyAlignment="1"/>
    <xf numFmtId="0" fontId="13401" fillId="0" borderId="13401" xfId="0" applyFont="1" applyBorder="1" applyAlignment="1"/>
    <xf numFmtId="0" fontId="13402" fillId="0" borderId="13402" xfId="0" applyFont="1" applyBorder="1" applyAlignment="1"/>
    <xf numFmtId="0" fontId="13403" fillId="0" borderId="13403" xfId="0" applyFont="1" applyBorder="1" applyAlignment="1"/>
    <xf numFmtId="0" fontId="13404" fillId="0" borderId="13404" xfId="0" applyFont="1" applyBorder="1" applyAlignment="1"/>
    <xf numFmtId="0" fontId="13405" fillId="0" borderId="13405" xfId="0" applyFont="1" applyBorder="1" applyAlignment="1"/>
    <xf numFmtId="0" fontId="13406" fillId="0" borderId="13406" xfId="0" applyFont="1" applyBorder="1" applyAlignment="1"/>
    <xf numFmtId="0" fontId="13407" fillId="0" borderId="13407" xfId="0" applyFont="1" applyBorder="1" applyAlignment="1"/>
    <xf numFmtId="0" fontId="13408" fillId="0" borderId="13408" xfId="0" applyFont="1" applyBorder="1" applyAlignment="1"/>
    <xf numFmtId="0" fontId="13409" fillId="0" borderId="13409" xfId="0" applyFont="1" applyBorder="1" applyAlignment="1"/>
    <xf numFmtId="0" fontId="13410" fillId="0" borderId="13410" xfId="0" applyFont="1" applyBorder="1" applyAlignment="1"/>
    <xf numFmtId="0" fontId="13411" fillId="0" borderId="13411" xfId="0" applyFont="1" applyBorder="1" applyAlignment="1"/>
    <xf numFmtId="0" fontId="13412" fillId="0" borderId="13412" xfId="0" applyFont="1" applyBorder="1" applyAlignment="1"/>
    <xf numFmtId="0" fontId="13413" fillId="0" borderId="13413" xfId="0" applyFont="1" applyBorder="1" applyAlignment="1"/>
    <xf numFmtId="0" fontId="13414" fillId="0" borderId="13414" xfId="0" applyFont="1" applyBorder="1" applyAlignment="1"/>
    <xf numFmtId="0" fontId="13415" fillId="0" borderId="13415" xfId="0" applyFont="1" applyBorder="1" applyAlignment="1"/>
    <xf numFmtId="0" fontId="13416" fillId="0" borderId="13416" xfId="0" applyFont="1" applyBorder="1" applyAlignment="1"/>
    <xf numFmtId="0" fontId="13417" fillId="0" borderId="13417" xfId="0" applyFont="1" applyBorder="1" applyAlignment="1"/>
    <xf numFmtId="0" fontId="13418" fillId="0" borderId="13418" xfId="0" applyFont="1" applyBorder="1" applyAlignment="1"/>
    <xf numFmtId="0" fontId="13419" fillId="0" borderId="13419" xfId="0" applyFont="1" applyBorder="1" applyAlignment="1"/>
    <xf numFmtId="0" fontId="13420" fillId="0" borderId="13420" xfId="0" applyFont="1" applyBorder="1" applyAlignment="1"/>
    <xf numFmtId="0" fontId="13421" fillId="0" borderId="13421" xfId="0" applyFont="1" applyBorder="1" applyAlignment="1"/>
    <xf numFmtId="0" fontId="13422" fillId="0" borderId="13422" xfId="0" applyFont="1" applyBorder="1" applyAlignment="1"/>
    <xf numFmtId="0" fontId="13423" fillId="0" borderId="13423" xfId="0" applyFont="1" applyBorder="1" applyAlignment="1"/>
    <xf numFmtId="0" fontId="13424" fillId="0" borderId="13424" xfId="0" applyFont="1" applyBorder="1" applyAlignment="1"/>
    <xf numFmtId="0" fontId="13425" fillId="0" borderId="13425" xfId="0" applyFont="1" applyBorder="1" applyAlignment="1"/>
    <xf numFmtId="0" fontId="13426" fillId="0" borderId="13426" xfId="0" applyFont="1" applyBorder="1" applyAlignment="1"/>
    <xf numFmtId="0" fontId="13427" fillId="0" borderId="13427" xfId="0" applyFont="1" applyBorder="1" applyAlignment="1"/>
    <xf numFmtId="0" fontId="13428" fillId="0" borderId="13428" xfId="0" applyFont="1" applyBorder="1" applyAlignment="1"/>
    <xf numFmtId="0" fontId="13429" fillId="0" borderId="13429" xfId="0" applyFont="1" applyBorder="1" applyAlignment="1"/>
    <xf numFmtId="0" fontId="13430" fillId="0" borderId="13430" xfId="0" applyFont="1" applyBorder="1" applyAlignment="1"/>
    <xf numFmtId="0" fontId="13431" fillId="0" borderId="13431" xfId="0" applyFont="1" applyBorder="1" applyAlignment="1"/>
    <xf numFmtId="0" fontId="13432" fillId="0" borderId="13432" xfId="0" applyFont="1" applyBorder="1" applyAlignment="1"/>
    <xf numFmtId="0" fontId="13433" fillId="0" borderId="13433" xfId="0" applyFont="1" applyBorder="1" applyAlignment="1"/>
    <xf numFmtId="0" fontId="13434" fillId="0" borderId="13434" xfId="0" applyFont="1" applyBorder="1" applyAlignment="1"/>
    <xf numFmtId="0" fontId="13435" fillId="0" borderId="13435" xfId="0" applyFont="1" applyBorder="1" applyAlignment="1"/>
    <xf numFmtId="0" fontId="13436" fillId="0" borderId="13436" xfId="0" applyFont="1" applyBorder="1" applyAlignment="1"/>
    <xf numFmtId="0" fontId="13437" fillId="0" borderId="13437" xfId="0" applyFont="1" applyBorder="1" applyAlignment="1"/>
    <xf numFmtId="0" fontId="13438" fillId="0" borderId="13438" xfId="0" applyFont="1" applyBorder="1" applyAlignment="1"/>
    <xf numFmtId="0" fontId="13439" fillId="0" borderId="13439" xfId="0" applyFont="1" applyBorder="1" applyAlignment="1"/>
    <xf numFmtId="0" fontId="13440" fillId="0" borderId="13440" xfId="0" applyFont="1" applyBorder="1" applyAlignment="1"/>
    <xf numFmtId="0" fontId="13441" fillId="0" borderId="13441" xfId="0" applyFont="1" applyBorder="1" applyAlignment="1"/>
    <xf numFmtId="0" fontId="13442" fillId="0" borderId="13442" xfId="0" applyFont="1" applyBorder="1" applyAlignment="1"/>
    <xf numFmtId="0" fontId="13443" fillId="0" borderId="13443" xfId="0" applyFont="1" applyBorder="1" applyAlignment="1"/>
    <xf numFmtId="0" fontId="13444" fillId="0" borderId="13444" xfId="0" applyFont="1" applyBorder="1" applyAlignment="1"/>
    <xf numFmtId="0" fontId="13445" fillId="0" borderId="13445" xfId="0" applyFont="1" applyBorder="1" applyAlignment="1"/>
    <xf numFmtId="0" fontId="13446" fillId="0" borderId="13446" xfId="0" applyFont="1" applyBorder="1" applyAlignment="1"/>
    <xf numFmtId="0" fontId="13447" fillId="0" borderId="13447" xfId="0" applyFont="1" applyBorder="1" applyAlignment="1"/>
    <xf numFmtId="0" fontId="13448" fillId="0" borderId="13448" xfId="0" applyFont="1" applyBorder="1" applyAlignment="1"/>
    <xf numFmtId="0" fontId="13449" fillId="0" borderId="13449" xfId="0" applyFont="1" applyBorder="1" applyAlignment="1"/>
    <xf numFmtId="0" fontId="13450" fillId="0" borderId="13450" xfId="0" applyFont="1" applyBorder="1" applyAlignment="1"/>
    <xf numFmtId="0" fontId="13451" fillId="0" borderId="13451" xfId="0" applyFont="1" applyBorder="1" applyAlignment="1"/>
    <xf numFmtId="0" fontId="13452" fillId="0" borderId="13452" xfId="0" applyFont="1" applyBorder="1" applyAlignment="1"/>
    <xf numFmtId="0" fontId="13453" fillId="0" borderId="13453" xfId="0" applyFont="1" applyBorder="1" applyAlignment="1"/>
    <xf numFmtId="0" fontId="13454" fillId="0" borderId="13454" xfId="0" applyFont="1" applyBorder="1" applyAlignment="1"/>
    <xf numFmtId="0" fontId="13455" fillId="0" borderId="13455" xfId="0" applyFont="1" applyBorder="1" applyAlignment="1"/>
    <xf numFmtId="0" fontId="13456" fillId="0" borderId="13456" xfId="0" applyFont="1" applyBorder="1" applyAlignment="1"/>
    <xf numFmtId="0" fontId="13457" fillId="0" borderId="13457" xfId="0" applyFont="1" applyBorder="1" applyAlignment="1"/>
    <xf numFmtId="0" fontId="13458" fillId="0" borderId="13458" xfId="0" applyFont="1" applyBorder="1" applyAlignment="1"/>
    <xf numFmtId="0" fontId="13459" fillId="0" borderId="13459" xfId="0" applyFont="1" applyBorder="1" applyAlignment="1"/>
    <xf numFmtId="0" fontId="13460" fillId="0" borderId="13460" xfId="0" applyFont="1" applyBorder="1" applyAlignment="1"/>
    <xf numFmtId="0" fontId="13461" fillId="0" borderId="13461" xfId="0" applyFont="1" applyBorder="1" applyAlignment="1"/>
    <xf numFmtId="0" fontId="13462" fillId="0" borderId="13462" xfId="0" applyFont="1" applyBorder="1" applyAlignment="1"/>
    <xf numFmtId="0" fontId="13463" fillId="0" borderId="13463" xfId="0" applyFont="1" applyBorder="1" applyAlignment="1"/>
    <xf numFmtId="0" fontId="13464" fillId="0" borderId="13464" xfId="0" applyFont="1" applyBorder="1" applyAlignment="1"/>
    <xf numFmtId="0" fontId="13465" fillId="0" borderId="13465" xfId="0" applyFont="1" applyBorder="1" applyAlignment="1"/>
    <xf numFmtId="0" fontId="13466" fillId="0" borderId="13466" xfId="0" applyFont="1" applyBorder="1" applyAlignment="1"/>
    <xf numFmtId="0" fontId="13467" fillId="0" borderId="13467" xfId="0" applyFont="1" applyBorder="1" applyAlignment="1"/>
    <xf numFmtId="0" fontId="13468" fillId="0" borderId="13468" xfId="0" applyFont="1" applyBorder="1" applyAlignment="1"/>
    <xf numFmtId="0" fontId="13469" fillId="0" borderId="13469" xfId="0" applyFont="1" applyBorder="1" applyAlignment="1"/>
    <xf numFmtId="0" fontId="13470" fillId="0" borderId="13470" xfId="0" applyFont="1" applyBorder="1" applyAlignment="1"/>
    <xf numFmtId="0" fontId="13471" fillId="0" borderId="13471" xfId="0" applyFont="1" applyBorder="1" applyAlignment="1"/>
    <xf numFmtId="0" fontId="13472" fillId="0" borderId="13472" xfId="0" applyFont="1" applyBorder="1" applyAlignment="1"/>
    <xf numFmtId="0" fontId="13473" fillId="0" borderId="13473" xfId="0" applyFont="1" applyBorder="1" applyAlignment="1"/>
    <xf numFmtId="0" fontId="13474" fillId="0" borderId="13474" xfId="0" applyFont="1" applyBorder="1" applyAlignment="1"/>
    <xf numFmtId="0" fontId="13475" fillId="0" borderId="13475" xfId="0" applyFont="1" applyBorder="1" applyAlignment="1"/>
    <xf numFmtId="0" fontId="13476" fillId="0" borderId="13476" xfId="0" applyFont="1" applyBorder="1" applyAlignment="1"/>
    <xf numFmtId="0" fontId="13477" fillId="0" borderId="13477" xfId="0" applyFont="1" applyBorder="1" applyAlignment="1"/>
    <xf numFmtId="0" fontId="13478" fillId="0" borderId="13478" xfId="0" applyFont="1" applyBorder="1" applyAlignment="1"/>
    <xf numFmtId="0" fontId="13479" fillId="0" borderId="13479" xfId="0" applyFont="1" applyBorder="1" applyAlignment="1"/>
    <xf numFmtId="0" fontId="13480" fillId="0" borderId="13480" xfId="0" applyFont="1" applyBorder="1" applyAlignment="1"/>
    <xf numFmtId="0" fontId="13481" fillId="0" borderId="13481" xfId="0" applyFont="1" applyBorder="1" applyAlignment="1"/>
    <xf numFmtId="0" fontId="13482" fillId="0" borderId="13482" xfId="0" applyFont="1" applyBorder="1" applyAlignment="1"/>
    <xf numFmtId="0" fontId="13483" fillId="0" borderId="13483" xfId="0" applyFont="1" applyBorder="1" applyAlignment="1"/>
    <xf numFmtId="0" fontId="13484" fillId="0" borderId="13484" xfId="0" applyFont="1" applyBorder="1" applyAlignment="1"/>
    <xf numFmtId="0" fontId="13485" fillId="0" borderId="13485" xfId="0" applyFont="1" applyBorder="1" applyAlignment="1"/>
    <xf numFmtId="0" fontId="13486" fillId="0" borderId="13486" xfId="0" applyFont="1" applyBorder="1" applyAlignment="1"/>
    <xf numFmtId="0" fontId="13487" fillId="0" borderId="13487" xfId="0" applyFont="1" applyBorder="1" applyAlignment="1"/>
    <xf numFmtId="0" fontId="13488" fillId="0" borderId="13488" xfId="0" applyFont="1" applyBorder="1" applyAlignment="1"/>
    <xf numFmtId="0" fontId="13489" fillId="0" borderId="13489" xfId="0" applyFont="1" applyBorder="1" applyAlignment="1"/>
    <xf numFmtId="0" fontId="13490" fillId="0" borderId="13490" xfId="0" applyFont="1" applyBorder="1" applyAlignment="1"/>
    <xf numFmtId="0" fontId="13491" fillId="0" borderId="13491" xfId="0" applyFont="1" applyBorder="1" applyAlignment="1"/>
    <xf numFmtId="0" fontId="13492" fillId="0" borderId="13492" xfId="0" applyFont="1" applyBorder="1" applyAlignment="1"/>
    <xf numFmtId="0" fontId="13493" fillId="0" borderId="13493" xfId="0" applyFont="1" applyBorder="1" applyAlignment="1"/>
    <xf numFmtId="0" fontId="13494" fillId="0" borderId="13494" xfId="0" applyFont="1" applyBorder="1" applyAlignment="1"/>
    <xf numFmtId="0" fontId="13495" fillId="0" borderId="13495" xfId="0" applyFont="1" applyBorder="1" applyAlignment="1"/>
    <xf numFmtId="0" fontId="13496" fillId="0" borderId="13496" xfId="0" applyFont="1" applyBorder="1" applyAlignment="1"/>
    <xf numFmtId="0" fontId="13497" fillId="0" borderId="13497" xfId="0" applyFont="1" applyBorder="1" applyAlignment="1"/>
    <xf numFmtId="0" fontId="13498" fillId="0" borderId="13498" xfId="0" applyFont="1" applyBorder="1" applyAlignment="1"/>
    <xf numFmtId="0" fontId="13499" fillId="0" borderId="13499" xfId="0" applyFont="1" applyBorder="1" applyAlignment="1"/>
    <xf numFmtId="0" fontId="13500" fillId="0" borderId="13500" xfId="0" applyFont="1" applyBorder="1" applyAlignment="1"/>
    <xf numFmtId="0" fontId="13501" fillId="0" borderId="13501" xfId="0" applyFont="1" applyBorder="1" applyAlignment="1"/>
    <xf numFmtId="0" fontId="13502" fillId="0" borderId="13502" xfId="0" applyFont="1" applyBorder="1" applyAlignment="1"/>
    <xf numFmtId="0" fontId="13503" fillId="0" borderId="13503" xfId="0" applyFont="1" applyBorder="1" applyAlignment="1"/>
    <xf numFmtId="0" fontId="13504" fillId="0" borderId="13504" xfId="0" applyFont="1" applyBorder="1" applyAlignment="1"/>
    <xf numFmtId="0" fontId="13505" fillId="0" borderId="13505" xfId="0" applyFont="1" applyBorder="1" applyAlignment="1"/>
    <xf numFmtId="0" fontId="13506" fillId="0" borderId="13506" xfId="0" applyFont="1" applyBorder="1" applyAlignment="1"/>
    <xf numFmtId="0" fontId="13507" fillId="0" borderId="13507" xfId="0" applyFont="1" applyBorder="1" applyAlignment="1"/>
    <xf numFmtId="0" fontId="13508" fillId="0" borderId="13508" xfId="0" applyFont="1" applyBorder="1" applyAlignment="1"/>
    <xf numFmtId="0" fontId="13509" fillId="0" borderId="13509" xfId="0" applyFont="1" applyBorder="1" applyAlignment="1"/>
    <xf numFmtId="0" fontId="13510" fillId="0" borderId="13510" xfId="0" applyFont="1" applyBorder="1" applyAlignment="1"/>
    <xf numFmtId="0" fontId="13511" fillId="0" borderId="13511" xfId="0" applyFont="1" applyBorder="1" applyAlignment="1"/>
    <xf numFmtId="0" fontId="13512" fillId="0" borderId="13512" xfId="0" applyFont="1" applyBorder="1" applyAlignment="1"/>
    <xf numFmtId="0" fontId="13513" fillId="0" borderId="13513" xfId="0" applyFont="1" applyBorder="1" applyAlignment="1"/>
    <xf numFmtId="0" fontId="13514" fillId="0" borderId="13514" xfId="0" applyFont="1" applyBorder="1" applyAlignment="1"/>
    <xf numFmtId="0" fontId="13515" fillId="0" borderId="13515" xfId="0" applyFont="1" applyBorder="1" applyAlignment="1"/>
    <xf numFmtId="0" fontId="13516" fillId="0" borderId="13516" xfId="0" applyFont="1" applyBorder="1" applyAlignment="1"/>
    <xf numFmtId="0" fontId="13517" fillId="0" borderId="13517" xfId="0" applyFont="1" applyBorder="1" applyAlignment="1"/>
    <xf numFmtId="0" fontId="13518" fillId="0" borderId="13518" xfId="0" applyFont="1" applyBorder="1" applyAlignment="1"/>
    <xf numFmtId="0" fontId="13519" fillId="0" borderId="13519" xfId="0" applyFont="1" applyBorder="1" applyAlignment="1"/>
    <xf numFmtId="0" fontId="13520" fillId="0" borderId="13520" xfId="0" applyFont="1" applyBorder="1" applyAlignment="1"/>
    <xf numFmtId="0" fontId="13521" fillId="0" borderId="13521" xfId="0" applyFont="1" applyBorder="1" applyAlignment="1"/>
    <xf numFmtId="0" fontId="13522" fillId="0" borderId="13522" xfId="0" applyFont="1" applyBorder="1" applyAlignment="1"/>
    <xf numFmtId="0" fontId="13523" fillId="0" borderId="13523" xfId="0" applyFont="1" applyBorder="1" applyAlignment="1"/>
    <xf numFmtId="0" fontId="13524" fillId="0" borderId="13524" xfId="0" applyFont="1" applyBorder="1" applyAlignment="1"/>
    <xf numFmtId="0" fontId="13525" fillId="0" borderId="13525" xfId="0" applyFont="1" applyBorder="1" applyAlignment="1"/>
    <xf numFmtId="0" fontId="13526" fillId="0" borderId="13526" xfId="0" applyFont="1" applyBorder="1" applyAlignment="1"/>
    <xf numFmtId="0" fontId="13527" fillId="0" borderId="13527" xfId="0" applyFont="1" applyBorder="1" applyAlignment="1"/>
    <xf numFmtId="0" fontId="13528" fillId="0" borderId="13528" xfId="0" applyFont="1" applyBorder="1" applyAlignment="1"/>
    <xf numFmtId="0" fontId="13529" fillId="0" borderId="13529" xfId="0" applyFont="1" applyBorder="1" applyAlignment="1"/>
    <xf numFmtId="0" fontId="13530" fillId="0" borderId="13530" xfId="0" applyFont="1" applyBorder="1" applyAlignment="1"/>
    <xf numFmtId="0" fontId="13531" fillId="0" borderId="13531" xfId="0" applyFont="1" applyBorder="1" applyAlignment="1"/>
    <xf numFmtId="0" fontId="13532" fillId="0" borderId="13532" xfId="0" applyFont="1" applyBorder="1" applyAlignment="1"/>
    <xf numFmtId="0" fontId="13533" fillId="0" borderId="13533" xfId="0" applyFont="1" applyBorder="1" applyAlignment="1"/>
    <xf numFmtId="0" fontId="13534" fillId="0" borderId="13534" xfId="0" applyFont="1" applyBorder="1" applyAlignment="1"/>
    <xf numFmtId="0" fontId="13535" fillId="0" borderId="13535" xfId="0" applyFont="1" applyBorder="1" applyAlignment="1"/>
    <xf numFmtId="0" fontId="13536" fillId="0" borderId="13536" xfId="0" applyFont="1" applyBorder="1" applyAlignment="1"/>
    <xf numFmtId="0" fontId="13537" fillId="0" borderId="13537" xfId="0" applyFont="1" applyBorder="1" applyAlignment="1"/>
    <xf numFmtId="0" fontId="13538" fillId="0" borderId="13538" xfId="0" applyFont="1" applyBorder="1" applyAlignment="1"/>
    <xf numFmtId="0" fontId="13539" fillId="0" borderId="13539" xfId="0" applyFont="1" applyBorder="1" applyAlignment="1"/>
    <xf numFmtId="0" fontId="13540" fillId="0" borderId="13540" xfId="0" applyFont="1" applyBorder="1" applyAlignment="1"/>
    <xf numFmtId="0" fontId="13541" fillId="0" borderId="13541" xfId="0" applyFont="1" applyBorder="1" applyAlignment="1"/>
    <xf numFmtId="0" fontId="13542" fillId="0" borderId="13542" xfId="0" applyFont="1" applyBorder="1" applyAlignment="1"/>
    <xf numFmtId="0" fontId="13543" fillId="0" borderId="13543" xfId="0" applyFont="1" applyBorder="1" applyAlignment="1"/>
    <xf numFmtId="0" fontId="13544" fillId="0" borderId="13544" xfId="0" applyFont="1" applyBorder="1" applyAlignment="1"/>
    <xf numFmtId="0" fontId="13545" fillId="0" borderId="13545" xfId="0" applyFont="1" applyBorder="1" applyAlignment="1"/>
    <xf numFmtId="0" fontId="13546" fillId="0" borderId="13546" xfId="0" applyFont="1" applyBorder="1" applyAlignment="1"/>
    <xf numFmtId="0" fontId="13547" fillId="0" borderId="13547" xfId="0" applyFont="1" applyBorder="1" applyAlignment="1"/>
    <xf numFmtId="0" fontId="13548" fillId="0" borderId="13548" xfId="0" applyFont="1" applyBorder="1" applyAlignment="1"/>
    <xf numFmtId="0" fontId="13549" fillId="0" borderId="13549" xfId="0" applyFont="1" applyBorder="1" applyAlignment="1"/>
    <xf numFmtId="0" fontId="13550" fillId="0" borderId="13550" xfId="0" applyFont="1" applyBorder="1" applyAlignment="1"/>
    <xf numFmtId="0" fontId="13551" fillId="0" borderId="13551" xfId="0" applyFont="1" applyBorder="1" applyAlignment="1"/>
    <xf numFmtId="0" fontId="13552" fillId="0" borderId="13552" xfId="0" applyFont="1" applyBorder="1" applyAlignment="1"/>
    <xf numFmtId="0" fontId="13553" fillId="0" borderId="13553" xfId="0" applyFont="1" applyBorder="1" applyAlignment="1"/>
    <xf numFmtId="0" fontId="13554" fillId="0" borderId="13554" xfId="0" applyFont="1" applyBorder="1" applyAlignment="1"/>
    <xf numFmtId="0" fontId="13555" fillId="0" borderId="13555" xfId="0" applyFont="1" applyBorder="1" applyAlignment="1"/>
    <xf numFmtId="0" fontId="13556" fillId="0" borderId="13556" xfId="0" applyFont="1" applyBorder="1" applyAlignment="1"/>
    <xf numFmtId="0" fontId="13557" fillId="0" borderId="13557" xfId="0" applyFont="1" applyBorder="1" applyAlignment="1"/>
    <xf numFmtId="0" fontId="13558" fillId="0" borderId="13558" xfId="0" applyFont="1" applyBorder="1" applyAlignment="1"/>
    <xf numFmtId="0" fontId="13559" fillId="0" borderId="13559" xfId="0" applyFont="1" applyBorder="1" applyAlignment="1"/>
    <xf numFmtId="0" fontId="13560" fillId="0" borderId="13560" xfId="0" applyFont="1" applyBorder="1" applyAlignment="1"/>
    <xf numFmtId="0" fontId="13561" fillId="0" borderId="13561" xfId="0" applyFont="1" applyBorder="1" applyAlignment="1"/>
    <xf numFmtId="0" fontId="13562" fillId="0" borderId="13562" xfId="0" applyFont="1" applyBorder="1" applyAlignment="1"/>
    <xf numFmtId="0" fontId="13563" fillId="0" borderId="13563" xfId="0" applyFont="1" applyBorder="1" applyAlignment="1"/>
    <xf numFmtId="0" fontId="13564" fillId="0" borderId="13564" xfId="0" applyFont="1" applyBorder="1" applyAlignment="1"/>
    <xf numFmtId="0" fontId="13565" fillId="0" borderId="13565" xfId="0" applyFont="1" applyBorder="1" applyAlignment="1"/>
    <xf numFmtId="0" fontId="13566" fillId="0" borderId="13566" xfId="0" applyFont="1" applyBorder="1" applyAlignment="1"/>
    <xf numFmtId="0" fontId="13567" fillId="0" borderId="13567" xfId="0" applyFont="1" applyBorder="1" applyAlignment="1"/>
    <xf numFmtId="0" fontId="13568" fillId="0" borderId="13568" xfId="0" applyFont="1" applyBorder="1" applyAlignment="1"/>
    <xf numFmtId="0" fontId="13569" fillId="0" borderId="13569" xfId="0" applyFont="1" applyBorder="1" applyAlignment="1"/>
    <xf numFmtId="0" fontId="13570" fillId="0" borderId="13570" xfId="0" applyFont="1" applyBorder="1" applyAlignment="1"/>
    <xf numFmtId="0" fontId="13571" fillId="0" borderId="13571" xfId="0" applyFont="1" applyBorder="1" applyAlignment="1"/>
    <xf numFmtId="0" fontId="13572" fillId="0" borderId="13572" xfId="0" applyFont="1" applyBorder="1" applyAlignment="1"/>
    <xf numFmtId="0" fontId="13573" fillId="0" borderId="13573" xfId="0" applyFont="1" applyBorder="1" applyAlignment="1"/>
    <xf numFmtId="0" fontId="13574" fillId="0" borderId="13574" xfId="0" applyFont="1" applyBorder="1" applyAlignment="1"/>
    <xf numFmtId="0" fontId="13575" fillId="0" borderId="13575" xfId="0" applyFont="1" applyBorder="1" applyAlignment="1"/>
    <xf numFmtId="0" fontId="13576" fillId="0" borderId="13576" xfId="0" applyFont="1" applyBorder="1" applyAlignment="1"/>
    <xf numFmtId="0" fontId="13577" fillId="0" borderId="13577" xfId="0" applyFont="1" applyBorder="1" applyAlignment="1"/>
    <xf numFmtId="0" fontId="13578" fillId="0" borderId="13578" xfId="0" applyFont="1" applyBorder="1" applyAlignment="1"/>
    <xf numFmtId="0" fontId="13579" fillId="0" borderId="13579" xfId="0" applyFont="1" applyBorder="1" applyAlignment="1"/>
    <xf numFmtId="0" fontId="13580" fillId="0" borderId="13580" xfId="0" applyFont="1" applyBorder="1" applyAlignment="1"/>
    <xf numFmtId="0" fontId="13581" fillId="0" borderId="13581" xfId="0" applyFont="1" applyBorder="1" applyAlignment="1"/>
    <xf numFmtId="0" fontId="13582" fillId="0" borderId="13582" xfId="0" applyFont="1" applyBorder="1" applyAlignment="1"/>
    <xf numFmtId="0" fontId="13583" fillId="0" borderId="13583" xfId="0" applyFont="1" applyBorder="1" applyAlignment="1"/>
    <xf numFmtId="0" fontId="13584" fillId="0" borderId="13584" xfId="0" applyFont="1" applyBorder="1" applyAlignment="1"/>
    <xf numFmtId="0" fontId="13585" fillId="0" borderId="13585" xfId="0" applyFont="1" applyBorder="1" applyAlignment="1"/>
    <xf numFmtId="0" fontId="13586" fillId="0" borderId="13586" xfId="0" applyFont="1" applyBorder="1" applyAlignment="1"/>
    <xf numFmtId="0" fontId="13587" fillId="0" borderId="13587" xfId="0" applyFont="1" applyBorder="1" applyAlignment="1"/>
    <xf numFmtId="0" fontId="13588" fillId="0" borderId="13588" xfId="0" applyFont="1" applyBorder="1" applyAlignment="1"/>
    <xf numFmtId="0" fontId="13589" fillId="0" borderId="13589" xfId="0" applyFont="1" applyBorder="1" applyAlignment="1"/>
    <xf numFmtId="0" fontId="13590" fillId="0" borderId="13590" xfId="0" applyFont="1" applyBorder="1" applyAlignment="1"/>
    <xf numFmtId="0" fontId="13591" fillId="0" borderId="13591" xfId="0" applyFont="1" applyBorder="1" applyAlignment="1"/>
    <xf numFmtId="0" fontId="13592" fillId="0" borderId="13592" xfId="0" applyFont="1" applyBorder="1" applyAlignment="1"/>
    <xf numFmtId="0" fontId="13593" fillId="0" borderId="13593" xfId="0" applyFont="1" applyBorder="1" applyAlignment="1"/>
    <xf numFmtId="0" fontId="13594" fillId="0" borderId="13594" xfId="0" applyFont="1" applyBorder="1" applyAlignment="1"/>
    <xf numFmtId="0" fontId="13595" fillId="0" borderId="13595" xfId="0" applyFont="1" applyBorder="1" applyAlignment="1"/>
    <xf numFmtId="0" fontId="13596" fillId="0" borderId="13596" xfId="0" applyFont="1" applyBorder="1" applyAlignment="1"/>
    <xf numFmtId="0" fontId="13597" fillId="0" borderId="13597" xfId="0" applyFont="1" applyBorder="1" applyAlignment="1"/>
    <xf numFmtId="0" fontId="13598" fillId="0" borderId="13598" xfId="0" applyFont="1" applyBorder="1" applyAlignment="1"/>
    <xf numFmtId="0" fontId="13599" fillId="0" borderId="13599" xfId="0" applyFont="1" applyAlignment="1"/>
    <xf numFmtId="0" fontId="13600" fillId="0" borderId="13599" xfId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/>
  <dimension ref="A1:J1511"/>
  <sheetViews>
    <sheetView tabSelected="1" workbookViewId="0">
      <selection activeCell="K1" sqref="K1:K1048576"/>
    </sheetView>
  </sheetViews>
  <sheetFormatPr defaultRowHeight="15" outlineLevelRow="5"/>
  <cols>
    <col min="10" max="10" width="17.42578125" bestFit="1" customWidth="1"/>
  </cols>
  <sheetData>
    <row r="1" spans="1:10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t="s">
        <v>9</v>
      </c>
    </row>
    <row r="2" spans="1:10" ht="15.75">
      <c r="A2" s="10" t="s">
        <v>10</v>
      </c>
      <c r="B2" s="1520" t="s">
        <v>11</v>
      </c>
      <c r="C2" s="3030" t="s">
        <v>12</v>
      </c>
      <c r="D2" s="4540" t="s">
        <v>13</v>
      </c>
      <c r="E2" s="6050"/>
      <c r="F2" s="7560" t="s">
        <v>14</v>
      </c>
      <c r="G2" s="9070" t="s">
        <v>15</v>
      </c>
      <c r="H2" s="10580">
        <v>1</v>
      </c>
      <c r="I2" s="12090" t="s">
        <v>16</v>
      </c>
      <c r="J2" s="13600" t="str">
        <f>HYPERLINK("\\192.168.170.18\drawings\5-Projects\2500 - Aabenraa\Area 04 - Digester Area\2500-404-006-- - Digester Area.pdf", "PDF")</f>
        <v>PDF</v>
      </c>
    </row>
    <row r="3" spans="1:10" ht="15.75" outlineLevel="1">
      <c r="A3" s="11" t="s">
        <v>17</v>
      </c>
      <c r="B3" s="1521" t="s">
        <v>18</v>
      </c>
      <c r="C3" s="3031" t="s">
        <v>19</v>
      </c>
      <c r="D3" s="4541" t="s">
        <v>20</v>
      </c>
      <c r="E3" s="6051"/>
      <c r="F3" s="7561" t="s">
        <v>21</v>
      </c>
      <c r="G3" s="9071" t="s">
        <v>15</v>
      </c>
      <c r="H3" s="10581">
        <v>1</v>
      </c>
      <c r="I3" s="12091" t="s">
        <v>16</v>
      </c>
      <c r="J3" s="13600" t="str">
        <f>HYPERLINK("\\192.168.170.18\drawings\5-Projects\2500 - Aabenraa\Area 04 - Digester Area\Piping\2500-04-BG062-12-C - Biogas pipe - DN250 - BG.pdf", "PDF")</f>
        <v>PDF</v>
      </c>
    </row>
    <row r="4" spans="1:10" outlineLevel="2">
      <c r="A4" s="12" t="s">
        <v>22</v>
      </c>
      <c r="B4" s="1522" t="s">
        <v>23</v>
      </c>
      <c r="C4" s="3032" t="s">
        <v>24</v>
      </c>
      <c r="D4" s="4542"/>
      <c r="E4" s="6052" t="s">
        <v>25</v>
      </c>
      <c r="F4" s="7562" t="s">
        <v>26</v>
      </c>
      <c r="G4" s="9072" t="s">
        <v>27</v>
      </c>
      <c r="H4" s="10582">
        <v>21</v>
      </c>
      <c r="I4" s="12092"/>
      <c r="J4" t="s">
        <v>28</v>
      </c>
    </row>
    <row r="5" spans="1:10" outlineLevel="2">
      <c r="A5" s="13" t="s">
        <v>29</v>
      </c>
      <c r="B5" s="1523" t="s">
        <v>30</v>
      </c>
      <c r="C5" s="3033" t="s">
        <v>31</v>
      </c>
      <c r="D5" s="4543"/>
      <c r="E5" s="6053" t="s">
        <v>32</v>
      </c>
      <c r="F5" s="7563" t="s">
        <v>33</v>
      </c>
      <c r="G5" s="9073" t="s">
        <v>27</v>
      </c>
      <c r="H5" s="10583">
        <v>21</v>
      </c>
      <c r="I5" s="12093"/>
      <c r="J5" t="s">
        <v>28</v>
      </c>
    </row>
    <row r="6" spans="1:10" outlineLevel="2">
      <c r="A6" s="14" t="s">
        <v>34</v>
      </c>
      <c r="B6" s="1524" t="s">
        <v>35</v>
      </c>
      <c r="C6" s="3034" t="s">
        <v>36</v>
      </c>
      <c r="D6" s="4544"/>
      <c r="E6" s="6054" t="s">
        <v>25</v>
      </c>
      <c r="F6" s="7564" t="s">
        <v>37</v>
      </c>
      <c r="G6" s="9074" t="s">
        <v>15</v>
      </c>
      <c r="H6" s="10584">
        <v>1</v>
      </c>
      <c r="I6" s="12094" t="s">
        <v>16</v>
      </c>
      <c r="J6" t="s">
        <v>28</v>
      </c>
    </row>
    <row r="7" spans="1:10" outlineLevel="2">
      <c r="A7" s="15" t="s">
        <v>38</v>
      </c>
      <c r="B7" s="1525" t="s">
        <v>39</v>
      </c>
      <c r="C7" s="3035" t="s">
        <v>40</v>
      </c>
      <c r="D7" s="4545"/>
      <c r="E7" s="6055" t="s">
        <v>41</v>
      </c>
      <c r="F7" s="7565" t="s">
        <v>42</v>
      </c>
      <c r="G7" s="9075" t="s">
        <v>27</v>
      </c>
      <c r="H7" s="10585">
        <v>1</v>
      </c>
      <c r="I7" s="12095" t="s">
        <v>16</v>
      </c>
      <c r="J7" t="s">
        <v>28</v>
      </c>
    </row>
    <row r="8" spans="1:10" outlineLevel="2">
      <c r="A8" s="16" t="s">
        <v>43</v>
      </c>
      <c r="B8" s="1526" t="s">
        <v>44</v>
      </c>
      <c r="C8" s="3036" t="s">
        <v>45</v>
      </c>
      <c r="D8" s="4546"/>
      <c r="E8" s="6056" t="s">
        <v>41</v>
      </c>
      <c r="F8" s="7566" t="s">
        <v>46</v>
      </c>
      <c r="G8" s="9076" t="s">
        <v>15</v>
      </c>
      <c r="H8" s="10586">
        <v>2</v>
      </c>
      <c r="I8" s="12096" t="s">
        <v>16</v>
      </c>
      <c r="J8" t="s">
        <v>28</v>
      </c>
    </row>
    <row r="9" spans="1:10" outlineLevel="2">
      <c r="A9" s="17" t="s">
        <v>47</v>
      </c>
      <c r="B9" s="1527" t="s">
        <v>48</v>
      </c>
      <c r="C9" s="3037" t="s">
        <v>49</v>
      </c>
      <c r="D9" s="4547"/>
      <c r="E9" s="6057" t="s">
        <v>25</v>
      </c>
      <c r="F9" s="7567" t="s">
        <v>50</v>
      </c>
      <c r="G9" s="9077" t="s">
        <v>27</v>
      </c>
      <c r="H9" s="10587">
        <v>4</v>
      </c>
      <c r="I9" s="12097" t="s">
        <v>16</v>
      </c>
      <c r="J9" t="s">
        <v>28</v>
      </c>
    </row>
    <row r="10" spans="1:10" ht="15.75" outlineLevel="2">
      <c r="A10" s="18" t="s">
        <v>51</v>
      </c>
      <c r="B10" s="1528" t="s">
        <v>52</v>
      </c>
      <c r="C10" s="3038" t="s">
        <v>53</v>
      </c>
      <c r="D10" s="4548"/>
      <c r="E10" s="6058" t="s">
        <v>32</v>
      </c>
      <c r="F10" s="7568" t="s">
        <v>54</v>
      </c>
      <c r="G10" s="9078" t="s">
        <v>15</v>
      </c>
      <c r="H10" s="10588">
        <v>5</v>
      </c>
      <c r="I10" s="12098" t="s">
        <v>16</v>
      </c>
      <c r="J10" s="13600" t="str">
        <f>HYPERLINK("\\192.168.170.18\drawings\2-Basic Components\0000-342 - Pipe Holders\0000-342-285-- - Top mounting-Pipe Holder DN250-Ø273.pdf", "PDF")</f>
        <v>PDF</v>
      </c>
    </row>
    <row r="11" spans="1:10" ht="15.75" outlineLevel="2">
      <c r="A11" s="19" t="s">
        <v>55</v>
      </c>
      <c r="B11" s="1529" t="s">
        <v>56</v>
      </c>
      <c r="C11" s="3039" t="s">
        <v>57</v>
      </c>
      <c r="D11" s="4549"/>
      <c r="E11" s="6059" t="s">
        <v>32</v>
      </c>
      <c r="F11" s="7569" t="s">
        <v>58</v>
      </c>
      <c r="G11" s="9079" t="s">
        <v>15</v>
      </c>
      <c r="H11" s="10589">
        <v>6</v>
      </c>
      <c r="I11" s="12099" t="s">
        <v>16</v>
      </c>
      <c r="J11" s="13600" t="str">
        <f>HYPERLINK("\\192.168.170.18\drawings\2-Basic Components\0000-342 - Pipe Holders\0000-342-031-- - Pipe Holder DN250-Ø273.pdf", "PDF")</f>
        <v>PDF</v>
      </c>
    </row>
    <row r="12" spans="1:10" outlineLevel="2">
      <c r="A12" s="20" t="s">
        <v>59</v>
      </c>
      <c r="B12" s="1530" t="s">
        <v>60</v>
      </c>
      <c r="C12" s="3040" t="s">
        <v>61</v>
      </c>
      <c r="D12" s="4550"/>
      <c r="E12" s="6060" t="s">
        <v>25</v>
      </c>
      <c r="F12" s="7570" t="s">
        <v>62</v>
      </c>
      <c r="G12" s="9080" t="s">
        <v>15</v>
      </c>
      <c r="H12" s="10590">
        <v>2</v>
      </c>
      <c r="I12" s="12100" t="s">
        <v>16</v>
      </c>
      <c r="J12" t="s">
        <v>28</v>
      </c>
    </row>
    <row r="13" spans="1:10" outlineLevel="2">
      <c r="A13" s="21" t="s">
        <v>63</v>
      </c>
      <c r="B13" s="1531" t="s">
        <v>48</v>
      </c>
      <c r="C13" s="3041" t="s">
        <v>64</v>
      </c>
      <c r="D13" s="4551"/>
      <c r="E13" s="6061" t="s">
        <v>25</v>
      </c>
      <c r="F13" s="7571" t="s">
        <v>65</v>
      </c>
      <c r="G13" s="9081" t="s">
        <v>27</v>
      </c>
      <c r="H13" s="10591">
        <v>4</v>
      </c>
      <c r="I13" s="12101"/>
      <c r="J13" t="s">
        <v>28</v>
      </c>
    </row>
    <row r="14" spans="1:10" outlineLevel="2">
      <c r="A14" s="22" t="s">
        <v>66</v>
      </c>
      <c r="B14" s="1532" t="s">
        <v>67</v>
      </c>
      <c r="C14" s="3042" t="s">
        <v>68</v>
      </c>
      <c r="D14" s="4552"/>
      <c r="E14" s="6062" t="s">
        <v>25</v>
      </c>
      <c r="F14" s="7572" t="s">
        <v>69</v>
      </c>
      <c r="G14" s="9082" t="s">
        <v>27</v>
      </c>
      <c r="H14" s="10592">
        <v>1</v>
      </c>
      <c r="I14" s="12102" t="s">
        <v>16</v>
      </c>
      <c r="J14" t="s">
        <v>28</v>
      </c>
    </row>
    <row r="15" spans="1:10" outlineLevel="2">
      <c r="A15" s="23" t="s">
        <v>70</v>
      </c>
      <c r="B15" s="1533" t="s">
        <v>23</v>
      </c>
      <c r="C15" s="3043" t="s">
        <v>71</v>
      </c>
      <c r="D15" s="4553"/>
      <c r="E15" s="6063" t="s">
        <v>25</v>
      </c>
      <c r="F15" s="7573" t="s">
        <v>72</v>
      </c>
      <c r="G15" s="9083" t="s">
        <v>27</v>
      </c>
      <c r="H15" s="10593">
        <v>1</v>
      </c>
      <c r="I15" s="12103"/>
      <c r="J15" t="s">
        <v>28</v>
      </c>
    </row>
    <row r="16" spans="1:10" outlineLevel="2">
      <c r="A16" s="24" t="s">
        <v>73</v>
      </c>
      <c r="B16" s="1534" t="s">
        <v>30</v>
      </c>
      <c r="C16" s="3044" t="s">
        <v>74</v>
      </c>
      <c r="D16" s="4554"/>
      <c r="E16" s="6064" t="s">
        <v>32</v>
      </c>
      <c r="F16" s="7574" t="s">
        <v>75</v>
      </c>
      <c r="G16" s="9084" t="s">
        <v>27</v>
      </c>
      <c r="H16" s="10594">
        <v>1</v>
      </c>
      <c r="I16" s="12104"/>
      <c r="J16" t="s">
        <v>28</v>
      </c>
    </row>
    <row r="17" spans="1:10" outlineLevel="2">
      <c r="A17" s="25" t="s">
        <v>76</v>
      </c>
      <c r="B17" s="1535" t="s">
        <v>77</v>
      </c>
      <c r="C17" s="3045" t="s">
        <v>78</v>
      </c>
      <c r="D17" s="4555"/>
      <c r="E17" s="6065" t="s">
        <v>25</v>
      </c>
      <c r="F17" s="7575" t="s">
        <v>79</v>
      </c>
      <c r="G17" s="9085" t="s">
        <v>27</v>
      </c>
      <c r="H17" s="10595">
        <v>1</v>
      </c>
      <c r="I17" s="12105"/>
      <c r="J17" t="s">
        <v>28</v>
      </c>
    </row>
    <row r="18" spans="1:10" outlineLevel="2">
      <c r="A18" s="26" t="s">
        <v>80</v>
      </c>
      <c r="B18" s="1536" t="s">
        <v>81</v>
      </c>
      <c r="C18" s="3046" t="s">
        <v>82</v>
      </c>
      <c r="D18" s="4556"/>
      <c r="E18" s="6066" t="s">
        <v>83</v>
      </c>
      <c r="F18" s="7576" t="s">
        <v>84</v>
      </c>
      <c r="G18" s="9086" t="s">
        <v>27</v>
      </c>
      <c r="H18" s="10596">
        <v>1</v>
      </c>
      <c r="I18" s="12106"/>
      <c r="J18" t="s">
        <v>28</v>
      </c>
    </row>
    <row r="19" spans="1:10" outlineLevel="1">
      <c r="A19" s="27" t="s">
        <v>85</v>
      </c>
      <c r="B19" s="1537" t="s">
        <v>86</v>
      </c>
      <c r="C19" s="3047" t="s">
        <v>87</v>
      </c>
      <c r="D19" s="4557" t="s">
        <v>13</v>
      </c>
      <c r="E19" s="6067"/>
      <c r="F19" s="7577" t="s">
        <v>88</v>
      </c>
      <c r="G19" s="9087" t="s">
        <v>15</v>
      </c>
      <c r="H19" s="10597">
        <v>1</v>
      </c>
      <c r="I19" s="12107" t="s">
        <v>16</v>
      </c>
      <c r="J19" t="s">
        <v>28</v>
      </c>
    </row>
    <row r="20" spans="1:10" outlineLevel="2">
      <c r="A20" s="28" t="s">
        <v>89</v>
      </c>
      <c r="B20" s="1538" t="s">
        <v>90</v>
      </c>
      <c r="C20" s="3048" t="s">
        <v>91</v>
      </c>
      <c r="D20" s="4558"/>
      <c r="E20" s="6068" t="s">
        <v>92</v>
      </c>
      <c r="F20" s="7578" t="s">
        <v>93</v>
      </c>
      <c r="G20" s="9088" t="s">
        <v>15</v>
      </c>
      <c r="H20" s="10598">
        <v>1</v>
      </c>
      <c r="I20" s="12108" t="s">
        <v>16</v>
      </c>
      <c r="J20" t="s">
        <v>28</v>
      </c>
    </row>
    <row r="21" spans="1:10" outlineLevel="2">
      <c r="A21" s="29" t="s">
        <v>94</v>
      </c>
      <c r="B21" s="1539" t="s">
        <v>95</v>
      </c>
      <c r="C21" s="3049" t="s">
        <v>96</v>
      </c>
      <c r="D21" s="4559"/>
      <c r="E21" s="6069" t="s">
        <v>97</v>
      </c>
      <c r="F21" s="7579" t="s">
        <v>98</v>
      </c>
      <c r="G21" s="9089" t="s">
        <v>15</v>
      </c>
      <c r="H21" s="10599">
        <v>1</v>
      </c>
      <c r="I21" s="12109" t="s">
        <v>16</v>
      </c>
      <c r="J21" t="s">
        <v>28</v>
      </c>
    </row>
    <row r="22" spans="1:10" outlineLevel="2">
      <c r="A22" s="30" t="s">
        <v>99</v>
      </c>
      <c r="B22" s="1540" t="s">
        <v>95</v>
      </c>
      <c r="C22" s="3050" t="s">
        <v>100</v>
      </c>
      <c r="D22" s="4560"/>
      <c r="E22" s="6070" t="s">
        <v>97</v>
      </c>
      <c r="F22" s="7580" t="s">
        <v>101</v>
      </c>
      <c r="G22" s="9090" t="s">
        <v>15</v>
      </c>
      <c r="H22" s="10600">
        <v>1</v>
      </c>
      <c r="I22" s="12110" t="s">
        <v>16</v>
      </c>
      <c r="J22" t="s">
        <v>28</v>
      </c>
    </row>
    <row r="23" spans="1:10" outlineLevel="2">
      <c r="A23" s="31" t="s">
        <v>102</v>
      </c>
      <c r="B23" s="1541" t="s">
        <v>81</v>
      </c>
      <c r="C23" s="3051" t="s">
        <v>82</v>
      </c>
      <c r="D23" s="4561"/>
      <c r="E23" s="6071" t="s">
        <v>83</v>
      </c>
      <c r="F23" s="7581" t="s">
        <v>84</v>
      </c>
      <c r="G23" s="9091" t="s">
        <v>27</v>
      </c>
      <c r="H23" s="10601">
        <v>3</v>
      </c>
      <c r="I23" s="12111"/>
      <c r="J23" t="s">
        <v>28</v>
      </c>
    </row>
    <row r="24" spans="1:10" outlineLevel="2">
      <c r="A24" s="32" t="s">
        <v>103</v>
      </c>
      <c r="B24" s="1542" t="s">
        <v>104</v>
      </c>
      <c r="C24" s="3052" t="s">
        <v>105</v>
      </c>
      <c r="D24" s="4562"/>
      <c r="E24" s="6072" t="s">
        <v>32</v>
      </c>
      <c r="F24" s="7582" t="s">
        <v>106</v>
      </c>
      <c r="G24" s="9092" t="s">
        <v>15</v>
      </c>
      <c r="H24" s="10602">
        <v>1</v>
      </c>
      <c r="I24" s="12112" t="s">
        <v>16</v>
      </c>
      <c r="J24" t="s">
        <v>28</v>
      </c>
    </row>
    <row r="25" spans="1:10" outlineLevel="2">
      <c r="A25" s="33" t="s">
        <v>107</v>
      </c>
      <c r="B25" s="1543" t="s">
        <v>108</v>
      </c>
      <c r="C25" s="3053" t="s">
        <v>109</v>
      </c>
      <c r="D25" s="4563"/>
      <c r="E25" s="6073" t="s">
        <v>83</v>
      </c>
      <c r="F25" s="7583" t="s">
        <v>110</v>
      </c>
      <c r="G25" s="9093" t="s">
        <v>27</v>
      </c>
      <c r="H25" s="10603">
        <v>1</v>
      </c>
      <c r="I25" s="12113"/>
      <c r="J25" t="s">
        <v>28</v>
      </c>
    </row>
    <row r="26" spans="1:10" outlineLevel="1">
      <c r="A26" s="34" t="s">
        <v>111</v>
      </c>
      <c r="B26" s="1544" t="s">
        <v>112</v>
      </c>
      <c r="C26" s="3054" t="s">
        <v>113</v>
      </c>
      <c r="D26" s="4564" t="s">
        <v>13</v>
      </c>
      <c r="E26" s="6074"/>
      <c r="F26" s="7584" t="s">
        <v>114</v>
      </c>
      <c r="G26" s="9094" t="s">
        <v>15</v>
      </c>
      <c r="H26" s="10604">
        <v>1</v>
      </c>
      <c r="I26" s="12114" t="s">
        <v>16</v>
      </c>
      <c r="J26" t="s">
        <v>28</v>
      </c>
    </row>
    <row r="27" spans="1:10" outlineLevel="2">
      <c r="A27" s="35" t="s">
        <v>115</v>
      </c>
      <c r="B27" s="1545" t="s">
        <v>95</v>
      </c>
      <c r="C27" s="3055" t="s">
        <v>116</v>
      </c>
      <c r="D27" s="4565"/>
      <c r="E27" s="6075" t="s">
        <v>97</v>
      </c>
      <c r="F27" s="7585" t="s">
        <v>117</v>
      </c>
      <c r="G27" s="9095" t="s">
        <v>15</v>
      </c>
      <c r="H27" s="10605">
        <v>1</v>
      </c>
      <c r="I27" s="12115" t="s">
        <v>16</v>
      </c>
      <c r="J27" t="s">
        <v>28</v>
      </c>
    </row>
    <row r="28" spans="1:10" outlineLevel="1">
      <c r="A28" s="36" t="s">
        <v>118</v>
      </c>
      <c r="B28" s="1546" t="s">
        <v>119</v>
      </c>
      <c r="C28" s="3056" t="s">
        <v>120</v>
      </c>
      <c r="D28" s="4566" t="s">
        <v>13</v>
      </c>
      <c r="E28" s="6076"/>
      <c r="F28" s="7586" t="s">
        <v>121</v>
      </c>
      <c r="G28" s="9096" t="s">
        <v>15</v>
      </c>
      <c r="H28" s="10606">
        <v>1</v>
      </c>
      <c r="I28" s="12116" t="s">
        <v>16</v>
      </c>
      <c r="J28" t="s">
        <v>28</v>
      </c>
    </row>
    <row r="29" spans="1:10" outlineLevel="2">
      <c r="A29" s="37" t="s">
        <v>122</v>
      </c>
      <c r="B29" s="1547" t="s">
        <v>95</v>
      </c>
      <c r="C29" s="3057" t="s">
        <v>123</v>
      </c>
      <c r="D29" s="4567"/>
      <c r="E29" s="6077" t="s">
        <v>97</v>
      </c>
      <c r="F29" s="7587" t="s">
        <v>124</v>
      </c>
      <c r="G29" s="9097" t="s">
        <v>15</v>
      </c>
      <c r="H29" s="10607">
        <v>1</v>
      </c>
      <c r="I29" s="12117" t="s">
        <v>16</v>
      </c>
      <c r="J29" t="s">
        <v>28</v>
      </c>
    </row>
    <row r="30" spans="1:10" outlineLevel="2">
      <c r="A30" s="38" t="s">
        <v>125</v>
      </c>
      <c r="B30" s="1548" t="s">
        <v>126</v>
      </c>
      <c r="C30" s="3058" t="s">
        <v>127</v>
      </c>
      <c r="D30" s="4568"/>
      <c r="E30" s="6078" t="s">
        <v>128</v>
      </c>
      <c r="F30" s="7588" t="s">
        <v>129</v>
      </c>
      <c r="G30" s="9098" t="s">
        <v>27</v>
      </c>
      <c r="H30" s="10608">
        <v>2</v>
      </c>
      <c r="I30" s="12118" t="s">
        <v>16</v>
      </c>
      <c r="J30" t="s">
        <v>28</v>
      </c>
    </row>
    <row r="31" spans="1:10" outlineLevel="2">
      <c r="A31" s="39" t="s">
        <v>130</v>
      </c>
      <c r="B31" s="1549" t="s">
        <v>126</v>
      </c>
      <c r="C31" s="3059" t="s">
        <v>131</v>
      </c>
      <c r="D31" s="4569"/>
      <c r="E31" s="6079" t="s">
        <v>128</v>
      </c>
      <c r="F31" s="7589" t="s">
        <v>132</v>
      </c>
      <c r="G31" s="9099" t="s">
        <v>27</v>
      </c>
      <c r="H31" s="10609">
        <v>2</v>
      </c>
      <c r="I31" s="12119" t="s">
        <v>16</v>
      </c>
      <c r="J31" t="s">
        <v>28</v>
      </c>
    </row>
    <row r="32" spans="1:10" outlineLevel="2">
      <c r="A32" s="40" t="s">
        <v>133</v>
      </c>
      <c r="B32" s="1550" t="s">
        <v>81</v>
      </c>
      <c r="C32" s="3060" t="s">
        <v>134</v>
      </c>
      <c r="D32" s="4570"/>
      <c r="E32" s="6080" t="s">
        <v>32</v>
      </c>
      <c r="F32" s="7590" t="s">
        <v>135</v>
      </c>
      <c r="G32" s="9100" t="s">
        <v>15</v>
      </c>
      <c r="H32" s="10610">
        <v>3</v>
      </c>
      <c r="I32" s="12120"/>
      <c r="J32" t="s">
        <v>28</v>
      </c>
    </row>
    <row r="33" spans="1:10" outlineLevel="2">
      <c r="A33" s="41" t="s">
        <v>136</v>
      </c>
      <c r="B33" s="1551" t="s">
        <v>137</v>
      </c>
      <c r="C33" s="3061" t="s">
        <v>138</v>
      </c>
      <c r="D33" s="4571"/>
      <c r="E33" s="6081" t="s">
        <v>128</v>
      </c>
      <c r="F33" s="7591" t="s">
        <v>139</v>
      </c>
      <c r="G33" s="9101" t="s">
        <v>27</v>
      </c>
      <c r="H33" s="10611">
        <v>9</v>
      </c>
      <c r="I33" s="12121" t="s">
        <v>16</v>
      </c>
      <c r="J33" t="s">
        <v>28</v>
      </c>
    </row>
    <row r="34" spans="1:10" outlineLevel="2">
      <c r="A34" s="42" t="s">
        <v>140</v>
      </c>
      <c r="B34" s="1552" t="s">
        <v>141</v>
      </c>
      <c r="C34" s="3062" t="s">
        <v>142</v>
      </c>
      <c r="D34" s="4572"/>
      <c r="E34" s="6082" t="s">
        <v>128</v>
      </c>
      <c r="F34" s="7592" t="s">
        <v>143</v>
      </c>
      <c r="G34" s="9102" t="s">
        <v>27</v>
      </c>
      <c r="H34" s="10612">
        <v>3</v>
      </c>
      <c r="I34" s="12122" t="s">
        <v>16</v>
      </c>
      <c r="J34" t="s">
        <v>28</v>
      </c>
    </row>
    <row r="35" spans="1:10" outlineLevel="2">
      <c r="A35" s="43" t="s">
        <v>144</v>
      </c>
      <c r="B35" s="1553" t="s">
        <v>95</v>
      </c>
      <c r="C35" s="3063" t="s">
        <v>145</v>
      </c>
      <c r="D35" s="4573"/>
      <c r="E35" s="6083" t="s">
        <v>97</v>
      </c>
      <c r="F35" s="7593" t="s">
        <v>146</v>
      </c>
      <c r="G35" s="9103" t="s">
        <v>15</v>
      </c>
      <c r="H35" s="10613">
        <v>1</v>
      </c>
      <c r="I35" s="12123" t="s">
        <v>16</v>
      </c>
      <c r="J35" t="s">
        <v>28</v>
      </c>
    </row>
    <row r="36" spans="1:10" outlineLevel="2">
      <c r="A36" s="44" t="s">
        <v>147</v>
      </c>
      <c r="B36" s="1554" t="s">
        <v>95</v>
      </c>
      <c r="C36" s="3064" t="s">
        <v>148</v>
      </c>
      <c r="D36" s="4574"/>
      <c r="E36" s="6084" t="s">
        <v>97</v>
      </c>
      <c r="F36" s="7594" t="s">
        <v>149</v>
      </c>
      <c r="G36" s="9104" t="s">
        <v>15</v>
      </c>
      <c r="H36" s="10614">
        <v>1</v>
      </c>
      <c r="I36" s="12124" t="s">
        <v>16</v>
      </c>
      <c r="J36" t="s">
        <v>28</v>
      </c>
    </row>
    <row r="37" spans="1:10" outlineLevel="1">
      <c r="A37" s="45" t="s">
        <v>150</v>
      </c>
      <c r="B37" s="1555" t="s">
        <v>151</v>
      </c>
      <c r="C37" s="3065" t="s">
        <v>152</v>
      </c>
      <c r="D37" s="4575" t="s">
        <v>13</v>
      </c>
      <c r="E37" s="6085" t="s">
        <v>153</v>
      </c>
      <c r="F37" s="7595" t="s">
        <v>154</v>
      </c>
      <c r="G37" s="9105" t="s">
        <v>15</v>
      </c>
      <c r="H37" s="10615">
        <v>1</v>
      </c>
      <c r="I37" s="12125" t="s">
        <v>16</v>
      </c>
      <c r="J37" t="s">
        <v>28</v>
      </c>
    </row>
    <row r="38" spans="1:10" ht="15.75" outlineLevel="1">
      <c r="A38" s="46" t="s">
        <v>155</v>
      </c>
      <c r="B38" s="1556" t="s">
        <v>156</v>
      </c>
      <c r="C38" s="3066" t="s">
        <v>157</v>
      </c>
      <c r="D38" s="4576" t="s">
        <v>20</v>
      </c>
      <c r="E38" s="6086"/>
      <c r="F38" s="7596" t="s">
        <v>158</v>
      </c>
      <c r="G38" s="9106" t="s">
        <v>15</v>
      </c>
      <c r="H38" s="10616">
        <v>1</v>
      </c>
      <c r="I38" s="12126" t="s">
        <v>16</v>
      </c>
      <c r="J38" s="13600" t="str">
        <f>HYPERLINK("\\192.168.170.18\drawings\5-Projects\2500 - Aabenraa\Area 04 - Digester Area\Eqiupment\2500-615 Digester\2500-615-012-A - Digester - Assembly - 9500m³.pdf", "PDF")</f>
        <v>PDF</v>
      </c>
    </row>
    <row r="39" spans="1:10" ht="15.75" outlineLevel="2">
      <c r="A39" s="47" t="s">
        <v>159</v>
      </c>
      <c r="B39" s="1557" t="s">
        <v>160</v>
      </c>
      <c r="C39" s="3067" t="s">
        <v>161</v>
      </c>
      <c r="D39" s="4577" t="s">
        <v>162</v>
      </c>
      <c r="E39" s="6087"/>
      <c r="F39" s="7597" t="s">
        <v>163</v>
      </c>
      <c r="G39" s="9107" t="s">
        <v>15</v>
      </c>
      <c r="H39" s="10617">
        <v>1</v>
      </c>
      <c r="I39" s="12127" t="s">
        <v>16</v>
      </c>
      <c r="J39" s="13600" t="str">
        <f>HYPERLINK("\\192.168.170.18\drawings\5-Projects\2500 - Aabenraa\Area 04 - Digester Area\Eqiupment\2500-615 Digester\2500-615-912-D - Digester 9500m³.pdf", "PDF")</f>
        <v>PDF</v>
      </c>
    </row>
    <row r="40" spans="1:10" outlineLevel="3">
      <c r="A40" s="48" t="s">
        <v>164</v>
      </c>
      <c r="B40" s="1558" t="s">
        <v>165</v>
      </c>
      <c r="C40" s="3068" t="s">
        <v>166</v>
      </c>
      <c r="D40" s="4578"/>
      <c r="E40" s="6088" t="s">
        <v>32</v>
      </c>
      <c r="F40" s="7598" t="s">
        <v>167</v>
      </c>
      <c r="G40" s="9108" t="s">
        <v>15</v>
      </c>
      <c r="H40" s="10618">
        <v>1</v>
      </c>
      <c r="I40" s="12128" t="s">
        <v>16</v>
      </c>
      <c r="J40" t="s">
        <v>28</v>
      </c>
    </row>
    <row r="41" spans="1:10" outlineLevel="3">
      <c r="A41" s="49" t="s">
        <v>168</v>
      </c>
      <c r="B41" s="1559" t="s">
        <v>169</v>
      </c>
      <c r="C41" s="3069" t="s">
        <v>170</v>
      </c>
      <c r="D41" s="4579"/>
      <c r="E41" s="6089" t="s">
        <v>32</v>
      </c>
      <c r="F41" s="7599" t="s">
        <v>171</v>
      </c>
      <c r="G41" s="9109" t="s">
        <v>15</v>
      </c>
      <c r="H41" s="10619">
        <v>1</v>
      </c>
      <c r="I41" s="12129" t="s">
        <v>16</v>
      </c>
      <c r="J41" t="s">
        <v>28</v>
      </c>
    </row>
    <row r="42" spans="1:10" outlineLevel="3">
      <c r="A42" s="50" t="s">
        <v>172</v>
      </c>
      <c r="B42" s="1560" t="s">
        <v>173</v>
      </c>
      <c r="C42" s="3070" t="s">
        <v>174</v>
      </c>
      <c r="D42" s="4580"/>
      <c r="E42" s="6090" t="s">
        <v>41</v>
      </c>
      <c r="F42" s="7600" t="s">
        <v>175</v>
      </c>
      <c r="G42" s="9110" t="s">
        <v>15</v>
      </c>
      <c r="H42" s="10620">
        <v>1</v>
      </c>
      <c r="I42" s="12130" t="s">
        <v>16</v>
      </c>
      <c r="J42" t="s">
        <v>28</v>
      </c>
    </row>
    <row r="43" spans="1:10" outlineLevel="3">
      <c r="A43" s="51" t="s">
        <v>176</v>
      </c>
      <c r="B43" s="1561" t="s">
        <v>177</v>
      </c>
      <c r="C43" s="3071" t="s">
        <v>178</v>
      </c>
      <c r="D43" s="4581"/>
      <c r="E43" s="6091" t="s">
        <v>32</v>
      </c>
      <c r="F43" s="7601" t="s">
        <v>179</v>
      </c>
      <c r="G43" s="9111" t="s">
        <v>15</v>
      </c>
      <c r="H43" s="10621">
        <v>1</v>
      </c>
      <c r="I43" s="12131" t="s">
        <v>16</v>
      </c>
      <c r="J43" t="s">
        <v>28</v>
      </c>
    </row>
    <row r="44" spans="1:10" outlineLevel="3">
      <c r="A44" s="52" t="s">
        <v>180</v>
      </c>
      <c r="B44" s="1562" t="s">
        <v>181</v>
      </c>
      <c r="C44" s="3072"/>
      <c r="D44" s="4582"/>
      <c r="E44" s="6092" t="s">
        <v>182</v>
      </c>
      <c r="F44" s="7602" t="s">
        <v>183</v>
      </c>
      <c r="G44" s="9112" t="s">
        <v>15</v>
      </c>
      <c r="H44" s="10622">
        <v>1</v>
      </c>
      <c r="I44" s="12132" t="s">
        <v>16</v>
      </c>
      <c r="J44" t="s">
        <v>28</v>
      </c>
    </row>
    <row r="45" spans="1:10" outlineLevel="3">
      <c r="A45" s="53" t="s">
        <v>184</v>
      </c>
      <c r="B45" s="1563" t="s">
        <v>185</v>
      </c>
      <c r="C45" s="3073" t="s">
        <v>186</v>
      </c>
      <c r="D45" s="4583"/>
      <c r="E45" s="6093" t="s">
        <v>32</v>
      </c>
      <c r="F45" s="7603" t="s">
        <v>187</v>
      </c>
      <c r="G45" s="9113" t="s">
        <v>15</v>
      </c>
      <c r="H45" s="10623">
        <v>1</v>
      </c>
      <c r="I45" s="12133" t="s">
        <v>16</v>
      </c>
      <c r="J45" t="s">
        <v>28</v>
      </c>
    </row>
    <row r="46" spans="1:10" outlineLevel="2">
      <c r="A46" s="54" t="s">
        <v>188</v>
      </c>
      <c r="B46" s="1564" t="s">
        <v>81</v>
      </c>
      <c r="C46" s="3074" t="s">
        <v>82</v>
      </c>
      <c r="D46" s="4584"/>
      <c r="E46" s="6094" t="s">
        <v>83</v>
      </c>
      <c r="F46" s="7604" t="s">
        <v>84</v>
      </c>
      <c r="G46" s="9114" t="s">
        <v>27</v>
      </c>
      <c r="H46" s="10624">
        <v>2</v>
      </c>
      <c r="I46" s="12134"/>
      <c r="J46" t="s">
        <v>28</v>
      </c>
    </row>
    <row r="47" spans="1:10" outlineLevel="2">
      <c r="A47" s="55" t="s">
        <v>189</v>
      </c>
      <c r="B47" s="1565" t="s">
        <v>190</v>
      </c>
      <c r="C47" s="3075" t="s">
        <v>191</v>
      </c>
      <c r="D47" s="4585"/>
      <c r="E47" s="6095" t="s">
        <v>16</v>
      </c>
      <c r="F47" s="7605" t="s">
        <v>192</v>
      </c>
      <c r="G47" s="9115" t="s">
        <v>27</v>
      </c>
      <c r="H47" s="10625">
        <v>1</v>
      </c>
      <c r="I47" s="12135"/>
      <c r="J47" t="s">
        <v>28</v>
      </c>
    </row>
    <row r="48" spans="1:10" outlineLevel="2">
      <c r="A48" s="56" t="s">
        <v>193</v>
      </c>
      <c r="B48" s="1566" t="s">
        <v>194</v>
      </c>
      <c r="C48" s="3076" t="s">
        <v>195</v>
      </c>
      <c r="D48" s="4586"/>
      <c r="E48" s="6096" t="s">
        <v>16</v>
      </c>
      <c r="F48" s="7606" t="s">
        <v>196</v>
      </c>
      <c r="G48" s="9116" t="s">
        <v>27</v>
      </c>
      <c r="H48" s="10626">
        <v>2</v>
      </c>
      <c r="I48" s="12136"/>
      <c r="J48" t="s">
        <v>28</v>
      </c>
    </row>
    <row r="49" spans="1:10" outlineLevel="2">
      <c r="A49" s="57" t="s">
        <v>197</v>
      </c>
      <c r="B49" s="1567" t="s">
        <v>81</v>
      </c>
      <c r="C49" s="3077" t="s">
        <v>198</v>
      </c>
      <c r="D49" s="4587"/>
      <c r="E49" s="6097" t="s">
        <v>32</v>
      </c>
      <c r="F49" s="7607" t="s">
        <v>199</v>
      </c>
      <c r="G49" s="9117" t="s">
        <v>15</v>
      </c>
      <c r="H49" s="10627">
        <v>2</v>
      </c>
      <c r="I49" s="12137"/>
      <c r="J49" t="s">
        <v>28</v>
      </c>
    </row>
    <row r="50" spans="1:10" outlineLevel="2">
      <c r="A50" s="58" t="s">
        <v>200</v>
      </c>
      <c r="B50" s="1568" t="s">
        <v>201</v>
      </c>
      <c r="C50" s="3078" t="s">
        <v>202</v>
      </c>
      <c r="D50" s="4588"/>
      <c r="E50" s="6098" t="s">
        <v>203</v>
      </c>
      <c r="F50" s="7608" t="s">
        <v>204</v>
      </c>
      <c r="G50" s="9118" t="s">
        <v>27</v>
      </c>
      <c r="H50" s="10628">
        <v>3</v>
      </c>
      <c r="I50" s="12138" t="s">
        <v>16</v>
      </c>
      <c r="J50" t="s">
        <v>28</v>
      </c>
    </row>
    <row r="51" spans="1:10" outlineLevel="2">
      <c r="A51" s="59" t="s">
        <v>205</v>
      </c>
      <c r="B51" s="1569" t="s">
        <v>206</v>
      </c>
      <c r="C51" s="3079" t="s">
        <v>207</v>
      </c>
      <c r="D51" s="4589"/>
      <c r="E51" s="6099" t="s">
        <v>208</v>
      </c>
      <c r="F51" s="7609" t="s">
        <v>209</v>
      </c>
      <c r="G51" s="9119" t="s">
        <v>27</v>
      </c>
      <c r="H51" s="10629">
        <v>2</v>
      </c>
      <c r="I51" s="12139" t="s">
        <v>16</v>
      </c>
      <c r="J51" t="s">
        <v>28</v>
      </c>
    </row>
    <row r="52" spans="1:10" ht="15.75" outlineLevel="2">
      <c r="A52" s="60" t="s">
        <v>210</v>
      </c>
      <c r="B52" s="1570" t="s">
        <v>211</v>
      </c>
      <c r="C52" s="3080" t="s">
        <v>212</v>
      </c>
      <c r="D52" s="4590"/>
      <c r="E52" s="6100" t="s">
        <v>32</v>
      </c>
      <c r="F52" s="7610" t="s">
        <v>213</v>
      </c>
      <c r="G52" s="9120" t="s">
        <v>15</v>
      </c>
      <c r="H52" s="10630">
        <v>2</v>
      </c>
      <c r="I52" s="12140" t="s">
        <v>16</v>
      </c>
      <c r="J52" s="13600" t="str">
        <f>HYPERLINK("\\192.168.170.18\drawings\2-Basic Components\0000-301 - Tank Connection\0000-301-038-A - TC- Flange DN40 - 1½'' L=200- BM.pdf", "PDF")</f>
        <v>PDF</v>
      </c>
    </row>
    <row r="53" spans="1:10" ht="15.75" outlineLevel="2">
      <c r="A53" s="61" t="s">
        <v>214</v>
      </c>
      <c r="B53" s="1571" t="s">
        <v>215</v>
      </c>
      <c r="C53" s="3081" t="s">
        <v>216</v>
      </c>
      <c r="D53" s="4591"/>
      <c r="E53" s="6101" t="s">
        <v>32</v>
      </c>
      <c r="F53" s="7611" t="s">
        <v>217</v>
      </c>
      <c r="G53" s="9121" t="s">
        <v>15</v>
      </c>
      <c r="H53" s="10631">
        <v>3</v>
      </c>
      <c r="I53" s="12141" t="s">
        <v>16</v>
      </c>
      <c r="J53" s="13600" t="str">
        <f>HYPERLINK("\\192.168.170.18\drawings\2-Basic Components\0000-301 - Tank Connection\0000-301-037-- - TC- Socket DN15-½'' L=168- BM.pdf", "PDF")</f>
        <v>PDF</v>
      </c>
    </row>
    <row r="54" spans="1:10" ht="15.75" outlineLevel="2">
      <c r="A54" s="62" t="s">
        <v>218</v>
      </c>
      <c r="B54" s="1572" t="s">
        <v>219</v>
      </c>
      <c r="C54" s="3082" t="s">
        <v>220</v>
      </c>
      <c r="D54" s="4592"/>
      <c r="E54" s="6102" t="s">
        <v>32</v>
      </c>
      <c r="F54" s="7612" t="s">
        <v>221</v>
      </c>
      <c r="G54" s="9122" t="s">
        <v>15</v>
      </c>
      <c r="H54" s="10632">
        <v>3</v>
      </c>
      <c r="I54" s="12142" t="s">
        <v>16</v>
      </c>
      <c r="J54" s="13600" t="str">
        <f>HYPERLINK("\\192.168.170.18\drawings\2-Basic Components\0000-301 - Tank Connection\0000-301-001-A - TC - Nipple DN15 - ½'' L=40- BG.pdf", "PDF")</f>
        <v>PDF</v>
      </c>
    </row>
    <row r="55" spans="1:10" ht="15.75" outlineLevel="2">
      <c r="A55" s="63" t="s">
        <v>222</v>
      </c>
      <c r="B55" s="1573" t="s">
        <v>223</v>
      </c>
      <c r="C55" s="3083" t="s">
        <v>224</v>
      </c>
      <c r="D55" s="4593"/>
      <c r="E55" s="6103" t="s">
        <v>32</v>
      </c>
      <c r="F55" s="7613" t="s">
        <v>225</v>
      </c>
      <c r="G55" s="9123" t="s">
        <v>15</v>
      </c>
      <c r="H55" s="10633">
        <v>13</v>
      </c>
      <c r="I55" s="12143" t="s">
        <v>16</v>
      </c>
      <c r="J55" s="13600" t="str">
        <f>HYPERLINK("\\192.168.170.18\drawings\2-Basic Components\0000-342 - Pipe Holders\0000-342-022-- - Pipe holder foot L=400.pdf", "PDF")</f>
        <v>PDF</v>
      </c>
    </row>
    <row r="56" spans="1:10" outlineLevel="2">
      <c r="A56" s="64" t="s">
        <v>226</v>
      </c>
      <c r="B56" s="1574" t="s">
        <v>227</v>
      </c>
      <c r="C56" s="3084" t="s">
        <v>228</v>
      </c>
      <c r="D56" s="4594"/>
      <c r="E56" s="6104" t="s">
        <v>32</v>
      </c>
      <c r="F56" s="7614" t="s">
        <v>229</v>
      </c>
      <c r="G56" s="9124" t="s">
        <v>15</v>
      </c>
      <c r="H56" s="10634">
        <v>1</v>
      </c>
      <c r="I56" s="12144" t="s">
        <v>16</v>
      </c>
      <c r="J56" t="s">
        <v>28</v>
      </c>
    </row>
    <row r="57" spans="1:10" outlineLevel="2">
      <c r="A57" s="65" t="s">
        <v>230</v>
      </c>
      <c r="B57" s="1575" t="s">
        <v>227</v>
      </c>
      <c r="C57" s="3085" t="s">
        <v>231</v>
      </c>
      <c r="D57" s="4595"/>
      <c r="E57" s="6105" t="s">
        <v>32</v>
      </c>
      <c r="F57" s="7615" t="s">
        <v>232</v>
      </c>
      <c r="G57" s="9125" t="s">
        <v>15</v>
      </c>
      <c r="H57" s="10635">
        <v>1</v>
      </c>
      <c r="I57" s="12145" t="s">
        <v>16</v>
      </c>
      <c r="J57" t="s">
        <v>28</v>
      </c>
    </row>
    <row r="58" spans="1:10" ht="15.75" outlineLevel="2">
      <c r="A58" s="66" t="s">
        <v>233</v>
      </c>
      <c r="B58" s="1576" t="s">
        <v>234</v>
      </c>
      <c r="C58" s="3086" t="s">
        <v>235</v>
      </c>
      <c r="D58" s="4596" t="s">
        <v>236</v>
      </c>
      <c r="E58" s="6106" t="s">
        <v>32</v>
      </c>
      <c r="F58" s="7616" t="s">
        <v>237</v>
      </c>
      <c r="G58" s="9126" t="s">
        <v>15</v>
      </c>
      <c r="H58" s="10636">
        <v>2</v>
      </c>
      <c r="I58" s="12146" t="s">
        <v>16</v>
      </c>
      <c r="J58" s="13600" t="str">
        <f>HYPERLINK("\\192.168.170.18\drawings\2-Basic Components\0000-310 - Sightglass\0000-310-005-A - Sightglass w.Wiper - DN200 PN0 - Welded.pdf", "PDF")</f>
        <v>PDF</v>
      </c>
    </row>
    <row r="59" spans="1:10" ht="15.75" outlineLevel="2">
      <c r="A59" s="67" t="s">
        <v>238</v>
      </c>
      <c r="B59" s="1577" t="s">
        <v>239</v>
      </c>
      <c r="C59" s="3087" t="s">
        <v>240</v>
      </c>
      <c r="D59" s="4597"/>
      <c r="E59" s="6107" t="s">
        <v>32</v>
      </c>
      <c r="F59" s="7617" t="s">
        <v>241</v>
      </c>
      <c r="G59" s="9127" t="s">
        <v>15</v>
      </c>
      <c r="H59" s="10637">
        <v>52</v>
      </c>
      <c r="I59" s="12147" t="s">
        <v>16</v>
      </c>
      <c r="J59" s="13600" t="str">
        <f>HYPERLINK("\\192.168.170.18\drawings\2-Basic Components\0000-342 - Pipe Holders\0000-342-034-- - Pipe holder foot L=300.pdf", "PDF")</f>
        <v>PDF</v>
      </c>
    </row>
    <row r="60" spans="1:10" outlineLevel="2">
      <c r="A60" s="68" t="s">
        <v>242</v>
      </c>
      <c r="B60" s="1578" t="s">
        <v>243</v>
      </c>
      <c r="C60" s="3088" t="s">
        <v>244</v>
      </c>
      <c r="D60" s="4598"/>
      <c r="E60" s="6108" t="s">
        <v>32</v>
      </c>
      <c r="F60" s="7618" t="s">
        <v>245</v>
      </c>
      <c r="G60" s="9128" t="s">
        <v>15</v>
      </c>
      <c r="H60" s="10638">
        <v>2</v>
      </c>
      <c r="I60" s="12148"/>
      <c r="J60" t="s">
        <v>28</v>
      </c>
    </row>
    <row r="61" spans="1:10" outlineLevel="2">
      <c r="A61" s="69" t="s">
        <v>246</v>
      </c>
      <c r="B61" s="1579" t="s">
        <v>247</v>
      </c>
      <c r="C61" s="3089" t="s">
        <v>248</v>
      </c>
      <c r="D61" s="4599"/>
      <c r="E61" s="6109" t="s">
        <v>32</v>
      </c>
      <c r="F61" s="7619" t="s">
        <v>249</v>
      </c>
      <c r="G61" s="9129" t="s">
        <v>27</v>
      </c>
      <c r="H61" s="10639">
        <v>4</v>
      </c>
      <c r="I61" s="12149"/>
      <c r="J61" t="s">
        <v>28</v>
      </c>
    </row>
    <row r="62" spans="1:10" ht="15.75" outlineLevel="2">
      <c r="A62" s="70" t="s">
        <v>250</v>
      </c>
      <c r="B62" s="1580" t="s">
        <v>251</v>
      </c>
      <c r="C62" s="3090" t="s">
        <v>252</v>
      </c>
      <c r="D62" s="4600" t="s">
        <v>253</v>
      </c>
      <c r="E62" s="6110" t="s">
        <v>32</v>
      </c>
      <c r="F62" s="7620" t="s">
        <v>254</v>
      </c>
      <c r="G62" s="9130" t="s">
        <v>15</v>
      </c>
      <c r="H62" s="10640">
        <v>1</v>
      </c>
      <c r="I62" s="12150" t="s">
        <v>16</v>
      </c>
      <c r="J62" s="13600" t="str">
        <f>HYPERLINK("\\192.168.170.18\drawings\2-Basic Components\0000-314 - Agitator\0000-314-504-A - Agitator Drive.pdf", "PDF")</f>
        <v>PDF</v>
      </c>
    </row>
    <row r="63" spans="1:10" ht="15.75" outlineLevel="2">
      <c r="A63" s="71" t="s">
        <v>255</v>
      </c>
      <c r="B63" s="1581" t="s">
        <v>256</v>
      </c>
      <c r="C63" s="3091" t="s">
        <v>257</v>
      </c>
      <c r="D63" s="4601" t="s">
        <v>253</v>
      </c>
      <c r="E63" s="6111" t="s">
        <v>25</v>
      </c>
      <c r="F63" s="7621" t="s">
        <v>258</v>
      </c>
      <c r="G63" s="9131" t="s">
        <v>15</v>
      </c>
      <c r="H63" s="10641">
        <v>1</v>
      </c>
      <c r="I63" s="12151" t="s">
        <v>16</v>
      </c>
      <c r="J63" s="13600" t="str">
        <f>HYPERLINK("\\192.168.170.18\drawings\2-Basic Components\0000-314 - Agitator\0000-314-300-- - Agitator L=19152.pdf", "PDF")</f>
        <v>PDF</v>
      </c>
    </row>
    <row r="64" spans="1:10" outlineLevel="2">
      <c r="A64" s="72" t="s">
        <v>259</v>
      </c>
      <c r="B64" s="1582" t="s">
        <v>260</v>
      </c>
      <c r="C64" s="3092" t="s">
        <v>261</v>
      </c>
      <c r="D64" s="4602"/>
      <c r="E64" s="6112" t="s">
        <v>41</v>
      </c>
      <c r="F64" s="7622" t="s">
        <v>262</v>
      </c>
      <c r="G64" s="9132" t="s">
        <v>15</v>
      </c>
      <c r="H64" s="10642">
        <v>1</v>
      </c>
      <c r="I64" s="12152" t="s">
        <v>16</v>
      </c>
      <c r="J64" t="s">
        <v>28</v>
      </c>
    </row>
    <row r="65" spans="1:10" ht="15.75" outlineLevel="2">
      <c r="A65" s="73" t="s">
        <v>263</v>
      </c>
      <c r="B65" s="1583" t="s">
        <v>264</v>
      </c>
      <c r="C65" s="3093" t="s">
        <v>265</v>
      </c>
      <c r="D65" s="4603"/>
      <c r="E65" s="6113" t="s">
        <v>32</v>
      </c>
      <c r="F65" s="7623" t="s">
        <v>266</v>
      </c>
      <c r="G65" s="9133" t="s">
        <v>15</v>
      </c>
      <c r="H65" s="10643">
        <v>3</v>
      </c>
      <c r="I65" s="12153" t="s">
        <v>16</v>
      </c>
      <c r="J65" s="13600" t="str">
        <f>HYPERLINK("\\192.168.170.18\drawings\2-Basic Components\0000-301 - Tank Connection\0000-301-071-B - TC- Flange 15° DN50 PN10 L=170- BG.pdf", "PDF")</f>
        <v>PDF</v>
      </c>
    </row>
    <row r="66" spans="1:10" outlineLevel="2">
      <c r="A66" s="74" t="s">
        <v>267</v>
      </c>
      <c r="B66" s="1584" t="s">
        <v>268</v>
      </c>
      <c r="C66" s="3094" t="s">
        <v>269</v>
      </c>
      <c r="D66" s="4604"/>
      <c r="E66" s="6114" t="s">
        <v>41</v>
      </c>
      <c r="F66" s="7624" t="s">
        <v>270</v>
      </c>
      <c r="G66" s="9134" t="s">
        <v>15</v>
      </c>
      <c r="H66" s="10644">
        <v>2</v>
      </c>
      <c r="I66" s="12154" t="s">
        <v>16</v>
      </c>
      <c r="J66" t="s">
        <v>28</v>
      </c>
    </row>
    <row r="67" spans="1:10" outlineLevel="2">
      <c r="A67" s="75" t="s">
        <v>271</v>
      </c>
      <c r="B67" s="1585" t="s">
        <v>268</v>
      </c>
      <c r="C67" s="3095" t="s">
        <v>272</v>
      </c>
      <c r="D67" s="4605"/>
      <c r="E67" s="6115" t="s">
        <v>41</v>
      </c>
      <c r="F67" s="7625" t="s">
        <v>273</v>
      </c>
      <c r="G67" s="9135" t="s">
        <v>15</v>
      </c>
      <c r="H67" s="10645">
        <v>4</v>
      </c>
      <c r="I67" s="12155" t="s">
        <v>16</v>
      </c>
      <c r="J67" t="s">
        <v>28</v>
      </c>
    </row>
    <row r="68" spans="1:10" outlineLevel="2">
      <c r="A68" s="76" t="s">
        <v>274</v>
      </c>
      <c r="B68" s="1586" t="s">
        <v>275</v>
      </c>
      <c r="C68" s="3096" t="s">
        <v>276</v>
      </c>
      <c r="D68" s="4606"/>
      <c r="E68" s="6116" t="s">
        <v>41</v>
      </c>
      <c r="F68" s="7626" t="s">
        <v>277</v>
      </c>
      <c r="G68" s="9136" t="s">
        <v>15</v>
      </c>
      <c r="H68" s="10646">
        <v>2</v>
      </c>
      <c r="I68" s="12156" t="s">
        <v>16</v>
      </c>
      <c r="J68" t="s">
        <v>28</v>
      </c>
    </row>
    <row r="69" spans="1:10" outlineLevel="2">
      <c r="A69" s="77" t="s">
        <v>278</v>
      </c>
      <c r="B69" s="1587" t="s">
        <v>268</v>
      </c>
      <c r="C69" s="3097" t="s">
        <v>279</v>
      </c>
      <c r="D69" s="4607"/>
      <c r="E69" s="6117" t="s">
        <v>41</v>
      </c>
      <c r="F69" s="7627" t="s">
        <v>280</v>
      </c>
      <c r="G69" s="9137" t="s">
        <v>15</v>
      </c>
      <c r="H69" s="10647">
        <v>2</v>
      </c>
      <c r="I69" s="12157" t="s">
        <v>16</v>
      </c>
      <c r="J69" t="s">
        <v>28</v>
      </c>
    </row>
    <row r="70" spans="1:10" ht="15.75" outlineLevel="2">
      <c r="A70" s="78" t="s">
        <v>281</v>
      </c>
      <c r="B70" s="1588" t="s">
        <v>282</v>
      </c>
      <c r="C70" s="3098" t="s">
        <v>283</v>
      </c>
      <c r="D70" s="4608"/>
      <c r="E70" s="6118" t="s">
        <v>25</v>
      </c>
      <c r="F70" s="7628" t="s">
        <v>284</v>
      </c>
      <c r="G70" s="9138" t="s">
        <v>15</v>
      </c>
      <c r="H70" s="10648">
        <v>1</v>
      </c>
      <c r="I70" s="12158" t="s">
        <v>16</v>
      </c>
      <c r="J70" s="13600" t="str">
        <f>HYPERLINK("\\192.168.170.18\drawings\2-Basic Components\0000-315 - Central Flange\0000-315-003-A - Trap DN500 - pressure = 35 mbar_vacuum = -3 mbar.pdf", "PDF")</f>
        <v>PDF</v>
      </c>
    </row>
    <row r="71" spans="1:10" ht="15.75" outlineLevel="2">
      <c r="A71" s="79" t="s">
        <v>285</v>
      </c>
      <c r="B71" s="1589" t="s">
        <v>286</v>
      </c>
      <c r="C71" s="3099" t="s">
        <v>287</v>
      </c>
      <c r="D71" s="4609"/>
      <c r="E71" s="6119" t="s">
        <v>32</v>
      </c>
      <c r="F71" s="7629" t="s">
        <v>288</v>
      </c>
      <c r="G71" s="9139" t="s">
        <v>15</v>
      </c>
      <c r="H71" s="10649">
        <v>4</v>
      </c>
      <c r="I71" s="12159" t="s">
        <v>16</v>
      </c>
      <c r="J71" s="13600" t="str">
        <f>HYPERLINK("\\192.168.170.18\drawings\2-Basic Components\0000-301 - Tank Connection\0000-301-120-- - TC- Flange Elbow DN150 PN10 L=450 - BM.pdf", "PDF")</f>
        <v>PDF</v>
      </c>
    </row>
    <row r="72" spans="1:10" ht="15.75" outlineLevel="2">
      <c r="A72" s="80" t="s">
        <v>289</v>
      </c>
      <c r="B72" s="1590" t="s">
        <v>290</v>
      </c>
      <c r="C72" s="3100" t="s">
        <v>291</v>
      </c>
      <c r="D72" s="4610"/>
      <c r="E72" s="6120" t="s">
        <v>32</v>
      </c>
      <c r="F72" s="7630" t="s">
        <v>292</v>
      </c>
      <c r="G72" s="9140" t="s">
        <v>15</v>
      </c>
      <c r="H72" s="10650">
        <v>1</v>
      </c>
      <c r="I72" s="12160"/>
      <c r="J72" s="13600" t="str">
        <f>HYPERLINK("\\192.168.170.18\drawings\2-Basic Components\0000-321 - Straight Connection\0000-321-106-- - Biomass - Straight Connection - DN100x6m.pdf", "PDF")</f>
        <v>PDF</v>
      </c>
    </row>
    <row r="73" spans="1:10" ht="15.75" outlineLevel="2">
      <c r="A73" s="81" t="s">
        <v>293</v>
      </c>
      <c r="B73" s="1591" t="s">
        <v>294</v>
      </c>
      <c r="C73" s="3101" t="s">
        <v>295</v>
      </c>
      <c r="D73" s="4611"/>
      <c r="E73" s="6121" t="s">
        <v>32</v>
      </c>
      <c r="F73" s="7631" t="s">
        <v>296</v>
      </c>
      <c r="G73" s="9141" t="s">
        <v>15</v>
      </c>
      <c r="H73" s="10651">
        <v>4</v>
      </c>
      <c r="I73" s="12161"/>
      <c r="J73" s="13600" t="str">
        <f>HYPERLINK("\\192.168.170.18\drawings\2-Basic Components\0000-342 - Pipe Holders\0000-342-270-B - DN100 Pipeholder for bottom mounting.pdf", "PDF")</f>
        <v>PDF</v>
      </c>
    </row>
    <row r="74" spans="1:10" ht="15.75" outlineLevel="2">
      <c r="A74" s="82" t="s">
        <v>297</v>
      </c>
      <c r="B74" s="1592" t="s">
        <v>298</v>
      </c>
      <c r="C74" s="3102" t="s">
        <v>299</v>
      </c>
      <c r="D74" s="4612"/>
      <c r="E74" s="6122" t="s">
        <v>32</v>
      </c>
      <c r="F74" s="7632" t="s">
        <v>300</v>
      </c>
      <c r="G74" s="9142" t="s">
        <v>15</v>
      </c>
      <c r="H74" s="10652">
        <v>2</v>
      </c>
      <c r="I74" s="12162" t="s">
        <v>16</v>
      </c>
      <c r="J74" s="13600" t="str">
        <f>HYPERLINK("\\192.168.170.18\drawings\2-Basic Components\0000-301 - Tank Connection\0000-301-119-- - TC- Flange DN150 PN10 L=330 - BM.pdf", "PDF")</f>
        <v>PDF</v>
      </c>
    </row>
    <row r="75" spans="1:10" ht="15.75" outlineLevel="2">
      <c r="A75" s="83" t="s">
        <v>301</v>
      </c>
      <c r="B75" s="1593" t="s">
        <v>302</v>
      </c>
      <c r="C75" s="3103" t="s">
        <v>303</v>
      </c>
      <c r="D75" s="4613" t="s">
        <v>304</v>
      </c>
      <c r="E75" s="6123" t="s">
        <v>32</v>
      </c>
      <c r="F75" s="7633" t="s">
        <v>305</v>
      </c>
      <c r="G75" s="9143" t="s">
        <v>15</v>
      </c>
      <c r="H75" s="10653">
        <v>1</v>
      </c>
      <c r="I75" s="12163" t="s">
        <v>16</v>
      </c>
      <c r="J75" s="13600" t="str">
        <f>HYPERLINK("\\192.168.170.18\drawings\2-Basic Components\0000-321 - Straight Connection\0000-321-103-A - Outlet pipe DN100 - Biomass.pdf", "PDF")</f>
        <v>PDF</v>
      </c>
    </row>
    <row r="76" spans="1:10" ht="15.75" outlineLevel="2">
      <c r="A76" s="84" t="s">
        <v>306</v>
      </c>
      <c r="B76" s="1594" t="s">
        <v>307</v>
      </c>
      <c r="C76" s="3104" t="s">
        <v>308</v>
      </c>
      <c r="D76" s="4614"/>
      <c r="E76" s="6124" t="s">
        <v>32</v>
      </c>
      <c r="F76" s="7634" t="s">
        <v>309</v>
      </c>
      <c r="G76" s="9144" t="s">
        <v>15</v>
      </c>
      <c r="H76" s="10654">
        <v>2</v>
      </c>
      <c r="I76" s="12164" t="s">
        <v>16</v>
      </c>
      <c r="J76" s="13600" t="str">
        <f>HYPERLINK("\\192.168.170.18\drawings\2-Basic Components\0000-301 - Tank Connection\0000-301-122-- - TC- Flange DN150 PN10 L=330 - BM.pdf", "PDF")</f>
        <v>PDF</v>
      </c>
    </row>
    <row r="77" spans="1:10" outlineLevel="2">
      <c r="A77" s="85" t="s">
        <v>310</v>
      </c>
      <c r="B77" s="1595" t="s">
        <v>247</v>
      </c>
      <c r="C77" s="3105" t="s">
        <v>311</v>
      </c>
      <c r="D77" s="4615"/>
      <c r="E77" s="6125" t="s">
        <v>25</v>
      </c>
      <c r="F77" s="7635" t="s">
        <v>312</v>
      </c>
      <c r="G77" s="9145" t="s">
        <v>27</v>
      </c>
      <c r="H77" s="10655">
        <v>1</v>
      </c>
      <c r="I77" s="12165"/>
      <c r="J77" t="s">
        <v>28</v>
      </c>
    </row>
    <row r="78" spans="1:10" ht="15.75" outlineLevel="2">
      <c r="A78" s="86" t="s">
        <v>313</v>
      </c>
      <c r="B78" s="1596" t="s">
        <v>314</v>
      </c>
      <c r="C78" s="3106" t="s">
        <v>315</v>
      </c>
      <c r="D78" s="4616"/>
      <c r="E78" s="6126" t="s">
        <v>32</v>
      </c>
      <c r="F78" s="7636" t="s">
        <v>316</v>
      </c>
      <c r="G78" s="9146" t="s">
        <v>15</v>
      </c>
      <c r="H78" s="10656">
        <v>1</v>
      </c>
      <c r="I78" s="12166" t="s">
        <v>16</v>
      </c>
      <c r="J78" s="13600" t="str">
        <f>HYPERLINK("\\192.168.170.18\drawings\2-Basic Components\0000-321 - Straight Connection\0000-321-109-- - Biomass - Straight Connection - DN100x6m.pdf", "PDF")</f>
        <v>PDF</v>
      </c>
    </row>
    <row r="79" spans="1:10" ht="15.75" outlineLevel="2">
      <c r="A79" s="87" t="s">
        <v>317</v>
      </c>
      <c r="B79" s="1597" t="s">
        <v>318</v>
      </c>
      <c r="C79" s="3107" t="s">
        <v>319</v>
      </c>
      <c r="D79" s="4617"/>
      <c r="E79" s="6127" t="s">
        <v>32</v>
      </c>
      <c r="F79" s="7637" t="s">
        <v>320</v>
      </c>
      <c r="G79" s="9147" t="s">
        <v>15</v>
      </c>
      <c r="H79" s="10657">
        <v>4</v>
      </c>
      <c r="I79" s="12167" t="s">
        <v>16</v>
      </c>
      <c r="J79" s="13600" t="str">
        <f>HYPERLINK("\\192.168.170.18\drawings\2-Basic Components\0000-342 - Pipe Holders\0000-342-274-- - DN125 Pipeholder for bottom mounting.pdf", "PDF")</f>
        <v>PDF</v>
      </c>
    </row>
    <row r="80" spans="1:10" ht="15.75" outlineLevel="2">
      <c r="A80" s="88" t="s">
        <v>321</v>
      </c>
      <c r="B80" s="1598" t="s">
        <v>322</v>
      </c>
      <c r="C80" s="3108" t="s">
        <v>323</v>
      </c>
      <c r="D80" s="4618"/>
      <c r="E80" s="6128" t="s">
        <v>32</v>
      </c>
      <c r="F80" s="7638" t="s">
        <v>324</v>
      </c>
      <c r="G80" s="9148" t="s">
        <v>15</v>
      </c>
      <c r="H80" s="10658">
        <v>3</v>
      </c>
      <c r="I80" s="12168" t="s">
        <v>16</v>
      </c>
      <c r="J80" s="13600" t="str">
        <f>HYPERLINK("\\192.168.170.18\drawings\2-Basic Components\0000-301 - Tank Connection\0000-301-123-- - TC- Flange Elbow DN200 PN10 L=450 - BM.pdf", "PDF")</f>
        <v>PDF</v>
      </c>
    </row>
    <row r="81" spans="1:10" ht="15.75" outlineLevel="2">
      <c r="A81" s="89" t="s">
        <v>325</v>
      </c>
      <c r="B81" s="1599" t="s">
        <v>326</v>
      </c>
      <c r="C81" s="3109" t="s">
        <v>327</v>
      </c>
      <c r="D81" s="4619"/>
      <c r="E81" s="6129" t="s">
        <v>32</v>
      </c>
      <c r="F81" s="7639" t="s">
        <v>328</v>
      </c>
      <c r="G81" s="9149" t="s">
        <v>15</v>
      </c>
      <c r="H81" s="10659">
        <v>6</v>
      </c>
      <c r="I81" s="12169" t="s">
        <v>16</v>
      </c>
      <c r="J81" s="13600" t="str">
        <f>HYPERLINK("\\192.168.170.18\drawings\2-Basic Components\0000-301 - Tank Connection\0000-301-124-- - TC- Flange DN200 PN10 L=330 - BM.pdf", "PDF")</f>
        <v>PDF</v>
      </c>
    </row>
    <row r="82" spans="1:10" ht="15.75" outlineLevel="2">
      <c r="A82" s="90" t="s">
        <v>329</v>
      </c>
      <c r="B82" s="1600" t="s">
        <v>330</v>
      </c>
      <c r="C82" s="3110" t="s">
        <v>331</v>
      </c>
      <c r="D82" s="4620"/>
      <c r="E82" s="6130" t="s">
        <v>32</v>
      </c>
      <c r="F82" s="7640" t="s">
        <v>332</v>
      </c>
      <c r="G82" s="9150" t="s">
        <v>15</v>
      </c>
      <c r="H82" s="10660">
        <v>3</v>
      </c>
      <c r="I82" s="12170" t="s">
        <v>16</v>
      </c>
      <c r="J82" s="13600" t="str">
        <f>HYPERLINK("\\192.168.170.18\drawings\2-Basic Components\0000-321 - Straight Connection\0000-321-157-- - Biomass - Straigth Connection - DN200x6m.pdf", "PDF")</f>
        <v>PDF</v>
      </c>
    </row>
    <row r="83" spans="1:10" outlineLevel="2">
      <c r="A83" s="91" t="s">
        <v>333</v>
      </c>
      <c r="B83" s="1601" t="s">
        <v>334</v>
      </c>
      <c r="C83" s="3111" t="s">
        <v>335</v>
      </c>
      <c r="D83" s="4621"/>
      <c r="E83" s="6131" t="s">
        <v>32</v>
      </c>
      <c r="F83" s="7641" t="s">
        <v>336</v>
      </c>
      <c r="G83" s="9151" t="s">
        <v>15</v>
      </c>
      <c r="H83" s="10661">
        <v>12</v>
      </c>
      <c r="I83" s="12171" t="s">
        <v>16</v>
      </c>
      <c r="J83" t="s">
        <v>28</v>
      </c>
    </row>
    <row r="84" spans="1:10" outlineLevel="2">
      <c r="A84" s="92" t="s">
        <v>337</v>
      </c>
      <c r="B84" s="1602" t="s">
        <v>338</v>
      </c>
      <c r="C84" s="3112" t="s">
        <v>339</v>
      </c>
      <c r="D84" s="4622" t="s">
        <v>340</v>
      </c>
      <c r="E84" s="6132" t="s">
        <v>341</v>
      </c>
      <c r="F84" s="7642" t="s">
        <v>342</v>
      </c>
      <c r="G84" s="9152" t="s">
        <v>15</v>
      </c>
      <c r="H84" s="10662">
        <v>1</v>
      </c>
      <c r="I84" s="12172" t="s">
        <v>16</v>
      </c>
      <c r="J84" t="s">
        <v>28</v>
      </c>
    </row>
    <row r="85" spans="1:10" ht="15.75" outlineLevel="2">
      <c r="A85" s="93" t="s">
        <v>343</v>
      </c>
      <c r="B85" s="1603" t="s">
        <v>344</v>
      </c>
      <c r="C85" s="3113" t="s">
        <v>345</v>
      </c>
      <c r="D85" s="4623" t="s">
        <v>346</v>
      </c>
      <c r="E85" s="6133" t="s">
        <v>32</v>
      </c>
      <c r="F85" s="7643" t="s">
        <v>347</v>
      </c>
      <c r="G85" s="9153" t="s">
        <v>15</v>
      </c>
      <c r="H85" s="10663">
        <v>1</v>
      </c>
      <c r="I85" s="12173" t="s">
        <v>16</v>
      </c>
      <c r="J85" s="13600" t="str">
        <f>HYPERLINK("\\192.168.170.18\drawings\2-Basic Components\0000-315 - Central Flange\0000-315-005-A - Central flange 5200 - DN250 assembly.pdf", "PDF")</f>
        <v>PDF</v>
      </c>
    </row>
    <row r="86" spans="1:10" ht="15.75" outlineLevel="2">
      <c r="A86" s="94" t="s">
        <v>348</v>
      </c>
      <c r="B86" s="1604" t="s">
        <v>349</v>
      </c>
      <c r="C86" s="3114" t="s">
        <v>350</v>
      </c>
      <c r="D86" s="4624" t="s">
        <v>304</v>
      </c>
      <c r="E86" s="6134" t="s">
        <v>32</v>
      </c>
      <c r="F86" s="7644" t="s">
        <v>351</v>
      </c>
      <c r="G86" s="9154" t="s">
        <v>15</v>
      </c>
      <c r="H86" s="10664">
        <v>3</v>
      </c>
      <c r="I86" s="12174" t="s">
        <v>16</v>
      </c>
      <c r="J86" s="13600" t="str">
        <f>HYPERLINK("\\192.168.170.18\drawings\2-Basic Components\0000-321 - Straight Connection\0000-321-158-A - Outlet Pipe DN200 - Biomass.pdf", "PDF")</f>
        <v>PDF</v>
      </c>
    </row>
    <row r="87" spans="1:10" ht="15.75" outlineLevel="2">
      <c r="A87" s="95" t="s">
        <v>352</v>
      </c>
      <c r="B87" s="1605" t="s">
        <v>353</v>
      </c>
      <c r="C87" s="3115" t="s">
        <v>354</v>
      </c>
      <c r="D87" s="4625" t="s">
        <v>304</v>
      </c>
      <c r="E87" s="6135" t="s">
        <v>32</v>
      </c>
      <c r="F87" s="7645" t="s">
        <v>355</v>
      </c>
      <c r="G87" s="9155" t="s">
        <v>15</v>
      </c>
      <c r="H87" s="10665">
        <v>1</v>
      </c>
      <c r="I87" s="12175" t="s">
        <v>16</v>
      </c>
      <c r="J87" s="13600" t="str">
        <f>HYPERLINK("\\192.168.170.18\drawings\2-Basic Components\0000-321 - Straight Connection\0000-321-108-A - Outlet pipe DN125 - Biomass.pdf", "PDF")</f>
        <v>PDF</v>
      </c>
    </row>
    <row r="88" spans="1:10" outlineLevel="2">
      <c r="A88" s="96" t="s">
        <v>356</v>
      </c>
      <c r="B88" s="1606" t="s">
        <v>357</v>
      </c>
      <c r="C88" s="3116" t="s">
        <v>358</v>
      </c>
      <c r="D88" s="4626" t="s">
        <v>359</v>
      </c>
      <c r="E88" s="6136" t="s">
        <v>32</v>
      </c>
      <c r="F88" s="7646" t="s">
        <v>360</v>
      </c>
      <c r="G88" s="9156" t="s">
        <v>15</v>
      </c>
      <c r="H88" s="10666">
        <v>2</v>
      </c>
      <c r="I88" s="12176" t="s">
        <v>16</v>
      </c>
      <c r="J88" t="s">
        <v>28</v>
      </c>
    </row>
    <row r="89" spans="1:10" outlineLevel="2">
      <c r="A89" s="97" t="s">
        <v>361</v>
      </c>
      <c r="B89" s="1607" t="s">
        <v>357</v>
      </c>
      <c r="C89" s="3117" t="s">
        <v>362</v>
      </c>
      <c r="D89" s="4627" t="s">
        <v>363</v>
      </c>
      <c r="E89" s="6137" t="s">
        <v>128</v>
      </c>
      <c r="F89" s="7647" t="s">
        <v>364</v>
      </c>
      <c r="G89" s="9157" t="s">
        <v>15</v>
      </c>
      <c r="H89" s="10667">
        <v>2</v>
      </c>
      <c r="I89" s="12177" t="s">
        <v>16</v>
      </c>
      <c r="J89" t="s">
        <v>28</v>
      </c>
    </row>
    <row r="90" spans="1:10" outlineLevel="2">
      <c r="A90" s="98" t="s">
        <v>365</v>
      </c>
      <c r="B90" s="1608" t="s">
        <v>357</v>
      </c>
      <c r="C90" s="3118" t="s">
        <v>366</v>
      </c>
      <c r="D90" s="4628" t="s">
        <v>367</v>
      </c>
      <c r="E90" s="6138" t="s">
        <v>32</v>
      </c>
      <c r="F90" s="7648" t="s">
        <v>368</v>
      </c>
      <c r="G90" s="9158" t="s">
        <v>15</v>
      </c>
      <c r="H90" s="10668">
        <v>4</v>
      </c>
      <c r="I90" s="12178" t="s">
        <v>16</v>
      </c>
      <c r="J90" t="s">
        <v>28</v>
      </c>
    </row>
    <row r="91" spans="1:10" outlineLevel="2">
      <c r="A91" s="99" t="s">
        <v>369</v>
      </c>
      <c r="B91" s="1609" t="s">
        <v>357</v>
      </c>
      <c r="C91" s="3119" t="s">
        <v>370</v>
      </c>
      <c r="D91" s="4629"/>
      <c r="E91" s="6139" t="s">
        <v>32</v>
      </c>
      <c r="F91" s="7649" t="s">
        <v>371</v>
      </c>
      <c r="G91" s="9159" t="s">
        <v>15</v>
      </c>
      <c r="H91" s="10669">
        <v>2</v>
      </c>
      <c r="I91" s="12179" t="s">
        <v>16</v>
      </c>
      <c r="J91" t="s">
        <v>28</v>
      </c>
    </row>
    <row r="92" spans="1:10" outlineLevel="2">
      <c r="A92" s="100" t="s">
        <v>372</v>
      </c>
      <c r="B92" s="1610" t="s">
        <v>357</v>
      </c>
      <c r="C92" s="3120" t="s">
        <v>373</v>
      </c>
      <c r="D92" s="4630"/>
      <c r="E92" s="6140" t="s">
        <v>32</v>
      </c>
      <c r="F92" s="7650" t="s">
        <v>374</v>
      </c>
      <c r="G92" s="9160" t="s">
        <v>15</v>
      </c>
      <c r="H92" s="10670">
        <v>4</v>
      </c>
      <c r="I92" s="12180" t="s">
        <v>16</v>
      </c>
      <c r="J92" t="s">
        <v>28</v>
      </c>
    </row>
    <row r="93" spans="1:10" outlineLevel="2">
      <c r="A93" s="101" t="s">
        <v>375</v>
      </c>
      <c r="B93" s="1611" t="s">
        <v>247</v>
      </c>
      <c r="C93" s="3121" t="s">
        <v>311</v>
      </c>
      <c r="D93" s="4631"/>
      <c r="E93" s="6141" t="s">
        <v>83</v>
      </c>
      <c r="F93" s="7651" t="s">
        <v>376</v>
      </c>
      <c r="G93" s="9161" t="s">
        <v>27</v>
      </c>
      <c r="H93" s="10671">
        <v>4</v>
      </c>
      <c r="I93" s="12181"/>
      <c r="J93" t="s">
        <v>28</v>
      </c>
    </row>
    <row r="94" spans="1:10" outlineLevel="2">
      <c r="A94" s="102" t="s">
        <v>377</v>
      </c>
      <c r="B94" s="1612" t="s">
        <v>247</v>
      </c>
      <c r="C94" s="3122" t="s">
        <v>378</v>
      </c>
      <c r="D94" s="4632"/>
      <c r="E94" s="6142" t="s">
        <v>32</v>
      </c>
      <c r="F94" s="7652" t="s">
        <v>379</v>
      </c>
      <c r="G94" s="9162" t="s">
        <v>27</v>
      </c>
      <c r="H94" s="10672">
        <v>2</v>
      </c>
      <c r="I94" s="12182"/>
      <c r="J94" t="s">
        <v>28</v>
      </c>
    </row>
    <row r="95" spans="1:10" outlineLevel="2">
      <c r="A95" s="103" t="s">
        <v>380</v>
      </c>
      <c r="B95" s="1613" t="s">
        <v>357</v>
      </c>
      <c r="C95" s="3123" t="s">
        <v>381</v>
      </c>
      <c r="D95" s="4633" t="s">
        <v>382</v>
      </c>
      <c r="E95" s="6143" t="s">
        <v>32</v>
      </c>
      <c r="F95" s="7653" t="s">
        <v>383</v>
      </c>
      <c r="G95" s="9163" t="s">
        <v>15</v>
      </c>
      <c r="H95" s="10673">
        <v>2</v>
      </c>
      <c r="I95" s="12183" t="s">
        <v>16</v>
      </c>
      <c r="J95" t="s">
        <v>28</v>
      </c>
    </row>
    <row r="96" spans="1:10" outlineLevel="2">
      <c r="A96" s="104" t="s">
        <v>384</v>
      </c>
      <c r="B96" s="1614" t="s">
        <v>247</v>
      </c>
      <c r="C96" s="3124" t="s">
        <v>385</v>
      </c>
      <c r="D96" s="4634" t="s">
        <v>386</v>
      </c>
      <c r="E96" s="6144" t="s">
        <v>25</v>
      </c>
      <c r="F96" s="7654" t="s">
        <v>387</v>
      </c>
      <c r="G96" s="9164" t="s">
        <v>27</v>
      </c>
      <c r="H96" s="10674">
        <v>2</v>
      </c>
      <c r="I96" s="12184" t="s">
        <v>16</v>
      </c>
      <c r="J96" t="s">
        <v>28</v>
      </c>
    </row>
    <row r="97" spans="1:10" outlineLevel="2">
      <c r="A97" s="105" t="s">
        <v>388</v>
      </c>
      <c r="B97" s="1615" t="s">
        <v>247</v>
      </c>
      <c r="C97" s="3125" t="s">
        <v>389</v>
      </c>
      <c r="D97" s="4635"/>
      <c r="E97" s="6145" t="s">
        <v>83</v>
      </c>
      <c r="F97" s="7655" t="s">
        <v>390</v>
      </c>
      <c r="G97" s="9165" t="s">
        <v>27</v>
      </c>
      <c r="H97" s="10675">
        <v>6</v>
      </c>
      <c r="I97" s="12185"/>
      <c r="J97" t="s">
        <v>28</v>
      </c>
    </row>
    <row r="98" spans="1:10" outlineLevel="2">
      <c r="A98" s="106" t="s">
        <v>391</v>
      </c>
      <c r="B98" s="1616" t="s">
        <v>243</v>
      </c>
      <c r="C98" s="3126" t="s">
        <v>392</v>
      </c>
      <c r="D98" s="4636"/>
      <c r="E98" s="6146" t="s">
        <v>32</v>
      </c>
      <c r="F98" s="7656" t="s">
        <v>393</v>
      </c>
      <c r="G98" s="9166" t="s">
        <v>15</v>
      </c>
      <c r="H98" s="10676">
        <v>6</v>
      </c>
      <c r="I98" s="12186" t="s">
        <v>16</v>
      </c>
      <c r="J98" t="s">
        <v>28</v>
      </c>
    </row>
    <row r="99" spans="1:10" ht="15.75" outlineLevel="2">
      <c r="A99" s="107" t="s">
        <v>394</v>
      </c>
      <c r="B99" s="1617" t="s">
        <v>395</v>
      </c>
      <c r="C99" s="3127" t="s">
        <v>396</v>
      </c>
      <c r="D99" s="4637"/>
      <c r="E99" s="6147" t="s">
        <v>32</v>
      </c>
      <c r="F99" s="7657" t="s">
        <v>397</v>
      </c>
      <c r="G99" s="9167" t="s">
        <v>15</v>
      </c>
      <c r="H99" s="10677">
        <v>3</v>
      </c>
      <c r="I99" s="12187"/>
      <c r="J99" s="13600" t="str">
        <f>HYPERLINK("\\192.168.170.18\drawings\2-Basic Components\0000-311 - Nozzles\0000-311-001-A - DN 50 Nozzle Pipe.pdf", "PDF")</f>
        <v>PDF</v>
      </c>
    </row>
    <row r="100" spans="1:10" outlineLevel="1">
      <c r="A100" s="108" t="s">
        <v>398</v>
      </c>
      <c r="B100" s="1618" t="s">
        <v>399</v>
      </c>
      <c r="C100" s="3128" t="s">
        <v>152</v>
      </c>
      <c r="D100" s="4638" t="s">
        <v>13</v>
      </c>
      <c r="E100" s="6148" t="s">
        <v>153</v>
      </c>
      <c r="F100" s="7658" t="s">
        <v>400</v>
      </c>
      <c r="G100" s="9168" t="s">
        <v>15</v>
      </c>
      <c r="H100" s="10678">
        <v>1</v>
      </c>
      <c r="I100" s="12188" t="s">
        <v>16</v>
      </c>
      <c r="J100" t="s">
        <v>28</v>
      </c>
    </row>
    <row r="101" spans="1:10" outlineLevel="1">
      <c r="A101" s="109" t="s">
        <v>401</v>
      </c>
      <c r="B101" s="1619" t="s">
        <v>402</v>
      </c>
      <c r="C101" s="3129" t="s">
        <v>403</v>
      </c>
      <c r="D101" s="4639" t="s">
        <v>13</v>
      </c>
      <c r="E101" s="6149" t="s">
        <v>153</v>
      </c>
      <c r="F101" s="7659" t="s">
        <v>404</v>
      </c>
      <c r="G101" s="9169" t="s">
        <v>15</v>
      </c>
      <c r="H101" s="10679">
        <v>1</v>
      </c>
      <c r="I101" s="12189" t="s">
        <v>16</v>
      </c>
      <c r="J101" t="s">
        <v>28</v>
      </c>
    </row>
    <row r="102" spans="1:10" outlineLevel="1">
      <c r="A102" s="110" t="s">
        <v>405</v>
      </c>
      <c r="B102" s="1620" t="s">
        <v>406</v>
      </c>
      <c r="C102" s="3130"/>
      <c r="D102" s="4640"/>
      <c r="E102" s="6150"/>
      <c r="F102" s="7660" t="s">
        <v>407</v>
      </c>
      <c r="G102" s="9170" t="s">
        <v>15</v>
      </c>
      <c r="H102" s="10680">
        <v>1</v>
      </c>
      <c r="I102" s="12190" t="s">
        <v>16</v>
      </c>
      <c r="J102" t="s">
        <v>28</v>
      </c>
    </row>
    <row r="103" spans="1:10" outlineLevel="2">
      <c r="A103" s="111" t="s">
        <v>408</v>
      </c>
      <c r="B103" s="1621" t="s">
        <v>409</v>
      </c>
      <c r="C103" s="3131"/>
      <c r="D103" s="4641"/>
      <c r="E103" s="6151" t="s">
        <v>32</v>
      </c>
      <c r="F103" s="7661" t="s">
        <v>410</v>
      </c>
      <c r="G103" s="9171" t="s">
        <v>15</v>
      </c>
      <c r="H103" s="10681">
        <v>1</v>
      </c>
      <c r="I103" s="12191" t="s">
        <v>16</v>
      </c>
      <c r="J103" t="s">
        <v>28</v>
      </c>
    </row>
    <row r="104" spans="1:10" ht="15.75" outlineLevel="1">
      <c r="A104" s="112" t="s">
        <v>411</v>
      </c>
      <c r="B104" s="1622" t="s">
        <v>412</v>
      </c>
      <c r="C104" s="3132" t="s">
        <v>157</v>
      </c>
      <c r="D104" s="4642" t="s">
        <v>413</v>
      </c>
      <c r="E104" s="6152"/>
      <c r="F104" s="7662" t="s">
        <v>414</v>
      </c>
      <c r="G104" s="9172" t="s">
        <v>15</v>
      </c>
      <c r="H104" s="10682">
        <v>1</v>
      </c>
      <c r="I104" s="12192" t="s">
        <v>16</v>
      </c>
      <c r="J104" s="13600" t="str">
        <f>HYPERLINK("\\192.168.170.18\drawings\5-Projects\2500 - Aabenraa\Area 04 - Digester Area\Eqiupment\2500-615 Digester\2500-615-011-A - Digester - Assembly - 9500m³.pdf", "PDF")</f>
        <v>PDF</v>
      </c>
    </row>
    <row r="105" spans="1:10" ht="15.75" outlineLevel="2">
      <c r="A105" s="113" t="s">
        <v>415</v>
      </c>
      <c r="B105" s="1623" t="s">
        <v>416</v>
      </c>
      <c r="C105" s="3133" t="s">
        <v>161</v>
      </c>
      <c r="D105" s="4643" t="s">
        <v>417</v>
      </c>
      <c r="E105" s="6153"/>
      <c r="F105" s="7663" t="s">
        <v>418</v>
      </c>
      <c r="G105" s="9173" t="s">
        <v>15</v>
      </c>
      <c r="H105" s="10683">
        <v>1</v>
      </c>
      <c r="I105" s="12193" t="s">
        <v>16</v>
      </c>
      <c r="J105" s="13600" t="str">
        <f>HYPERLINK("\\192.168.170.18\drawings\5-Projects\2500 - Aabenraa\Area 04 - Digester Area\Eqiupment\2500-615 Digester\2500-615-911-C - Digester 9500m³.pdf", "PDF")</f>
        <v>PDF</v>
      </c>
    </row>
    <row r="106" spans="1:10" outlineLevel="3">
      <c r="A106" s="114" t="s">
        <v>419</v>
      </c>
      <c r="B106" s="1624" t="s">
        <v>420</v>
      </c>
      <c r="C106" s="3134" t="s">
        <v>166</v>
      </c>
      <c r="D106" s="4644"/>
      <c r="E106" s="6154" t="s">
        <v>32</v>
      </c>
      <c r="F106" s="7664" t="s">
        <v>421</v>
      </c>
      <c r="G106" s="9174" t="s">
        <v>15</v>
      </c>
      <c r="H106" s="10684">
        <v>1</v>
      </c>
      <c r="I106" s="12194" t="s">
        <v>16</v>
      </c>
      <c r="J106" t="s">
        <v>28</v>
      </c>
    </row>
    <row r="107" spans="1:10" outlineLevel="3">
      <c r="A107" s="115" t="s">
        <v>422</v>
      </c>
      <c r="B107" s="1625" t="s">
        <v>423</v>
      </c>
      <c r="C107" s="3135" t="s">
        <v>170</v>
      </c>
      <c r="D107" s="4645"/>
      <c r="E107" s="6155" t="s">
        <v>32</v>
      </c>
      <c r="F107" s="7665" t="s">
        <v>424</v>
      </c>
      <c r="G107" s="9175" t="s">
        <v>15</v>
      </c>
      <c r="H107" s="10685">
        <v>1</v>
      </c>
      <c r="I107" s="12195" t="s">
        <v>16</v>
      </c>
      <c r="J107" t="s">
        <v>28</v>
      </c>
    </row>
    <row r="108" spans="1:10" outlineLevel="3">
      <c r="A108" s="116" t="s">
        <v>425</v>
      </c>
      <c r="B108" s="1626" t="s">
        <v>426</v>
      </c>
      <c r="C108" s="3136" t="s">
        <v>174</v>
      </c>
      <c r="D108" s="4646"/>
      <c r="E108" s="6156" t="s">
        <v>41</v>
      </c>
      <c r="F108" s="7666" t="s">
        <v>427</v>
      </c>
      <c r="G108" s="9176" t="s">
        <v>15</v>
      </c>
      <c r="H108" s="10686">
        <v>1</v>
      </c>
      <c r="I108" s="12196" t="s">
        <v>16</v>
      </c>
      <c r="J108" t="s">
        <v>28</v>
      </c>
    </row>
    <row r="109" spans="1:10" outlineLevel="3">
      <c r="A109" s="117" t="s">
        <v>428</v>
      </c>
      <c r="B109" s="1627" t="s">
        <v>429</v>
      </c>
      <c r="C109" s="3137" t="s">
        <v>178</v>
      </c>
      <c r="D109" s="4647"/>
      <c r="E109" s="6157" t="s">
        <v>32</v>
      </c>
      <c r="F109" s="7667" t="s">
        <v>430</v>
      </c>
      <c r="G109" s="9177" t="s">
        <v>15</v>
      </c>
      <c r="H109" s="10687">
        <v>1</v>
      </c>
      <c r="I109" s="12197" t="s">
        <v>16</v>
      </c>
      <c r="J109" t="s">
        <v>28</v>
      </c>
    </row>
    <row r="110" spans="1:10" outlineLevel="3">
      <c r="A110" s="118" t="s">
        <v>431</v>
      </c>
      <c r="B110" s="1628" t="s">
        <v>432</v>
      </c>
      <c r="C110" s="3138"/>
      <c r="D110" s="4648"/>
      <c r="E110" s="6158" t="s">
        <v>182</v>
      </c>
      <c r="F110" s="7668" t="s">
        <v>433</v>
      </c>
      <c r="G110" s="9178" t="s">
        <v>15</v>
      </c>
      <c r="H110" s="10688">
        <v>1</v>
      </c>
      <c r="I110" s="12198" t="s">
        <v>16</v>
      </c>
      <c r="J110" t="s">
        <v>28</v>
      </c>
    </row>
    <row r="111" spans="1:10" outlineLevel="3">
      <c r="A111" s="119" t="s">
        <v>434</v>
      </c>
      <c r="B111" s="1629" t="s">
        <v>435</v>
      </c>
      <c r="C111" s="3139" t="s">
        <v>186</v>
      </c>
      <c r="D111" s="4649"/>
      <c r="E111" s="6159" t="s">
        <v>32</v>
      </c>
      <c r="F111" s="7669" t="s">
        <v>436</v>
      </c>
      <c r="G111" s="9179" t="s">
        <v>15</v>
      </c>
      <c r="H111" s="10689">
        <v>1</v>
      </c>
      <c r="I111" s="12199" t="s">
        <v>16</v>
      </c>
      <c r="J111" t="s">
        <v>28</v>
      </c>
    </row>
    <row r="112" spans="1:10" outlineLevel="2">
      <c r="A112" s="120" t="s">
        <v>437</v>
      </c>
      <c r="B112" s="1630" t="s">
        <v>81</v>
      </c>
      <c r="C112" s="3140" t="s">
        <v>82</v>
      </c>
      <c r="D112" s="4650"/>
      <c r="E112" s="6160" t="s">
        <v>83</v>
      </c>
      <c r="F112" s="7670" t="s">
        <v>84</v>
      </c>
      <c r="G112" s="9180" t="s">
        <v>27</v>
      </c>
      <c r="H112" s="10690">
        <v>2</v>
      </c>
      <c r="I112" s="12200"/>
      <c r="J112" t="s">
        <v>28</v>
      </c>
    </row>
    <row r="113" spans="1:10" outlineLevel="2">
      <c r="A113" s="121" t="s">
        <v>438</v>
      </c>
      <c r="B113" s="1631" t="s">
        <v>190</v>
      </c>
      <c r="C113" s="3141" t="s">
        <v>191</v>
      </c>
      <c r="D113" s="4651"/>
      <c r="E113" s="6161" t="s">
        <v>16</v>
      </c>
      <c r="F113" s="7671" t="s">
        <v>192</v>
      </c>
      <c r="G113" s="9181" t="s">
        <v>27</v>
      </c>
      <c r="H113" s="10691">
        <v>1</v>
      </c>
      <c r="I113" s="12201"/>
      <c r="J113" t="s">
        <v>28</v>
      </c>
    </row>
    <row r="114" spans="1:10" outlineLevel="2">
      <c r="A114" s="122" t="s">
        <v>439</v>
      </c>
      <c r="B114" s="1632" t="s">
        <v>194</v>
      </c>
      <c r="C114" s="3142" t="s">
        <v>195</v>
      </c>
      <c r="D114" s="4652"/>
      <c r="E114" s="6162" t="s">
        <v>16</v>
      </c>
      <c r="F114" s="7672" t="s">
        <v>196</v>
      </c>
      <c r="G114" s="9182" t="s">
        <v>27</v>
      </c>
      <c r="H114" s="10692">
        <v>2</v>
      </c>
      <c r="I114" s="12202"/>
      <c r="J114" t="s">
        <v>28</v>
      </c>
    </row>
    <row r="115" spans="1:10" outlineLevel="2">
      <c r="A115" s="123" t="s">
        <v>440</v>
      </c>
      <c r="B115" s="1633" t="s">
        <v>81</v>
      </c>
      <c r="C115" s="3143" t="s">
        <v>198</v>
      </c>
      <c r="D115" s="4653"/>
      <c r="E115" s="6163" t="s">
        <v>32</v>
      </c>
      <c r="F115" s="7673" t="s">
        <v>199</v>
      </c>
      <c r="G115" s="9183" t="s">
        <v>15</v>
      </c>
      <c r="H115" s="10693">
        <v>2</v>
      </c>
      <c r="I115" s="12203"/>
      <c r="J115" t="s">
        <v>28</v>
      </c>
    </row>
    <row r="116" spans="1:10" outlineLevel="2">
      <c r="A116" s="124" t="s">
        <v>441</v>
      </c>
      <c r="B116" s="1634" t="s">
        <v>201</v>
      </c>
      <c r="C116" s="3144" t="s">
        <v>202</v>
      </c>
      <c r="D116" s="4654"/>
      <c r="E116" s="6164" t="s">
        <v>203</v>
      </c>
      <c r="F116" s="7674" t="s">
        <v>204</v>
      </c>
      <c r="G116" s="9184" t="s">
        <v>27</v>
      </c>
      <c r="H116" s="10694">
        <v>3</v>
      </c>
      <c r="I116" s="12204" t="s">
        <v>16</v>
      </c>
      <c r="J116" t="s">
        <v>28</v>
      </c>
    </row>
    <row r="117" spans="1:10" outlineLevel="2">
      <c r="A117" s="125" t="s">
        <v>442</v>
      </c>
      <c r="B117" s="1635" t="s">
        <v>206</v>
      </c>
      <c r="C117" s="3145" t="s">
        <v>207</v>
      </c>
      <c r="D117" s="4655"/>
      <c r="E117" s="6165" t="s">
        <v>208</v>
      </c>
      <c r="F117" s="7675" t="s">
        <v>209</v>
      </c>
      <c r="G117" s="9185" t="s">
        <v>27</v>
      </c>
      <c r="H117" s="10695">
        <v>2</v>
      </c>
      <c r="I117" s="12205" t="s">
        <v>16</v>
      </c>
      <c r="J117" t="s">
        <v>28</v>
      </c>
    </row>
    <row r="118" spans="1:10" outlineLevel="2">
      <c r="A118" s="126" t="s">
        <v>443</v>
      </c>
      <c r="B118" s="1636" t="s">
        <v>247</v>
      </c>
      <c r="C118" s="3146" t="s">
        <v>444</v>
      </c>
      <c r="D118" s="4656" t="s">
        <v>445</v>
      </c>
      <c r="E118" s="6166" t="s">
        <v>25</v>
      </c>
      <c r="F118" s="7676" t="s">
        <v>446</v>
      </c>
      <c r="G118" s="9186" t="s">
        <v>27</v>
      </c>
      <c r="H118" s="10696">
        <v>3</v>
      </c>
      <c r="I118" s="12206" t="s">
        <v>16</v>
      </c>
      <c r="J118" t="s">
        <v>28</v>
      </c>
    </row>
    <row r="119" spans="1:10" ht="15.75" outlineLevel="2">
      <c r="A119" s="127" t="s">
        <v>447</v>
      </c>
      <c r="B119" s="1637" t="s">
        <v>211</v>
      </c>
      <c r="C119" s="3147" t="s">
        <v>212</v>
      </c>
      <c r="D119" s="4657"/>
      <c r="E119" s="6167" t="s">
        <v>32</v>
      </c>
      <c r="F119" s="7677" t="s">
        <v>213</v>
      </c>
      <c r="G119" s="9187" t="s">
        <v>15</v>
      </c>
      <c r="H119" s="10697">
        <v>2</v>
      </c>
      <c r="I119" s="12207" t="s">
        <v>16</v>
      </c>
      <c r="J119" s="13600" t="str">
        <f>HYPERLINK("\\192.168.170.18\drawings\2-Basic Components\0000-301 - Tank Connection\0000-301-038-A - TC- Flange DN40 - 1½'' L=200- BM.pdf", "PDF")</f>
        <v>PDF</v>
      </c>
    </row>
    <row r="120" spans="1:10" ht="15.75" outlineLevel="2">
      <c r="A120" s="128" t="s">
        <v>448</v>
      </c>
      <c r="B120" s="1638" t="s">
        <v>215</v>
      </c>
      <c r="C120" s="3148" t="s">
        <v>216</v>
      </c>
      <c r="D120" s="4658"/>
      <c r="E120" s="6168" t="s">
        <v>32</v>
      </c>
      <c r="F120" s="7678" t="s">
        <v>217</v>
      </c>
      <c r="G120" s="9188" t="s">
        <v>15</v>
      </c>
      <c r="H120" s="10698">
        <v>3</v>
      </c>
      <c r="I120" s="12208" t="s">
        <v>16</v>
      </c>
      <c r="J120" s="13600" t="str">
        <f>HYPERLINK("\\192.168.170.18\drawings\2-Basic Components\0000-301 - Tank Connection\0000-301-037-- - TC- Socket DN15-½'' L=168- BM.pdf", "PDF")</f>
        <v>PDF</v>
      </c>
    </row>
    <row r="121" spans="1:10" ht="15.75" outlineLevel="2">
      <c r="A121" s="129" t="s">
        <v>449</v>
      </c>
      <c r="B121" s="1639" t="s">
        <v>219</v>
      </c>
      <c r="C121" s="3149" t="s">
        <v>220</v>
      </c>
      <c r="D121" s="4659"/>
      <c r="E121" s="6169" t="s">
        <v>32</v>
      </c>
      <c r="F121" s="7679" t="s">
        <v>221</v>
      </c>
      <c r="G121" s="9189" t="s">
        <v>15</v>
      </c>
      <c r="H121" s="10699">
        <v>3</v>
      </c>
      <c r="I121" s="12209" t="s">
        <v>16</v>
      </c>
      <c r="J121" s="13600" t="str">
        <f>HYPERLINK("\\192.168.170.18\drawings\2-Basic Components\0000-301 - Tank Connection\0000-301-001-A - TC - Nipple DN15 - ½'' L=40- BG.pdf", "PDF")</f>
        <v>PDF</v>
      </c>
    </row>
    <row r="122" spans="1:10" ht="15.75" outlineLevel="2">
      <c r="A122" s="130" t="s">
        <v>450</v>
      </c>
      <c r="B122" s="1640" t="s">
        <v>223</v>
      </c>
      <c r="C122" s="3150" t="s">
        <v>224</v>
      </c>
      <c r="D122" s="4660"/>
      <c r="E122" s="6170" t="s">
        <v>32</v>
      </c>
      <c r="F122" s="7680" t="s">
        <v>225</v>
      </c>
      <c r="G122" s="9190" t="s">
        <v>15</v>
      </c>
      <c r="H122" s="10700">
        <v>17</v>
      </c>
      <c r="I122" s="12210" t="s">
        <v>16</v>
      </c>
      <c r="J122" s="13600" t="str">
        <f>HYPERLINK("\\192.168.170.18\drawings\2-Basic Components\0000-342 - Pipe Holders\0000-342-022-- - Pipe holder foot L=400.pdf", "PDF")</f>
        <v>PDF</v>
      </c>
    </row>
    <row r="123" spans="1:10" outlineLevel="2">
      <c r="A123" s="131" t="s">
        <v>451</v>
      </c>
      <c r="B123" s="1641" t="s">
        <v>227</v>
      </c>
      <c r="C123" s="3151" t="s">
        <v>228</v>
      </c>
      <c r="D123" s="4661"/>
      <c r="E123" s="6171" t="s">
        <v>32</v>
      </c>
      <c r="F123" s="7681" t="s">
        <v>229</v>
      </c>
      <c r="G123" s="9191" t="s">
        <v>15</v>
      </c>
      <c r="H123" s="10701">
        <v>1</v>
      </c>
      <c r="I123" s="12211" t="s">
        <v>16</v>
      </c>
      <c r="J123" t="s">
        <v>28</v>
      </c>
    </row>
    <row r="124" spans="1:10" outlineLevel="2">
      <c r="A124" s="132" t="s">
        <v>452</v>
      </c>
      <c r="B124" s="1642" t="s">
        <v>227</v>
      </c>
      <c r="C124" s="3152" t="s">
        <v>231</v>
      </c>
      <c r="D124" s="4662"/>
      <c r="E124" s="6172" t="s">
        <v>32</v>
      </c>
      <c r="F124" s="7682" t="s">
        <v>232</v>
      </c>
      <c r="G124" s="9192" t="s">
        <v>15</v>
      </c>
      <c r="H124" s="10702">
        <v>1</v>
      </c>
      <c r="I124" s="12212" t="s">
        <v>16</v>
      </c>
      <c r="J124" t="s">
        <v>28</v>
      </c>
    </row>
    <row r="125" spans="1:10" ht="15.75" outlineLevel="2">
      <c r="A125" s="133" t="s">
        <v>453</v>
      </c>
      <c r="B125" s="1643" t="s">
        <v>234</v>
      </c>
      <c r="C125" s="3153" t="s">
        <v>235</v>
      </c>
      <c r="D125" s="4663" t="s">
        <v>236</v>
      </c>
      <c r="E125" s="6173" t="s">
        <v>32</v>
      </c>
      <c r="F125" s="7683" t="s">
        <v>237</v>
      </c>
      <c r="G125" s="9193" t="s">
        <v>15</v>
      </c>
      <c r="H125" s="10703">
        <v>2</v>
      </c>
      <c r="I125" s="12213" t="s">
        <v>16</v>
      </c>
      <c r="J125" s="13600" t="str">
        <f>HYPERLINK("\\192.168.170.18\drawings\2-Basic Components\0000-310 - Sightglass\0000-310-005-A - Sightglass w.Wiper - DN200 PN0 - Welded.pdf", "PDF")</f>
        <v>PDF</v>
      </c>
    </row>
    <row r="126" spans="1:10" ht="15.75" outlineLevel="2">
      <c r="A126" s="134" t="s">
        <v>454</v>
      </c>
      <c r="B126" s="1644" t="s">
        <v>239</v>
      </c>
      <c r="C126" s="3154" t="s">
        <v>240</v>
      </c>
      <c r="D126" s="4664"/>
      <c r="E126" s="6174" t="s">
        <v>32</v>
      </c>
      <c r="F126" s="7684" t="s">
        <v>241</v>
      </c>
      <c r="G126" s="9194" t="s">
        <v>15</v>
      </c>
      <c r="H126" s="10704">
        <v>52</v>
      </c>
      <c r="I126" s="12214" t="s">
        <v>16</v>
      </c>
      <c r="J126" s="13600" t="str">
        <f>HYPERLINK("\\192.168.170.18\drawings\2-Basic Components\0000-342 - Pipe Holders\0000-342-034-- - Pipe holder foot L=300.pdf", "PDF")</f>
        <v>PDF</v>
      </c>
    </row>
    <row r="127" spans="1:10" ht="15.75" outlineLevel="2">
      <c r="A127" s="135" t="s">
        <v>455</v>
      </c>
      <c r="B127" s="1645" t="s">
        <v>251</v>
      </c>
      <c r="C127" s="3155" t="s">
        <v>252</v>
      </c>
      <c r="D127" s="4665" t="s">
        <v>253</v>
      </c>
      <c r="E127" s="6175" t="s">
        <v>32</v>
      </c>
      <c r="F127" s="7685" t="s">
        <v>254</v>
      </c>
      <c r="G127" s="9195" t="s">
        <v>15</v>
      </c>
      <c r="H127" s="10705">
        <v>1</v>
      </c>
      <c r="I127" s="12215" t="s">
        <v>16</v>
      </c>
      <c r="J127" s="13600" t="str">
        <f>HYPERLINK("\\192.168.170.18\drawings\2-Basic Components\0000-314 - Agitator\0000-314-504-A - Agitator Drive.pdf", "PDF")</f>
        <v>PDF</v>
      </c>
    </row>
    <row r="128" spans="1:10" ht="15.75" outlineLevel="2">
      <c r="A128" s="136" t="s">
        <v>456</v>
      </c>
      <c r="B128" s="1646" t="s">
        <v>256</v>
      </c>
      <c r="C128" s="3156" t="s">
        <v>257</v>
      </c>
      <c r="D128" s="4666" t="s">
        <v>253</v>
      </c>
      <c r="E128" s="6176" t="s">
        <v>25</v>
      </c>
      <c r="F128" s="7686" t="s">
        <v>258</v>
      </c>
      <c r="G128" s="9196" t="s">
        <v>15</v>
      </c>
      <c r="H128" s="10706">
        <v>1</v>
      </c>
      <c r="I128" s="12216" t="s">
        <v>16</v>
      </c>
      <c r="J128" s="13600" t="str">
        <f>HYPERLINK("\\192.168.170.18\drawings\2-Basic Components\0000-314 - Agitator\0000-314-300-- - Agitator L=19152.pdf", "PDF")</f>
        <v>PDF</v>
      </c>
    </row>
    <row r="129" spans="1:10" outlineLevel="2">
      <c r="A129" s="137" t="s">
        <v>457</v>
      </c>
      <c r="B129" s="1647" t="s">
        <v>260</v>
      </c>
      <c r="C129" s="3157" t="s">
        <v>261</v>
      </c>
      <c r="D129" s="4667"/>
      <c r="E129" s="6177" t="s">
        <v>41</v>
      </c>
      <c r="F129" s="7687" t="s">
        <v>262</v>
      </c>
      <c r="G129" s="9197" t="s">
        <v>15</v>
      </c>
      <c r="H129" s="10707">
        <v>1</v>
      </c>
      <c r="I129" s="12217" t="s">
        <v>16</v>
      </c>
      <c r="J129" t="s">
        <v>28</v>
      </c>
    </row>
    <row r="130" spans="1:10" ht="15.75" outlineLevel="2">
      <c r="A130" s="138" t="s">
        <v>458</v>
      </c>
      <c r="B130" s="1648" t="s">
        <v>264</v>
      </c>
      <c r="C130" s="3158" t="s">
        <v>265</v>
      </c>
      <c r="D130" s="4668"/>
      <c r="E130" s="6178" t="s">
        <v>32</v>
      </c>
      <c r="F130" s="7688" t="s">
        <v>266</v>
      </c>
      <c r="G130" s="9198" t="s">
        <v>15</v>
      </c>
      <c r="H130" s="10708">
        <v>3</v>
      </c>
      <c r="I130" s="12218" t="s">
        <v>16</v>
      </c>
      <c r="J130" s="13600" t="str">
        <f>HYPERLINK("\\192.168.170.18\drawings\2-Basic Components\0000-301 - Tank Connection\0000-301-071-B - TC- Flange 15° DN50 PN10 L=170- BG.pdf", "PDF")</f>
        <v>PDF</v>
      </c>
    </row>
    <row r="131" spans="1:10" outlineLevel="2">
      <c r="A131" s="139" t="s">
        <v>459</v>
      </c>
      <c r="B131" s="1649" t="s">
        <v>357</v>
      </c>
      <c r="C131" s="3159" t="s">
        <v>358</v>
      </c>
      <c r="D131" s="4669" t="s">
        <v>359</v>
      </c>
      <c r="E131" s="6179" t="s">
        <v>32</v>
      </c>
      <c r="F131" s="7689" t="s">
        <v>360</v>
      </c>
      <c r="G131" s="9199" t="s">
        <v>15</v>
      </c>
      <c r="H131" s="10709">
        <v>2</v>
      </c>
      <c r="I131" s="12219" t="s">
        <v>16</v>
      </c>
      <c r="J131" t="s">
        <v>28</v>
      </c>
    </row>
    <row r="132" spans="1:10" outlineLevel="2">
      <c r="A132" s="140" t="s">
        <v>460</v>
      </c>
      <c r="B132" s="1650" t="s">
        <v>357</v>
      </c>
      <c r="C132" s="3160" t="s">
        <v>362</v>
      </c>
      <c r="D132" s="4670" t="s">
        <v>363</v>
      </c>
      <c r="E132" s="6180" t="s">
        <v>128</v>
      </c>
      <c r="F132" s="7690" t="s">
        <v>364</v>
      </c>
      <c r="G132" s="9200" t="s">
        <v>15</v>
      </c>
      <c r="H132" s="10710">
        <v>2</v>
      </c>
      <c r="I132" s="12220" t="s">
        <v>16</v>
      </c>
      <c r="J132" t="s">
        <v>28</v>
      </c>
    </row>
    <row r="133" spans="1:10" outlineLevel="2">
      <c r="A133" s="141" t="s">
        <v>461</v>
      </c>
      <c r="B133" s="1651" t="s">
        <v>357</v>
      </c>
      <c r="C133" s="3161" t="s">
        <v>366</v>
      </c>
      <c r="D133" s="4671" t="s">
        <v>367</v>
      </c>
      <c r="E133" s="6181" t="s">
        <v>32</v>
      </c>
      <c r="F133" s="7691" t="s">
        <v>368</v>
      </c>
      <c r="G133" s="9201" t="s">
        <v>15</v>
      </c>
      <c r="H133" s="10711">
        <v>4</v>
      </c>
      <c r="I133" s="12221" t="s">
        <v>16</v>
      </c>
      <c r="J133" t="s">
        <v>28</v>
      </c>
    </row>
    <row r="134" spans="1:10" outlineLevel="2">
      <c r="A134" s="142" t="s">
        <v>462</v>
      </c>
      <c r="B134" s="1652" t="s">
        <v>357</v>
      </c>
      <c r="C134" s="3162" t="s">
        <v>370</v>
      </c>
      <c r="D134" s="4672"/>
      <c r="E134" s="6182" t="s">
        <v>32</v>
      </c>
      <c r="F134" s="7692" t="s">
        <v>371</v>
      </c>
      <c r="G134" s="9202" t="s">
        <v>15</v>
      </c>
      <c r="H134" s="10712">
        <v>2</v>
      </c>
      <c r="I134" s="12222" t="s">
        <v>16</v>
      </c>
      <c r="J134" t="s">
        <v>28</v>
      </c>
    </row>
    <row r="135" spans="1:10" outlineLevel="2">
      <c r="A135" s="143" t="s">
        <v>463</v>
      </c>
      <c r="B135" s="1653" t="s">
        <v>357</v>
      </c>
      <c r="C135" s="3163" t="s">
        <v>373</v>
      </c>
      <c r="D135" s="4673"/>
      <c r="E135" s="6183" t="s">
        <v>32</v>
      </c>
      <c r="F135" s="7693" t="s">
        <v>374</v>
      </c>
      <c r="G135" s="9203" t="s">
        <v>15</v>
      </c>
      <c r="H135" s="10713">
        <v>4</v>
      </c>
      <c r="I135" s="12223" t="s">
        <v>16</v>
      </c>
      <c r="J135" t="s">
        <v>28</v>
      </c>
    </row>
    <row r="136" spans="1:10" outlineLevel="2">
      <c r="A136" s="144" t="s">
        <v>464</v>
      </c>
      <c r="B136" s="1654" t="s">
        <v>247</v>
      </c>
      <c r="C136" s="3164" t="s">
        <v>311</v>
      </c>
      <c r="D136" s="4674"/>
      <c r="E136" s="6184" t="s">
        <v>83</v>
      </c>
      <c r="F136" s="7694" t="s">
        <v>376</v>
      </c>
      <c r="G136" s="9204" t="s">
        <v>27</v>
      </c>
      <c r="H136" s="10714">
        <v>4</v>
      </c>
      <c r="I136" s="12224"/>
      <c r="J136" t="s">
        <v>28</v>
      </c>
    </row>
    <row r="137" spans="1:10" outlineLevel="2">
      <c r="A137" s="145" t="s">
        <v>465</v>
      </c>
      <c r="B137" s="1655" t="s">
        <v>247</v>
      </c>
      <c r="C137" s="3165" t="s">
        <v>248</v>
      </c>
      <c r="D137" s="4675"/>
      <c r="E137" s="6185" t="s">
        <v>32</v>
      </c>
      <c r="F137" s="7695" t="s">
        <v>249</v>
      </c>
      <c r="G137" s="9205" t="s">
        <v>27</v>
      </c>
      <c r="H137" s="10715">
        <v>4</v>
      </c>
      <c r="I137" s="12225"/>
      <c r="J137" t="s">
        <v>28</v>
      </c>
    </row>
    <row r="138" spans="1:10" outlineLevel="2">
      <c r="A138" s="146" t="s">
        <v>466</v>
      </c>
      <c r="B138" s="1656" t="s">
        <v>247</v>
      </c>
      <c r="C138" s="3166" t="s">
        <v>378</v>
      </c>
      <c r="D138" s="4676"/>
      <c r="E138" s="6186" t="s">
        <v>32</v>
      </c>
      <c r="F138" s="7696" t="s">
        <v>379</v>
      </c>
      <c r="G138" s="9206" t="s">
        <v>27</v>
      </c>
      <c r="H138" s="10716">
        <v>2</v>
      </c>
      <c r="I138" s="12226"/>
      <c r="J138" t="s">
        <v>28</v>
      </c>
    </row>
    <row r="139" spans="1:10" outlineLevel="2">
      <c r="A139" s="147" t="s">
        <v>467</v>
      </c>
      <c r="B139" s="1657" t="s">
        <v>357</v>
      </c>
      <c r="C139" s="3167" t="s">
        <v>381</v>
      </c>
      <c r="D139" s="4677" t="s">
        <v>382</v>
      </c>
      <c r="E139" s="6187" t="s">
        <v>32</v>
      </c>
      <c r="F139" s="7697" t="s">
        <v>383</v>
      </c>
      <c r="G139" s="9207" t="s">
        <v>15</v>
      </c>
      <c r="H139" s="10717">
        <v>2</v>
      </c>
      <c r="I139" s="12227" t="s">
        <v>16</v>
      </c>
      <c r="J139" t="s">
        <v>28</v>
      </c>
    </row>
    <row r="140" spans="1:10" outlineLevel="2">
      <c r="A140" s="148" t="s">
        <v>468</v>
      </c>
      <c r="B140" s="1658" t="s">
        <v>247</v>
      </c>
      <c r="C140" s="3168" t="s">
        <v>385</v>
      </c>
      <c r="D140" s="4678" t="s">
        <v>386</v>
      </c>
      <c r="E140" s="6188" t="s">
        <v>25</v>
      </c>
      <c r="F140" s="7698" t="s">
        <v>387</v>
      </c>
      <c r="G140" s="9208" t="s">
        <v>27</v>
      </c>
      <c r="H140" s="10718">
        <v>2</v>
      </c>
      <c r="I140" s="12228" t="s">
        <v>16</v>
      </c>
      <c r="J140" t="s">
        <v>28</v>
      </c>
    </row>
    <row r="141" spans="1:10" outlineLevel="2">
      <c r="A141" s="149" t="s">
        <v>469</v>
      </c>
      <c r="B141" s="1659" t="s">
        <v>268</v>
      </c>
      <c r="C141" s="3169" t="s">
        <v>269</v>
      </c>
      <c r="D141" s="4679"/>
      <c r="E141" s="6189" t="s">
        <v>41</v>
      </c>
      <c r="F141" s="7699" t="s">
        <v>270</v>
      </c>
      <c r="G141" s="9209" t="s">
        <v>15</v>
      </c>
      <c r="H141" s="10719">
        <v>2</v>
      </c>
      <c r="I141" s="12229" t="s">
        <v>16</v>
      </c>
      <c r="J141" t="s">
        <v>28</v>
      </c>
    </row>
    <row r="142" spans="1:10" outlineLevel="2">
      <c r="A142" s="150" t="s">
        <v>470</v>
      </c>
      <c r="B142" s="1660" t="s">
        <v>268</v>
      </c>
      <c r="C142" s="3170" t="s">
        <v>272</v>
      </c>
      <c r="D142" s="4680"/>
      <c r="E142" s="6190" t="s">
        <v>41</v>
      </c>
      <c r="F142" s="7700" t="s">
        <v>273</v>
      </c>
      <c r="G142" s="9210" t="s">
        <v>15</v>
      </c>
      <c r="H142" s="10720">
        <v>4</v>
      </c>
      <c r="I142" s="12230" t="s">
        <v>16</v>
      </c>
      <c r="J142" t="s">
        <v>28</v>
      </c>
    </row>
    <row r="143" spans="1:10" outlineLevel="2">
      <c r="A143" s="151" t="s">
        <v>471</v>
      </c>
      <c r="B143" s="1661" t="s">
        <v>275</v>
      </c>
      <c r="C143" s="3171" t="s">
        <v>276</v>
      </c>
      <c r="D143" s="4681"/>
      <c r="E143" s="6191" t="s">
        <v>41</v>
      </c>
      <c r="F143" s="7701" t="s">
        <v>277</v>
      </c>
      <c r="G143" s="9211" t="s">
        <v>15</v>
      </c>
      <c r="H143" s="10721">
        <v>2</v>
      </c>
      <c r="I143" s="12231" t="s">
        <v>16</v>
      </c>
      <c r="J143" t="s">
        <v>28</v>
      </c>
    </row>
    <row r="144" spans="1:10" outlineLevel="2">
      <c r="A144" s="152" t="s">
        <v>472</v>
      </c>
      <c r="B144" s="1662" t="s">
        <v>268</v>
      </c>
      <c r="C144" s="3172" t="s">
        <v>279</v>
      </c>
      <c r="D144" s="4682"/>
      <c r="E144" s="6192" t="s">
        <v>41</v>
      </c>
      <c r="F144" s="7702" t="s">
        <v>280</v>
      </c>
      <c r="G144" s="9212" t="s">
        <v>15</v>
      </c>
      <c r="H144" s="10722">
        <v>2</v>
      </c>
      <c r="I144" s="12232" t="s">
        <v>16</v>
      </c>
      <c r="J144" t="s">
        <v>28</v>
      </c>
    </row>
    <row r="145" spans="1:10" ht="15.75" outlineLevel="2">
      <c r="A145" s="153" t="s">
        <v>473</v>
      </c>
      <c r="B145" s="1663" t="s">
        <v>282</v>
      </c>
      <c r="C145" s="3173" t="s">
        <v>283</v>
      </c>
      <c r="D145" s="4683"/>
      <c r="E145" s="6193" t="s">
        <v>25</v>
      </c>
      <c r="F145" s="7703" t="s">
        <v>284</v>
      </c>
      <c r="G145" s="9213" t="s">
        <v>15</v>
      </c>
      <c r="H145" s="10723">
        <v>1</v>
      </c>
      <c r="I145" s="12233" t="s">
        <v>16</v>
      </c>
      <c r="J145" s="13600" t="str">
        <f>HYPERLINK("\\192.168.170.18\drawings\2-Basic Components\0000-315 - Central Flange\0000-315-003-A - Trap DN500 - pressure = 35 mbar_vacuum = -3 mbar.pdf", "PDF")</f>
        <v>PDF</v>
      </c>
    </row>
    <row r="146" spans="1:10" ht="15.75" outlineLevel="2">
      <c r="A146" s="154" t="s">
        <v>474</v>
      </c>
      <c r="B146" s="1664" t="s">
        <v>286</v>
      </c>
      <c r="C146" s="3174" t="s">
        <v>287</v>
      </c>
      <c r="D146" s="4684"/>
      <c r="E146" s="6194" t="s">
        <v>32</v>
      </c>
      <c r="F146" s="7704" t="s">
        <v>288</v>
      </c>
      <c r="G146" s="9214" t="s">
        <v>15</v>
      </c>
      <c r="H146" s="10724">
        <v>4</v>
      </c>
      <c r="I146" s="12234" t="s">
        <v>16</v>
      </c>
      <c r="J146" s="13600" t="str">
        <f>HYPERLINK("\\192.168.170.18\drawings\2-Basic Components\0000-301 - Tank Connection\0000-301-120-- - TC- Flange Elbow DN150 PN10 L=450 - BM.pdf", "PDF")</f>
        <v>PDF</v>
      </c>
    </row>
    <row r="147" spans="1:10" ht="15.75" outlineLevel="2">
      <c r="A147" s="155" t="s">
        <v>475</v>
      </c>
      <c r="B147" s="1665" t="s">
        <v>290</v>
      </c>
      <c r="C147" s="3175" t="s">
        <v>291</v>
      </c>
      <c r="D147" s="4685"/>
      <c r="E147" s="6195" t="s">
        <v>32</v>
      </c>
      <c r="F147" s="7705" t="s">
        <v>292</v>
      </c>
      <c r="G147" s="9215" t="s">
        <v>15</v>
      </c>
      <c r="H147" s="10725">
        <v>1</v>
      </c>
      <c r="I147" s="12235"/>
      <c r="J147" s="13600" t="str">
        <f>HYPERLINK("\\192.168.170.18\drawings\2-Basic Components\0000-321 - Straight Connection\0000-321-106-- - Biomass - Straight Connection - DN100x6m.pdf", "PDF")</f>
        <v>PDF</v>
      </c>
    </row>
    <row r="148" spans="1:10" ht="15.75" outlineLevel="2">
      <c r="A148" s="156" t="s">
        <v>476</v>
      </c>
      <c r="B148" s="1666" t="s">
        <v>294</v>
      </c>
      <c r="C148" s="3176" t="s">
        <v>295</v>
      </c>
      <c r="D148" s="4686"/>
      <c r="E148" s="6196" t="s">
        <v>32</v>
      </c>
      <c r="F148" s="7706" t="s">
        <v>296</v>
      </c>
      <c r="G148" s="9216" t="s">
        <v>15</v>
      </c>
      <c r="H148" s="10726">
        <v>4</v>
      </c>
      <c r="I148" s="12236"/>
      <c r="J148" s="13600" t="str">
        <f>HYPERLINK("\\192.168.170.18\drawings\2-Basic Components\0000-342 - Pipe Holders\0000-342-270-B - DN100 Pipeholder for bottom mounting.pdf", "PDF")</f>
        <v>PDF</v>
      </c>
    </row>
    <row r="149" spans="1:10" ht="15.75" outlineLevel="2">
      <c r="A149" s="157" t="s">
        <v>477</v>
      </c>
      <c r="B149" s="1667" t="s">
        <v>298</v>
      </c>
      <c r="C149" s="3177" t="s">
        <v>299</v>
      </c>
      <c r="D149" s="4687"/>
      <c r="E149" s="6197" t="s">
        <v>32</v>
      </c>
      <c r="F149" s="7707" t="s">
        <v>300</v>
      </c>
      <c r="G149" s="9217" t="s">
        <v>15</v>
      </c>
      <c r="H149" s="10727">
        <v>2</v>
      </c>
      <c r="I149" s="12237" t="s">
        <v>16</v>
      </c>
      <c r="J149" s="13600" t="str">
        <f>HYPERLINK("\\192.168.170.18\drawings\2-Basic Components\0000-301 - Tank Connection\0000-301-119-- - TC- Flange DN150 PN10 L=330 - BM.pdf", "PDF")</f>
        <v>PDF</v>
      </c>
    </row>
    <row r="150" spans="1:10" ht="15.75" outlineLevel="2">
      <c r="A150" s="158" t="s">
        <v>478</v>
      </c>
      <c r="B150" s="1668" t="s">
        <v>302</v>
      </c>
      <c r="C150" s="3178" t="s">
        <v>303</v>
      </c>
      <c r="D150" s="4688" t="s">
        <v>304</v>
      </c>
      <c r="E150" s="6198" t="s">
        <v>32</v>
      </c>
      <c r="F150" s="7708" t="s">
        <v>305</v>
      </c>
      <c r="G150" s="9218" t="s">
        <v>15</v>
      </c>
      <c r="H150" s="10728">
        <v>1</v>
      </c>
      <c r="I150" s="12238" t="s">
        <v>16</v>
      </c>
      <c r="J150" s="13600" t="str">
        <f>HYPERLINK("\\192.168.170.18\drawings\2-Basic Components\0000-321 - Straight Connection\0000-321-103-A - Outlet pipe DN100 - Biomass.pdf", "PDF")</f>
        <v>PDF</v>
      </c>
    </row>
    <row r="151" spans="1:10" ht="15.75" outlineLevel="2">
      <c r="A151" s="159" t="s">
        <v>479</v>
      </c>
      <c r="B151" s="1669" t="s">
        <v>307</v>
      </c>
      <c r="C151" s="3179" t="s">
        <v>308</v>
      </c>
      <c r="D151" s="4689"/>
      <c r="E151" s="6199" t="s">
        <v>32</v>
      </c>
      <c r="F151" s="7709" t="s">
        <v>309</v>
      </c>
      <c r="G151" s="9219" t="s">
        <v>15</v>
      </c>
      <c r="H151" s="10729">
        <v>2</v>
      </c>
      <c r="I151" s="12239" t="s">
        <v>16</v>
      </c>
      <c r="J151" s="13600" t="str">
        <f>HYPERLINK("\\192.168.170.18\drawings\2-Basic Components\0000-301 - Tank Connection\0000-301-122-- - TC- Flange DN150 PN10 L=330 - BM.pdf", "PDF")</f>
        <v>PDF</v>
      </c>
    </row>
    <row r="152" spans="1:10" outlineLevel="2">
      <c r="A152" s="160" t="s">
        <v>480</v>
      </c>
      <c r="B152" s="1670" t="s">
        <v>247</v>
      </c>
      <c r="C152" s="3180" t="s">
        <v>311</v>
      </c>
      <c r="D152" s="4690"/>
      <c r="E152" s="6200" t="s">
        <v>25</v>
      </c>
      <c r="F152" s="7710" t="s">
        <v>312</v>
      </c>
      <c r="G152" s="9220" t="s">
        <v>27</v>
      </c>
      <c r="H152" s="10730">
        <v>1</v>
      </c>
      <c r="I152" s="12240"/>
      <c r="J152" t="s">
        <v>28</v>
      </c>
    </row>
    <row r="153" spans="1:10" ht="15.75" outlineLevel="2">
      <c r="A153" s="161" t="s">
        <v>481</v>
      </c>
      <c r="B153" s="1671" t="s">
        <v>314</v>
      </c>
      <c r="C153" s="3181" t="s">
        <v>315</v>
      </c>
      <c r="D153" s="4691"/>
      <c r="E153" s="6201" t="s">
        <v>32</v>
      </c>
      <c r="F153" s="7711" t="s">
        <v>316</v>
      </c>
      <c r="G153" s="9221" t="s">
        <v>15</v>
      </c>
      <c r="H153" s="10731">
        <v>1</v>
      </c>
      <c r="I153" s="12241" t="s">
        <v>16</v>
      </c>
      <c r="J153" s="13600" t="str">
        <f>HYPERLINK("\\192.168.170.18\drawings\2-Basic Components\0000-321 - Straight Connection\0000-321-109-- - Biomass - Straight Connection - DN100x6m.pdf", "PDF")</f>
        <v>PDF</v>
      </c>
    </row>
    <row r="154" spans="1:10" ht="15.75" outlineLevel="2">
      <c r="A154" s="162" t="s">
        <v>482</v>
      </c>
      <c r="B154" s="1672" t="s">
        <v>318</v>
      </c>
      <c r="C154" s="3182" t="s">
        <v>319</v>
      </c>
      <c r="D154" s="4692"/>
      <c r="E154" s="6202" t="s">
        <v>32</v>
      </c>
      <c r="F154" s="7712" t="s">
        <v>320</v>
      </c>
      <c r="G154" s="9222" t="s">
        <v>15</v>
      </c>
      <c r="H154" s="10732">
        <v>4</v>
      </c>
      <c r="I154" s="12242" t="s">
        <v>16</v>
      </c>
      <c r="J154" s="13600" t="str">
        <f>HYPERLINK("\\192.168.170.18\drawings\2-Basic Components\0000-342 - Pipe Holders\0000-342-274-- - DN125 Pipeholder for bottom mounting.pdf", "PDF")</f>
        <v>PDF</v>
      </c>
    </row>
    <row r="155" spans="1:10" ht="15.75" outlineLevel="2">
      <c r="A155" s="163" t="s">
        <v>483</v>
      </c>
      <c r="B155" s="1673" t="s">
        <v>322</v>
      </c>
      <c r="C155" s="3183" t="s">
        <v>323</v>
      </c>
      <c r="D155" s="4693"/>
      <c r="E155" s="6203" t="s">
        <v>32</v>
      </c>
      <c r="F155" s="7713" t="s">
        <v>324</v>
      </c>
      <c r="G155" s="9223" t="s">
        <v>15</v>
      </c>
      <c r="H155" s="10733">
        <v>3</v>
      </c>
      <c r="I155" s="12243" t="s">
        <v>16</v>
      </c>
      <c r="J155" s="13600" t="str">
        <f>HYPERLINK("\\192.168.170.18\drawings\2-Basic Components\0000-301 - Tank Connection\0000-301-123-- - TC- Flange Elbow DN200 PN10 L=450 - BM.pdf", "PDF")</f>
        <v>PDF</v>
      </c>
    </row>
    <row r="156" spans="1:10" ht="15.75" outlineLevel="2">
      <c r="A156" s="164" t="s">
        <v>484</v>
      </c>
      <c r="B156" s="1674" t="s">
        <v>326</v>
      </c>
      <c r="C156" s="3184" t="s">
        <v>327</v>
      </c>
      <c r="D156" s="4694"/>
      <c r="E156" s="6204" t="s">
        <v>32</v>
      </c>
      <c r="F156" s="7714" t="s">
        <v>328</v>
      </c>
      <c r="G156" s="9224" t="s">
        <v>15</v>
      </c>
      <c r="H156" s="10734">
        <v>6</v>
      </c>
      <c r="I156" s="12244" t="s">
        <v>16</v>
      </c>
      <c r="J156" s="13600" t="str">
        <f>HYPERLINK("\\192.168.170.18\drawings\2-Basic Components\0000-301 - Tank Connection\0000-301-124-- - TC- Flange DN200 PN10 L=330 - BM.pdf", "PDF")</f>
        <v>PDF</v>
      </c>
    </row>
    <row r="157" spans="1:10" ht="15.75" outlineLevel="2">
      <c r="A157" s="165" t="s">
        <v>485</v>
      </c>
      <c r="B157" s="1675" t="s">
        <v>330</v>
      </c>
      <c r="C157" s="3185" t="s">
        <v>331</v>
      </c>
      <c r="D157" s="4695"/>
      <c r="E157" s="6205" t="s">
        <v>32</v>
      </c>
      <c r="F157" s="7715" t="s">
        <v>332</v>
      </c>
      <c r="G157" s="9225" t="s">
        <v>15</v>
      </c>
      <c r="H157" s="10735">
        <v>3</v>
      </c>
      <c r="I157" s="12245" t="s">
        <v>16</v>
      </c>
      <c r="J157" s="13600" t="str">
        <f>HYPERLINK("\\192.168.170.18\drawings\2-Basic Components\0000-321 - Straight Connection\0000-321-157-- - Biomass - Straigth Connection - DN200x6m.pdf", "PDF")</f>
        <v>PDF</v>
      </c>
    </row>
    <row r="158" spans="1:10" outlineLevel="2">
      <c r="A158" s="166" t="s">
        <v>486</v>
      </c>
      <c r="B158" s="1676" t="s">
        <v>334</v>
      </c>
      <c r="C158" s="3186" t="s">
        <v>335</v>
      </c>
      <c r="D158" s="4696"/>
      <c r="E158" s="6206" t="s">
        <v>32</v>
      </c>
      <c r="F158" s="7716" t="s">
        <v>336</v>
      </c>
      <c r="G158" s="9226" t="s">
        <v>15</v>
      </c>
      <c r="H158" s="10736">
        <v>12</v>
      </c>
      <c r="I158" s="12246" t="s">
        <v>16</v>
      </c>
      <c r="J158" t="s">
        <v>28</v>
      </c>
    </row>
    <row r="159" spans="1:10" outlineLevel="2">
      <c r="A159" s="167" t="s">
        <v>487</v>
      </c>
      <c r="B159" s="1677" t="s">
        <v>338</v>
      </c>
      <c r="C159" s="3187" t="s">
        <v>488</v>
      </c>
      <c r="D159" s="4697" t="s">
        <v>340</v>
      </c>
      <c r="E159" s="6207" t="s">
        <v>341</v>
      </c>
      <c r="F159" s="7717" t="s">
        <v>489</v>
      </c>
      <c r="G159" s="9227" t="s">
        <v>15</v>
      </c>
      <c r="H159" s="10737">
        <v>1</v>
      </c>
      <c r="I159" s="12247" t="s">
        <v>16</v>
      </c>
      <c r="J159" t="s">
        <v>28</v>
      </c>
    </row>
    <row r="160" spans="1:10" ht="15.75" outlineLevel="2">
      <c r="A160" s="168" t="s">
        <v>490</v>
      </c>
      <c r="B160" s="1678" t="s">
        <v>344</v>
      </c>
      <c r="C160" s="3188" t="s">
        <v>345</v>
      </c>
      <c r="D160" s="4698" t="s">
        <v>346</v>
      </c>
      <c r="E160" s="6208" t="s">
        <v>32</v>
      </c>
      <c r="F160" s="7718" t="s">
        <v>347</v>
      </c>
      <c r="G160" s="9228" t="s">
        <v>15</v>
      </c>
      <c r="H160" s="10738">
        <v>1</v>
      </c>
      <c r="I160" s="12248" t="s">
        <v>16</v>
      </c>
      <c r="J160" s="13600" t="str">
        <f>HYPERLINK("\\192.168.170.18\drawings\2-Basic Components\0000-315 - Central Flange\0000-315-005-A - Central flange 5200 - DN250 assembly.pdf", "PDF")</f>
        <v>PDF</v>
      </c>
    </row>
    <row r="161" spans="1:10" ht="15.75" outlineLevel="2">
      <c r="A161" s="169" t="s">
        <v>491</v>
      </c>
      <c r="B161" s="1679" t="s">
        <v>349</v>
      </c>
      <c r="C161" s="3189" t="s">
        <v>350</v>
      </c>
      <c r="D161" s="4699" t="s">
        <v>304</v>
      </c>
      <c r="E161" s="6209" t="s">
        <v>32</v>
      </c>
      <c r="F161" s="7719" t="s">
        <v>351</v>
      </c>
      <c r="G161" s="9229" t="s">
        <v>15</v>
      </c>
      <c r="H161" s="10739">
        <v>3</v>
      </c>
      <c r="I161" s="12249" t="s">
        <v>16</v>
      </c>
      <c r="J161" s="13600" t="str">
        <f>HYPERLINK("\\192.168.170.18\drawings\2-Basic Components\0000-321 - Straight Connection\0000-321-158-A - Outlet Pipe DN200 - Biomass.pdf", "PDF")</f>
        <v>PDF</v>
      </c>
    </row>
    <row r="162" spans="1:10" ht="15.75" outlineLevel="2">
      <c r="A162" s="170" t="s">
        <v>492</v>
      </c>
      <c r="B162" s="1680" t="s">
        <v>353</v>
      </c>
      <c r="C162" s="3190" t="s">
        <v>354</v>
      </c>
      <c r="D162" s="4700" t="s">
        <v>304</v>
      </c>
      <c r="E162" s="6210" t="s">
        <v>32</v>
      </c>
      <c r="F162" s="7720" t="s">
        <v>355</v>
      </c>
      <c r="G162" s="9230" t="s">
        <v>15</v>
      </c>
      <c r="H162" s="10740">
        <v>1</v>
      </c>
      <c r="I162" s="12250" t="s">
        <v>16</v>
      </c>
      <c r="J162" s="13600" t="str">
        <f>HYPERLINK("\\192.168.170.18\drawings\2-Basic Components\0000-321 - Straight Connection\0000-321-108-A - Outlet pipe DN125 - Biomass.pdf", "PDF")</f>
        <v>PDF</v>
      </c>
    </row>
    <row r="163" spans="1:10" outlineLevel="2">
      <c r="A163" s="171" t="s">
        <v>493</v>
      </c>
      <c r="B163" s="1681" t="s">
        <v>247</v>
      </c>
      <c r="C163" s="3191" t="s">
        <v>389</v>
      </c>
      <c r="D163" s="4701"/>
      <c r="E163" s="6211" t="s">
        <v>83</v>
      </c>
      <c r="F163" s="7721" t="s">
        <v>390</v>
      </c>
      <c r="G163" s="9231" t="s">
        <v>27</v>
      </c>
      <c r="H163" s="10741">
        <v>6</v>
      </c>
      <c r="I163" s="12251"/>
      <c r="J163" t="s">
        <v>28</v>
      </c>
    </row>
    <row r="164" spans="1:10" outlineLevel="2">
      <c r="A164" s="172" t="s">
        <v>494</v>
      </c>
      <c r="B164" s="1682" t="s">
        <v>243</v>
      </c>
      <c r="C164" s="3192" t="s">
        <v>244</v>
      </c>
      <c r="D164" s="4702"/>
      <c r="E164" s="6212" t="s">
        <v>32</v>
      </c>
      <c r="F164" s="7722" t="s">
        <v>245</v>
      </c>
      <c r="G164" s="9232" t="s">
        <v>15</v>
      </c>
      <c r="H164" s="10742">
        <v>2</v>
      </c>
      <c r="I164" s="12252"/>
      <c r="J164" t="s">
        <v>28</v>
      </c>
    </row>
    <row r="165" spans="1:10" outlineLevel="2">
      <c r="A165" s="173" t="s">
        <v>495</v>
      </c>
      <c r="B165" s="1683" t="s">
        <v>243</v>
      </c>
      <c r="C165" s="3193" t="s">
        <v>392</v>
      </c>
      <c r="D165" s="4703"/>
      <c r="E165" s="6213" t="s">
        <v>32</v>
      </c>
      <c r="F165" s="7723" t="s">
        <v>393</v>
      </c>
      <c r="G165" s="9233" t="s">
        <v>15</v>
      </c>
      <c r="H165" s="10743">
        <v>6</v>
      </c>
      <c r="I165" s="12253" t="s">
        <v>16</v>
      </c>
      <c r="J165" t="s">
        <v>28</v>
      </c>
    </row>
    <row r="166" spans="1:10" outlineLevel="1">
      <c r="A166" s="174" t="s">
        <v>496</v>
      </c>
      <c r="B166" s="1684" t="s">
        <v>497</v>
      </c>
      <c r="C166" s="3194" t="s">
        <v>498</v>
      </c>
      <c r="D166" s="4704" t="s">
        <v>13</v>
      </c>
      <c r="E166" s="6214" t="s">
        <v>153</v>
      </c>
      <c r="F166" s="7724" t="s">
        <v>499</v>
      </c>
      <c r="G166" s="9234" t="s">
        <v>15</v>
      </c>
      <c r="H166" s="10744">
        <v>1</v>
      </c>
      <c r="I166" s="12254" t="s">
        <v>16</v>
      </c>
      <c r="J166" t="s">
        <v>28</v>
      </c>
    </row>
    <row r="167" spans="1:10" outlineLevel="1">
      <c r="A167" s="175" t="s">
        <v>500</v>
      </c>
      <c r="B167" s="1685" t="s">
        <v>501</v>
      </c>
      <c r="C167" s="3195" t="s">
        <v>502</v>
      </c>
      <c r="D167" s="4705"/>
      <c r="E167" s="6215" t="s">
        <v>41</v>
      </c>
      <c r="F167" s="7725" t="s">
        <v>503</v>
      </c>
      <c r="G167" s="9235" t="s">
        <v>15</v>
      </c>
      <c r="H167" s="10745">
        <v>2</v>
      </c>
      <c r="I167" s="12255" t="s">
        <v>16</v>
      </c>
      <c r="J167" t="s">
        <v>28</v>
      </c>
    </row>
    <row r="168" spans="1:10" outlineLevel="1">
      <c r="A168" s="176" t="s">
        <v>504</v>
      </c>
      <c r="B168" s="1686" t="s">
        <v>501</v>
      </c>
      <c r="C168" s="3196" t="s">
        <v>505</v>
      </c>
      <c r="D168" s="4706"/>
      <c r="E168" s="6216" t="s">
        <v>41</v>
      </c>
      <c r="F168" s="7726" t="s">
        <v>506</v>
      </c>
      <c r="G168" s="9236" t="s">
        <v>15</v>
      </c>
      <c r="H168" s="10746">
        <v>1</v>
      </c>
      <c r="I168" s="12256" t="s">
        <v>16</v>
      </c>
      <c r="J168" t="s">
        <v>28</v>
      </c>
    </row>
    <row r="169" spans="1:10" outlineLevel="1">
      <c r="A169" s="177" t="s">
        <v>507</v>
      </c>
      <c r="B169" s="1687" t="s">
        <v>508</v>
      </c>
      <c r="C169" s="3197"/>
      <c r="D169" s="4707"/>
      <c r="E169" s="6217" t="s">
        <v>32</v>
      </c>
      <c r="F169" s="7727" t="s">
        <v>509</v>
      </c>
      <c r="G169" s="9237" t="s">
        <v>15</v>
      </c>
      <c r="H169" s="10747">
        <v>1</v>
      </c>
      <c r="I169" s="12257" t="s">
        <v>16</v>
      </c>
      <c r="J169" t="s">
        <v>28</v>
      </c>
    </row>
    <row r="170" spans="1:10" outlineLevel="1">
      <c r="A170" s="178" t="s">
        <v>510</v>
      </c>
      <c r="B170" s="1688" t="s">
        <v>511</v>
      </c>
      <c r="C170" s="3198"/>
      <c r="D170" s="4708"/>
      <c r="E170" s="6218" t="s">
        <v>512</v>
      </c>
      <c r="F170" s="7728" t="s">
        <v>513</v>
      </c>
      <c r="G170" s="9238" t="s">
        <v>15</v>
      </c>
      <c r="H170" s="10748">
        <v>1</v>
      </c>
      <c r="I170" s="12258" t="s">
        <v>16</v>
      </c>
      <c r="J170" t="s">
        <v>28</v>
      </c>
    </row>
    <row r="171" spans="1:10" outlineLevel="1">
      <c r="A171" s="179" t="s">
        <v>514</v>
      </c>
      <c r="B171" s="1689" t="s">
        <v>515</v>
      </c>
      <c r="C171" s="3199"/>
      <c r="D171" s="4709"/>
      <c r="E171" s="6219" t="s">
        <v>32</v>
      </c>
      <c r="F171" s="7729" t="s">
        <v>516</v>
      </c>
      <c r="G171" s="9239" t="s">
        <v>15</v>
      </c>
      <c r="H171" s="10749">
        <v>1</v>
      </c>
      <c r="I171" s="12259" t="s">
        <v>16</v>
      </c>
      <c r="J171" t="s">
        <v>28</v>
      </c>
    </row>
    <row r="172" spans="1:10" outlineLevel="1">
      <c r="A172" s="180" t="s">
        <v>517</v>
      </c>
      <c r="B172" s="1690" t="s">
        <v>518</v>
      </c>
      <c r="C172" s="3200"/>
      <c r="D172" s="4710"/>
      <c r="E172" s="6220"/>
      <c r="F172" s="7730" t="s">
        <v>519</v>
      </c>
      <c r="G172" s="9240" t="s">
        <v>15</v>
      </c>
      <c r="H172" s="10750">
        <v>1</v>
      </c>
      <c r="I172" s="12260" t="s">
        <v>16</v>
      </c>
      <c r="J172" t="s">
        <v>28</v>
      </c>
    </row>
    <row r="173" spans="1:10" ht="15.75" outlineLevel="2">
      <c r="A173" s="181" t="s">
        <v>520</v>
      </c>
      <c r="B173" s="1691" t="s">
        <v>521</v>
      </c>
      <c r="C173" s="3201" t="s">
        <v>522</v>
      </c>
      <c r="D173" s="4711"/>
      <c r="E173" s="6221" t="s">
        <v>41</v>
      </c>
      <c r="F173" s="7731" t="s">
        <v>523</v>
      </c>
      <c r="G173" s="9241" t="s">
        <v>15</v>
      </c>
      <c r="H173" s="10751">
        <v>1</v>
      </c>
      <c r="I173" s="12261" t="s">
        <v>16</v>
      </c>
      <c r="J173" s="13600" t="str">
        <f>HYPERLINK("\\192.168.170.18\drawings\2-Basic Components\0000-316 - Heat-Exchangers\0000-316-011-- - 4 HEX Water-Biomass Ver. 02.pdf", "PDF")</f>
        <v>PDF</v>
      </c>
    </row>
    <row r="174" spans="1:10" outlineLevel="2">
      <c r="A174" s="182" t="s">
        <v>524</v>
      </c>
      <c r="B174" s="1692" t="s">
        <v>525</v>
      </c>
      <c r="C174" s="3202" t="s">
        <v>526</v>
      </c>
      <c r="D174" s="4712"/>
      <c r="E174" s="6222" t="s">
        <v>208</v>
      </c>
      <c r="F174" s="7732" t="s">
        <v>527</v>
      </c>
      <c r="G174" s="9242" t="s">
        <v>27</v>
      </c>
      <c r="H174" s="10752">
        <v>4</v>
      </c>
      <c r="I174" s="12262"/>
      <c r="J174" t="s">
        <v>28</v>
      </c>
    </row>
    <row r="175" spans="1:10" outlineLevel="2">
      <c r="A175" s="183" t="s">
        <v>528</v>
      </c>
      <c r="B175" s="1693" t="s">
        <v>81</v>
      </c>
      <c r="C175" s="3203" t="s">
        <v>529</v>
      </c>
      <c r="D175" s="4713"/>
      <c r="E175" s="6223" t="s">
        <v>97</v>
      </c>
      <c r="F175" s="7733" t="s">
        <v>530</v>
      </c>
      <c r="G175" s="9243" t="s">
        <v>15</v>
      </c>
      <c r="H175" s="10753">
        <v>4</v>
      </c>
      <c r="I175" s="12263"/>
      <c r="J175" t="s">
        <v>28</v>
      </c>
    </row>
    <row r="176" spans="1:10" outlineLevel="2">
      <c r="A176" s="184" t="s">
        <v>531</v>
      </c>
      <c r="B176" s="1694" t="s">
        <v>532</v>
      </c>
      <c r="C176" s="3204" t="s">
        <v>533</v>
      </c>
      <c r="D176" s="4714"/>
      <c r="E176" s="6224" t="s">
        <v>16</v>
      </c>
      <c r="F176" s="7734" t="s">
        <v>534</v>
      </c>
      <c r="G176" s="9244" t="s">
        <v>27</v>
      </c>
      <c r="H176" s="10754">
        <v>4</v>
      </c>
      <c r="I176" s="12264"/>
      <c r="J176" t="s">
        <v>28</v>
      </c>
    </row>
    <row r="177" spans="1:10" outlineLevel="2">
      <c r="A177" s="185" t="s">
        <v>535</v>
      </c>
      <c r="B177" s="1695" t="s">
        <v>536</v>
      </c>
      <c r="C177" s="3205" t="s">
        <v>537</v>
      </c>
      <c r="D177" s="4715"/>
      <c r="E177" s="6225" t="s">
        <v>208</v>
      </c>
      <c r="F177" s="7735" t="s">
        <v>538</v>
      </c>
      <c r="G177" s="9245" t="s">
        <v>27</v>
      </c>
      <c r="H177" s="10755">
        <v>4</v>
      </c>
      <c r="I177" s="12265" t="s">
        <v>16</v>
      </c>
      <c r="J177" t="s">
        <v>28</v>
      </c>
    </row>
    <row r="178" spans="1:10" outlineLevel="1">
      <c r="A178" s="186" t="s">
        <v>539</v>
      </c>
      <c r="B178" s="1696" t="s">
        <v>540</v>
      </c>
      <c r="C178" s="3206" t="s">
        <v>541</v>
      </c>
      <c r="D178" s="4716" t="s">
        <v>542</v>
      </c>
      <c r="E178" s="6226"/>
      <c r="F178" s="7736" t="s">
        <v>543</v>
      </c>
      <c r="G178" s="9246" t="s">
        <v>15</v>
      </c>
      <c r="H178" s="10756">
        <v>1</v>
      </c>
      <c r="I178" s="12266" t="s">
        <v>16</v>
      </c>
      <c r="J178" t="s">
        <v>28</v>
      </c>
    </row>
    <row r="179" spans="1:10" outlineLevel="2">
      <c r="A179" s="187" t="s">
        <v>544</v>
      </c>
      <c r="B179" s="1697" t="s">
        <v>545</v>
      </c>
      <c r="C179" s="3207" t="s">
        <v>546</v>
      </c>
      <c r="D179" s="4717" t="s">
        <v>547</v>
      </c>
      <c r="E179" s="6227" t="s">
        <v>153</v>
      </c>
      <c r="F179" s="7737" t="s">
        <v>548</v>
      </c>
      <c r="G179" s="9247" t="s">
        <v>15</v>
      </c>
      <c r="H179" s="10757">
        <v>1</v>
      </c>
      <c r="I179" s="12267" t="s">
        <v>16</v>
      </c>
      <c r="J179" t="s">
        <v>28</v>
      </c>
    </row>
    <row r="180" spans="1:10" outlineLevel="2">
      <c r="A180" s="188" t="s">
        <v>549</v>
      </c>
      <c r="B180" s="1698" t="s">
        <v>108</v>
      </c>
      <c r="C180" s="3208" t="s">
        <v>550</v>
      </c>
      <c r="D180" s="4718"/>
      <c r="E180" s="6228" t="s">
        <v>83</v>
      </c>
      <c r="F180" s="7738" t="s">
        <v>551</v>
      </c>
      <c r="G180" s="9248" t="s">
        <v>27</v>
      </c>
      <c r="H180" s="10758">
        <v>1</v>
      </c>
      <c r="I180" s="12268"/>
      <c r="J180" t="s">
        <v>28</v>
      </c>
    </row>
    <row r="181" spans="1:10" outlineLevel="2">
      <c r="A181" s="189" t="s">
        <v>552</v>
      </c>
      <c r="B181" s="1699" t="s">
        <v>553</v>
      </c>
      <c r="C181" s="3209" t="s">
        <v>554</v>
      </c>
      <c r="D181" s="4719"/>
      <c r="E181" s="6229" t="s">
        <v>41</v>
      </c>
      <c r="F181" s="7739" t="s">
        <v>555</v>
      </c>
      <c r="G181" s="9249" t="s">
        <v>15</v>
      </c>
      <c r="H181" s="10759">
        <v>1</v>
      </c>
      <c r="I181" s="12269" t="s">
        <v>16</v>
      </c>
      <c r="J181" t="s">
        <v>28</v>
      </c>
    </row>
    <row r="182" spans="1:10" outlineLevel="2">
      <c r="A182" s="190" t="s">
        <v>556</v>
      </c>
      <c r="B182" s="1700" t="s">
        <v>557</v>
      </c>
      <c r="C182" s="3210" t="s">
        <v>558</v>
      </c>
      <c r="D182" s="4720" t="s">
        <v>559</v>
      </c>
      <c r="E182" s="6230" t="s">
        <v>32</v>
      </c>
      <c r="F182" s="7740" t="s">
        <v>560</v>
      </c>
      <c r="G182" s="9250" t="s">
        <v>15</v>
      </c>
      <c r="H182" s="10760">
        <v>1</v>
      </c>
      <c r="I182" s="12270" t="s">
        <v>16</v>
      </c>
      <c r="J182" t="s">
        <v>28</v>
      </c>
    </row>
    <row r="183" spans="1:10" outlineLevel="2">
      <c r="A183" s="191" t="s">
        <v>561</v>
      </c>
      <c r="B183" s="1701" t="s">
        <v>562</v>
      </c>
      <c r="C183" s="3211" t="s">
        <v>563</v>
      </c>
      <c r="D183" s="4721"/>
      <c r="E183" s="6231" t="s">
        <v>41</v>
      </c>
      <c r="F183" s="7741" t="s">
        <v>564</v>
      </c>
      <c r="G183" s="9251" t="s">
        <v>27</v>
      </c>
      <c r="H183" s="10761">
        <v>1</v>
      </c>
      <c r="I183" s="12271" t="s">
        <v>16</v>
      </c>
      <c r="J183" t="s">
        <v>28</v>
      </c>
    </row>
    <row r="184" spans="1:10" outlineLevel="2">
      <c r="A184" s="192" t="s">
        <v>565</v>
      </c>
      <c r="B184" s="1702" t="s">
        <v>566</v>
      </c>
      <c r="C184" s="3212" t="s">
        <v>567</v>
      </c>
      <c r="D184" s="4722"/>
      <c r="E184" s="6232" t="s">
        <v>41</v>
      </c>
      <c r="F184" s="7742" t="s">
        <v>568</v>
      </c>
      <c r="G184" s="9252" t="s">
        <v>15</v>
      </c>
      <c r="H184" s="10762">
        <v>1</v>
      </c>
      <c r="I184" s="12272" t="s">
        <v>16</v>
      </c>
      <c r="J184" t="s">
        <v>28</v>
      </c>
    </row>
    <row r="185" spans="1:10" ht="15.75" outlineLevel="1">
      <c r="A185" s="193" t="s">
        <v>569</v>
      </c>
      <c r="B185" s="1703" t="s">
        <v>570</v>
      </c>
      <c r="C185" s="3213" t="s">
        <v>19</v>
      </c>
      <c r="D185" s="4723" t="s">
        <v>571</v>
      </c>
      <c r="E185" s="6233"/>
      <c r="F185" s="7743" t="s">
        <v>572</v>
      </c>
      <c r="G185" s="9253" t="s">
        <v>15</v>
      </c>
      <c r="H185" s="10763">
        <v>1</v>
      </c>
      <c r="I185" s="12273" t="s">
        <v>16</v>
      </c>
      <c r="J185" s="13600" t="str">
        <f>HYPERLINK("\\192.168.170.18\drawings\5-Projects\2500 - Aabenraa\Area 04 - Digester Area\Piping\2500-04-BG061-11-B - Biogas pipe - DN250 - BG.pdf", "PDF")</f>
        <v>PDF</v>
      </c>
    </row>
    <row r="186" spans="1:10" outlineLevel="2">
      <c r="A186" s="194" t="s">
        <v>573</v>
      </c>
      <c r="B186" s="1704" t="s">
        <v>23</v>
      </c>
      <c r="C186" s="3214" t="s">
        <v>24</v>
      </c>
      <c r="D186" s="4724"/>
      <c r="E186" s="6234" t="s">
        <v>25</v>
      </c>
      <c r="F186" s="7744" t="s">
        <v>26</v>
      </c>
      <c r="G186" s="9254" t="s">
        <v>27</v>
      </c>
      <c r="H186" s="10764">
        <v>17</v>
      </c>
      <c r="I186" s="12274"/>
      <c r="J186" t="s">
        <v>28</v>
      </c>
    </row>
    <row r="187" spans="1:10" outlineLevel="2">
      <c r="A187" s="195" t="s">
        <v>574</v>
      </c>
      <c r="B187" s="1705" t="s">
        <v>30</v>
      </c>
      <c r="C187" s="3215" t="s">
        <v>31</v>
      </c>
      <c r="D187" s="4725"/>
      <c r="E187" s="6235" t="s">
        <v>32</v>
      </c>
      <c r="F187" s="7745" t="s">
        <v>33</v>
      </c>
      <c r="G187" s="9255" t="s">
        <v>27</v>
      </c>
      <c r="H187" s="10765">
        <v>17</v>
      </c>
      <c r="I187" s="12275"/>
      <c r="J187" t="s">
        <v>28</v>
      </c>
    </row>
    <row r="188" spans="1:10" outlineLevel="2">
      <c r="A188" s="196" t="s">
        <v>575</v>
      </c>
      <c r="B188" s="1706" t="s">
        <v>35</v>
      </c>
      <c r="C188" s="3216" t="s">
        <v>576</v>
      </c>
      <c r="D188" s="4726"/>
      <c r="E188" s="6236" t="s">
        <v>25</v>
      </c>
      <c r="F188" s="7746" t="s">
        <v>577</v>
      </c>
      <c r="G188" s="9256" t="s">
        <v>15</v>
      </c>
      <c r="H188" s="10766">
        <v>1</v>
      </c>
      <c r="I188" s="12276" t="s">
        <v>16</v>
      </c>
      <c r="J188" t="s">
        <v>28</v>
      </c>
    </row>
    <row r="189" spans="1:10" outlineLevel="2">
      <c r="A189" s="197" t="s">
        <v>578</v>
      </c>
      <c r="B189" s="1707" t="s">
        <v>39</v>
      </c>
      <c r="C189" s="3217" t="s">
        <v>40</v>
      </c>
      <c r="D189" s="4727"/>
      <c r="E189" s="6237" t="s">
        <v>41</v>
      </c>
      <c r="F189" s="7747" t="s">
        <v>42</v>
      </c>
      <c r="G189" s="9257" t="s">
        <v>27</v>
      </c>
      <c r="H189" s="10767">
        <v>1</v>
      </c>
      <c r="I189" s="12277" t="s">
        <v>16</v>
      </c>
      <c r="J189" t="s">
        <v>28</v>
      </c>
    </row>
    <row r="190" spans="1:10" outlineLevel="2">
      <c r="A190" s="198" t="s">
        <v>579</v>
      </c>
      <c r="B190" s="1708" t="s">
        <v>44</v>
      </c>
      <c r="C190" s="3218" t="s">
        <v>45</v>
      </c>
      <c r="D190" s="4728"/>
      <c r="E190" s="6238" t="s">
        <v>41</v>
      </c>
      <c r="F190" s="7748" t="s">
        <v>46</v>
      </c>
      <c r="G190" s="9258" t="s">
        <v>15</v>
      </c>
      <c r="H190" s="10768">
        <v>2</v>
      </c>
      <c r="I190" s="12278" t="s">
        <v>16</v>
      </c>
      <c r="J190" t="s">
        <v>28</v>
      </c>
    </row>
    <row r="191" spans="1:10" outlineLevel="2">
      <c r="A191" s="199" t="s">
        <v>580</v>
      </c>
      <c r="B191" s="1709" t="s">
        <v>48</v>
      </c>
      <c r="C191" s="3219" t="s">
        <v>49</v>
      </c>
      <c r="D191" s="4729"/>
      <c r="E191" s="6239" t="s">
        <v>25</v>
      </c>
      <c r="F191" s="7749" t="s">
        <v>50</v>
      </c>
      <c r="G191" s="9259" t="s">
        <v>27</v>
      </c>
      <c r="H191" s="10769">
        <v>2</v>
      </c>
      <c r="I191" s="12279" t="s">
        <v>16</v>
      </c>
      <c r="J191" t="s">
        <v>28</v>
      </c>
    </row>
    <row r="192" spans="1:10" ht="15.75" outlineLevel="2">
      <c r="A192" s="200" t="s">
        <v>581</v>
      </c>
      <c r="B192" s="1710" t="s">
        <v>52</v>
      </c>
      <c r="C192" s="3220" t="s">
        <v>53</v>
      </c>
      <c r="D192" s="4730"/>
      <c r="E192" s="6240" t="s">
        <v>32</v>
      </c>
      <c r="F192" s="7750" t="s">
        <v>54</v>
      </c>
      <c r="G192" s="9260" t="s">
        <v>15</v>
      </c>
      <c r="H192" s="10770">
        <v>5</v>
      </c>
      <c r="I192" s="12280" t="s">
        <v>16</v>
      </c>
      <c r="J192" s="13600" t="str">
        <f>HYPERLINK("\\192.168.170.18\drawings\2-Basic Components\0000-342 - Pipe Holders\0000-342-285-- - Top mounting-Pipe Holder DN250-Ø273.pdf", "PDF")</f>
        <v>PDF</v>
      </c>
    </row>
    <row r="193" spans="1:10" ht="15.75" outlineLevel="2">
      <c r="A193" s="201" t="s">
        <v>582</v>
      </c>
      <c r="B193" s="1711" t="s">
        <v>56</v>
      </c>
      <c r="C193" s="3221" t="s">
        <v>57</v>
      </c>
      <c r="D193" s="4731"/>
      <c r="E193" s="6241" t="s">
        <v>32</v>
      </c>
      <c r="F193" s="7751" t="s">
        <v>58</v>
      </c>
      <c r="G193" s="9261" t="s">
        <v>15</v>
      </c>
      <c r="H193" s="10771">
        <v>8</v>
      </c>
      <c r="I193" s="12281" t="s">
        <v>16</v>
      </c>
      <c r="J193" s="13600" t="str">
        <f>HYPERLINK("\\192.168.170.18\drawings\2-Basic Components\0000-342 - Pipe Holders\0000-342-031-- - Pipe Holder DN250-Ø273.pdf", "PDF")</f>
        <v>PDF</v>
      </c>
    </row>
    <row r="194" spans="1:10" outlineLevel="2">
      <c r="A194" s="202" t="s">
        <v>583</v>
      </c>
      <c r="B194" s="1712" t="s">
        <v>60</v>
      </c>
      <c r="C194" s="3222" t="s">
        <v>61</v>
      </c>
      <c r="D194" s="4732"/>
      <c r="E194" s="6242" t="s">
        <v>25</v>
      </c>
      <c r="F194" s="7752" t="s">
        <v>62</v>
      </c>
      <c r="G194" s="9262" t="s">
        <v>15</v>
      </c>
      <c r="H194" s="10772">
        <v>2</v>
      </c>
      <c r="I194" s="12282" t="s">
        <v>16</v>
      </c>
      <c r="J194" t="s">
        <v>28</v>
      </c>
    </row>
    <row r="195" spans="1:10" outlineLevel="2">
      <c r="A195" s="203" t="s">
        <v>584</v>
      </c>
      <c r="B195" s="1713" t="s">
        <v>48</v>
      </c>
      <c r="C195" s="3223" t="s">
        <v>64</v>
      </c>
      <c r="D195" s="4733"/>
      <c r="E195" s="6243" t="s">
        <v>25</v>
      </c>
      <c r="F195" s="7753" t="s">
        <v>65</v>
      </c>
      <c r="G195" s="9263" t="s">
        <v>27</v>
      </c>
      <c r="H195" s="10773">
        <v>2</v>
      </c>
      <c r="I195" s="12283"/>
      <c r="J195" t="s">
        <v>28</v>
      </c>
    </row>
    <row r="196" spans="1:10" outlineLevel="2">
      <c r="A196" s="204" t="s">
        <v>585</v>
      </c>
      <c r="B196" s="1714" t="s">
        <v>67</v>
      </c>
      <c r="C196" s="3224" t="s">
        <v>68</v>
      </c>
      <c r="D196" s="4734"/>
      <c r="E196" s="6244" t="s">
        <v>25</v>
      </c>
      <c r="F196" s="7754" t="s">
        <v>69</v>
      </c>
      <c r="G196" s="9264" t="s">
        <v>27</v>
      </c>
      <c r="H196" s="10774">
        <v>1</v>
      </c>
      <c r="I196" s="12284" t="s">
        <v>16</v>
      </c>
      <c r="J196" t="s">
        <v>28</v>
      </c>
    </row>
    <row r="197" spans="1:10" outlineLevel="2">
      <c r="A197" s="205" t="s">
        <v>586</v>
      </c>
      <c r="B197" s="1715" t="s">
        <v>23</v>
      </c>
      <c r="C197" s="3225" t="s">
        <v>71</v>
      </c>
      <c r="D197" s="4735"/>
      <c r="E197" s="6245" t="s">
        <v>25</v>
      </c>
      <c r="F197" s="7755" t="s">
        <v>72</v>
      </c>
      <c r="G197" s="9265" t="s">
        <v>27</v>
      </c>
      <c r="H197" s="10775">
        <v>1</v>
      </c>
      <c r="I197" s="12285"/>
      <c r="J197" t="s">
        <v>28</v>
      </c>
    </row>
    <row r="198" spans="1:10" outlineLevel="2">
      <c r="A198" s="206" t="s">
        <v>587</v>
      </c>
      <c r="B198" s="1716" t="s">
        <v>30</v>
      </c>
      <c r="C198" s="3226" t="s">
        <v>74</v>
      </c>
      <c r="D198" s="4736"/>
      <c r="E198" s="6246" t="s">
        <v>32</v>
      </c>
      <c r="F198" s="7756" t="s">
        <v>75</v>
      </c>
      <c r="G198" s="9266" t="s">
        <v>27</v>
      </c>
      <c r="H198" s="10776">
        <v>1</v>
      </c>
      <c r="I198" s="12286"/>
      <c r="J198" t="s">
        <v>28</v>
      </c>
    </row>
    <row r="199" spans="1:10" outlineLevel="2">
      <c r="A199" s="207" t="s">
        <v>588</v>
      </c>
      <c r="B199" s="1717" t="s">
        <v>77</v>
      </c>
      <c r="C199" s="3227" t="s">
        <v>78</v>
      </c>
      <c r="D199" s="4737"/>
      <c r="E199" s="6247" t="s">
        <v>25</v>
      </c>
      <c r="F199" s="7757" t="s">
        <v>79</v>
      </c>
      <c r="G199" s="9267" t="s">
        <v>27</v>
      </c>
      <c r="H199" s="10777">
        <v>1</v>
      </c>
      <c r="I199" s="12287"/>
      <c r="J199" t="s">
        <v>28</v>
      </c>
    </row>
    <row r="200" spans="1:10" outlineLevel="2">
      <c r="A200" s="208" t="s">
        <v>589</v>
      </c>
      <c r="B200" s="1718" t="s">
        <v>81</v>
      </c>
      <c r="C200" s="3228" t="s">
        <v>82</v>
      </c>
      <c r="D200" s="4738"/>
      <c r="E200" s="6248" t="s">
        <v>83</v>
      </c>
      <c r="F200" s="7758" t="s">
        <v>84</v>
      </c>
      <c r="G200" s="9268" t="s">
        <v>27</v>
      </c>
      <c r="H200" s="10778">
        <v>1</v>
      </c>
      <c r="I200" s="12288"/>
      <c r="J200" t="s">
        <v>28</v>
      </c>
    </row>
    <row r="201" spans="1:10" outlineLevel="1">
      <c r="A201" s="209" t="s">
        <v>590</v>
      </c>
      <c r="B201" s="1719" t="s">
        <v>591</v>
      </c>
      <c r="C201" s="3229"/>
      <c r="D201" s="4739"/>
      <c r="E201" s="6249"/>
      <c r="F201" s="7759" t="s">
        <v>592</v>
      </c>
      <c r="G201" s="9269" t="s">
        <v>15</v>
      </c>
      <c r="H201" s="10779">
        <v>1</v>
      </c>
      <c r="I201" s="12289" t="s">
        <v>16</v>
      </c>
      <c r="J201" t="s">
        <v>28</v>
      </c>
    </row>
    <row r="202" spans="1:10" outlineLevel="2">
      <c r="A202" s="210" t="s">
        <v>593</v>
      </c>
      <c r="B202" s="1720" t="s">
        <v>594</v>
      </c>
      <c r="C202" s="3230" t="s">
        <v>595</v>
      </c>
      <c r="D202" s="4740" t="s">
        <v>13</v>
      </c>
      <c r="E202" s="6250"/>
      <c r="F202" s="7760" t="s">
        <v>596</v>
      </c>
      <c r="G202" s="9270" t="s">
        <v>15</v>
      </c>
      <c r="H202" s="10780">
        <v>1</v>
      </c>
      <c r="I202" s="12290" t="s">
        <v>16</v>
      </c>
      <c r="J202" t="s">
        <v>28</v>
      </c>
    </row>
    <row r="203" spans="1:10" outlineLevel="3">
      <c r="A203" s="211" t="s">
        <v>597</v>
      </c>
      <c r="B203" s="1721" t="s">
        <v>598</v>
      </c>
      <c r="C203" s="3231" t="s">
        <v>599</v>
      </c>
      <c r="D203" s="4741"/>
      <c r="E203" s="6251" t="s">
        <v>600</v>
      </c>
      <c r="F203" s="7761" t="s">
        <v>601</v>
      </c>
      <c r="G203" s="9271" t="s">
        <v>15</v>
      </c>
      <c r="H203" s="10781">
        <v>1</v>
      </c>
      <c r="I203" s="12291" t="s">
        <v>16</v>
      </c>
      <c r="J203" t="s">
        <v>28</v>
      </c>
    </row>
    <row r="204" spans="1:10" outlineLevel="3">
      <c r="A204" s="212" t="s">
        <v>602</v>
      </c>
      <c r="B204" s="1722" t="s">
        <v>603</v>
      </c>
      <c r="C204" s="3232" t="s">
        <v>604</v>
      </c>
      <c r="D204" s="4742"/>
      <c r="E204" s="6252" t="s">
        <v>32</v>
      </c>
      <c r="F204" s="7762" t="s">
        <v>605</v>
      </c>
      <c r="G204" s="9272" t="s">
        <v>27</v>
      </c>
      <c r="H204" s="10782">
        <v>4</v>
      </c>
      <c r="I204" s="12292"/>
      <c r="J204" t="s">
        <v>28</v>
      </c>
    </row>
    <row r="205" spans="1:10" outlineLevel="3">
      <c r="A205" s="213" t="s">
        <v>606</v>
      </c>
      <c r="B205" s="1723" t="s">
        <v>30</v>
      </c>
      <c r="C205" s="3233" t="s">
        <v>607</v>
      </c>
      <c r="D205" s="4743"/>
      <c r="E205" s="6253" t="s">
        <v>32</v>
      </c>
      <c r="F205" s="7763" t="s">
        <v>608</v>
      </c>
      <c r="G205" s="9273" t="s">
        <v>27</v>
      </c>
      <c r="H205" s="10783">
        <v>6</v>
      </c>
      <c r="I205" s="12293"/>
      <c r="J205" t="s">
        <v>28</v>
      </c>
    </row>
    <row r="206" spans="1:10" outlineLevel="3">
      <c r="A206" s="214" t="s">
        <v>609</v>
      </c>
      <c r="B206" s="1724" t="s">
        <v>23</v>
      </c>
      <c r="C206" s="3234" t="s">
        <v>610</v>
      </c>
      <c r="D206" s="4744"/>
      <c r="E206" s="6254" t="s">
        <v>32</v>
      </c>
      <c r="F206" s="7764" t="s">
        <v>611</v>
      </c>
      <c r="G206" s="9274" t="s">
        <v>27</v>
      </c>
      <c r="H206" s="10784">
        <v>6</v>
      </c>
      <c r="I206" s="12294"/>
      <c r="J206" t="s">
        <v>28</v>
      </c>
    </row>
    <row r="207" spans="1:10" outlineLevel="3">
      <c r="A207" s="215" t="s">
        <v>612</v>
      </c>
      <c r="B207" s="1725" t="s">
        <v>23</v>
      </c>
      <c r="C207" s="3235" t="s">
        <v>613</v>
      </c>
      <c r="D207" s="4745"/>
      <c r="E207" s="6255" t="s">
        <v>32</v>
      </c>
      <c r="F207" s="7765" t="s">
        <v>614</v>
      </c>
      <c r="G207" s="9275" t="s">
        <v>27</v>
      </c>
      <c r="H207" s="10785">
        <v>6</v>
      </c>
      <c r="I207" s="12295"/>
      <c r="J207" t="s">
        <v>28</v>
      </c>
    </row>
    <row r="208" spans="1:10" outlineLevel="3">
      <c r="A208" s="216" t="s">
        <v>615</v>
      </c>
      <c r="B208" s="1726" t="s">
        <v>30</v>
      </c>
      <c r="C208" s="3236" t="s">
        <v>616</v>
      </c>
      <c r="D208" s="4746"/>
      <c r="E208" s="6256" t="s">
        <v>32</v>
      </c>
      <c r="F208" s="7766" t="s">
        <v>617</v>
      </c>
      <c r="G208" s="9276" t="s">
        <v>27</v>
      </c>
      <c r="H208" s="10786">
        <v>6</v>
      </c>
      <c r="I208" s="12296"/>
      <c r="J208" t="s">
        <v>28</v>
      </c>
    </row>
    <row r="209" spans="1:10" outlineLevel="3">
      <c r="A209" s="217" t="s">
        <v>618</v>
      </c>
      <c r="B209" s="1727" t="s">
        <v>619</v>
      </c>
      <c r="C209" s="3237" t="s">
        <v>620</v>
      </c>
      <c r="D209" s="4747"/>
      <c r="E209" s="6257" t="s">
        <v>16</v>
      </c>
      <c r="F209" s="7767" t="s">
        <v>621</v>
      </c>
      <c r="G209" s="9277" t="s">
        <v>27</v>
      </c>
      <c r="H209" s="10787">
        <v>1</v>
      </c>
      <c r="I209" s="12297"/>
      <c r="J209" t="s">
        <v>28</v>
      </c>
    </row>
    <row r="210" spans="1:10" outlineLevel="3">
      <c r="A210" s="218" t="s">
        <v>622</v>
      </c>
      <c r="B210" s="1728" t="s">
        <v>623</v>
      </c>
      <c r="C210" s="3238" t="s">
        <v>624</v>
      </c>
      <c r="D210" s="4748"/>
      <c r="E210" s="6258" t="s">
        <v>16</v>
      </c>
      <c r="F210" s="7768" t="s">
        <v>625</v>
      </c>
      <c r="G210" s="9278" t="s">
        <v>27</v>
      </c>
      <c r="H210" s="10788">
        <v>2</v>
      </c>
      <c r="I210" s="12298"/>
      <c r="J210" t="s">
        <v>28</v>
      </c>
    </row>
    <row r="211" spans="1:10" outlineLevel="3">
      <c r="A211" s="219" t="s">
        <v>626</v>
      </c>
      <c r="B211" s="1729" t="s">
        <v>627</v>
      </c>
      <c r="C211" s="3239" t="s">
        <v>628</v>
      </c>
      <c r="D211" s="4749"/>
      <c r="E211" s="6259" t="s">
        <v>25</v>
      </c>
      <c r="F211" s="7769" t="s">
        <v>629</v>
      </c>
      <c r="G211" s="9279" t="s">
        <v>27</v>
      </c>
      <c r="H211" s="10789">
        <v>1</v>
      </c>
      <c r="I211" s="12299"/>
      <c r="J211" t="s">
        <v>28</v>
      </c>
    </row>
    <row r="212" spans="1:10" outlineLevel="3">
      <c r="A212" s="220" t="s">
        <v>630</v>
      </c>
      <c r="B212" s="1730" t="s">
        <v>631</v>
      </c>
      <c r="C212" s="3240" t="s">
        <v>632</v>
      </c>
      <c r="D212" s="4750"/>
      <c r="E212" s="6260" t="s">
        <v>16</v>
      </c>
      <c r="F212" s="7770" t="s">
        <v>633</v>
      </c>
      <c r="G212" s="9280" t="s">
        <v>27</v>
      </c>
      <c r="H212" s="10790">
        <v>1</v>
      </c>
      <c r="I212" s="12300" t="s">
        <v>16</v>
      </c>
      <c r="J212" t="s">
        <v>28</v>
      </c>
    </row>
    <row r="213" spans="1:10" outlineLevel="3">
      <c r="A213" s="221" t="s">
        <v>634</v>
      </c>
      <c r="B213" s="1731" t="s">
        <v>48</v>
      </c>
      <c r="C213" s="3241" t="s">
        <v>635</v>
      </c>
      <c r="D213" s="4751"/>
      <c r="E213" s="6261" t="s">
        <v>25</v>
      </c>
      <c r="F213" s="7771" t="s">
        <v>636</v>
      </c>
      <c r="G213" s="9281" t="s">
        <v>27</v>
      </c>
      <c r="H213" s="10791">
        <v>2</v>
      </c>
      <c r="I213" s="12301"/>
      <c r="J213" t="s">
        <v>28</v>
      </c>
    </row>
    <row r="214" spans="1:10" outlineLevel="3">
      <c r="A214" s="222" t="s">
        <v>637</v>
      </c>
      <c r="B214" s="1732" t="s">
        <v>48</v>
      </c>
      <c r="C214" s="3242" t="s">
        <v>638</v>
      </c>
      <c r="D214" s="4752"/>
      <c r="E214" s="6262" t="s">
        <v>32</v>
      </c>
      <c r="F214" s="7772" t="s">
        <v>639</v>
      </c>
      <c r="G214" s="9282" t="s">
        <v>27</v>
      </c>
      <c r="H214" s="10792">
        <v>10</v>
      </c>
      <c r="I214" s="12302"/>
      <c r="J214" t="s">
        <v>28</v>
      </c>
    </row>
    <row r="215" spans="1:10" outlineLevel="3">
      <c r="A215" s="223" t="s">
        <v>640</v>
      </c>
      <c r="B215" s="1733" t="s">
        <v>77</v>
      </c>
      <c r="C215" s="3243" t="s">
        <v>641</v>
      </c>
      <c r="D215" s="4753"/>
      <c r="E215" s="6263" t="s">
        <v>25</v>
      </c>
      <c r="F215" s="7773" t="s">
        <v>642</v>
      </c>
      <c r="G215" s="9283" t="s">
        <v>27</v>
      </c>
      <c r="H215" s="10793">
        <v>1</v>
      </c>
      <c r="I215" s="12303"/>
      <c r="J215" t="s">
        <v>28</v>
      </c>
    </row>
    <row r="216" spans="1:10" outlineLevel="3">
      <c r="A216" s="224" t="s">
        <v>643</v>
      </c>
      <c r="B216" s="1734" t="s">
        <v>644</v>
      </c>
      <c r="C216" s="3244" t="s">
        <v>645</v>
      </c>
      <c r="D216" s="4754"/>
      <c r="E216" s="6264" t="s">
        <v>16</v>
      </c>
      <c r="F216" s="7774" t="s">
        <v>646</v>
      </c>
      <c r="G216" s="9284" t="s">
        <v>27</v>
      </c>
      <c r="H216" s="10794">
        <v>2</v>
      </c>
      <c r="I216" s="12304"/>
      <c r="J216" t="s">
        <v>28</v>
      </c>
    </row>
    <row r="217" spans="1:10" outlineLevel="3">
      <c r="A217" s="225" t="s">
        <v>647</v>
      </c>
      <c r="B217" s="1735" t="s">
        <v>627</v>
      </c>
      <c r="C217" s="3245" t="s">
        <v>648</v>
      </c>
      <c r="D217" s="4755"/>
      <c r="E217" s="6265" t="s">
        <v>25</v>
      </c>
      <c r="F217" s="7775" t="s">
        <v>649</v>
      </c>
      <c r="G217" s="9285" t="s">
        <v>27</v>
      </c>
      <c r="H217" s="10795">
        <v>2</v>
      </c>
      <c r="I217" s="12305"/>
      <c r="J217" t="s">
        <v>28</v>
      </c>
    </row>
    <row r="218" spans="1:10" outlineLevel="3">
      <c r="A218" s="226" t="s">
        <v>650</v>
      </c>
      <c r="B218" s="1736" t="s">
        <v>77</v>
      </c>
      <c r="C218" s="3246" t="s">
        <v>651</v>
      </c>
      <c r="D218" s="4756"/>
      <c r="E218" s="6266" t="s">
        <v>25</v>
      </c>
      <c r="F218" s="7776" t="s">
        <v>652</v>
      </c>
      <c r="G218" s="9286" t="s">
        <v>27</v>
      </c>
      <c r="H218" s="10796">
        <v>2</v>
      </c>
      <c r="I218" s="12306" t="s">
        <v>16</v>
      </c>
      <c r="J218" t="s">
        <v>28</v>
      </c>
    </row>
    <row r="219" spans="1:10" ht="15.75" outlineLevel="3">
      <c r="A219" s="227" t="s">
        <v>653</v>
      </c>
      <c r="B219" s="1737" t="s">
        <v>654</v>
      </c>
      <c r="C219" s="3247" t="s">
        <v>655</v>
      </c>
      <c r="D219" s="4757"/>
      <c r="E219" s="6267"/>
      <c r="F219" s="7777" t="s">
        <v>656</v>
      </c>
      <c r="G219" s="9287" t="s">
        <v>15</v>
      </c>
      <c r="H219" s="10797">
        <v>2</v>
      </c>
      <c r="I219" s="12307" t="s">
        <v>16</v>
      </c>
      <c r="J219" s="13600" t="str">
        <f>HYPERLINK("\\192.168.170.18\drawings\2-Basic Components\0000-342 - Pipe Holders\0000-342-021-- - Pipe holder foot L=200.pdf", "PDF")</f>
        <v>PDF</v>
      </c>
    </row>
    <row r="220" spans="1:10" outlineLevel="4">
      <c r="A220" s="228" t="s">
        <v>657</v>
      </c>
      <c r="B220" s="1738" t="s">
        <v>275</v>
      </c>
      <c r="C220" s="3248" t="s">
        <v>658</v>
      </c>
      <c r="D220" s="4758"/>
      <c r="E220" s="6268" t="s">
        <v>32</v>
      </c>
      <c r="F220" s="7778" t="s">
        <v>659</v>
      </c>
      <c r="G220" s="9288" t="s">
        <v>15</v>
      </c>
      <c r="H220" s="10798">
        <v>1</v>
      </c>
      <c r="I220" s="12308" t="s">
        <v>16</v>
      </c>
      <c r="J220" t="s">
        <v>28</v>
      </c>
    </row>
    <row r="221" spans="1:10" outlineLevel="4">
      <c r="A221" s="229" t="s">
        <v>660</v>
      </c>
      <c r="B221" s="1739" t="s">
        <v>661</v>
      </c>
      <c r="C221" s="3249" t="s">
        <v>662</v>
      </c>
      <c r="D221" s="4759"/>
      <c r="E221" s="6269" t="s">
        <v>32</v>
      </c>
      <c r="F221" s="7779" t="s">
        <v>663</v>
      </c>
      <c r="G221" s="9289" t="s">
        <v>15</v>
      </c>
      <c r="H221" s="10799">
        <v>1</v>
      </c>
      <c r="I221" s="12309" t="s">
        <v>16</v>
      </c>
      <c r="J221" t="s">
        <v>28</v>
      </c>
    </row>
    <row r="222" spans="1:10" outlineLevel="4">
      <c r="A222" s="230" t="s">
        <v>664</v>
      </c>
      <c r="B222" s="1740" t="s">
        <v>665</v>
      </c>
      <c r="C222" s="3250" t="s">
        <v>666</v>
      </c>
      <c r="D222" s="4760"/>
      <c r="E222" s="6270" t="s">
        <v>667</v>
      </c>
      <c r="F222" s="7780" t="s">
        <v>668</v>
      </c>
      <c r="G222" s="9290" t="s">
        <v>27</v>
      </c>
      <c r="H222" s="10800">
        <v>1</v>
      </c>
      <c r="I222" s="12310" t="s">
        <v>16</v>
      </c>
      <c r="J222" t="s">
        <v>28</v>
      </c>
    </row>
    <row r="223" spans="1:10" outlineLevel="4">
      <c r="A223" s="231" t="s">
        <v>669</v>
      </c>
      <c r="B223" s="1741" t="s">
        <v>670</v>
      </c>
      <c r="C223" s="3251" t="s">
        <v>671</v>
      </c>
      <c r="D223" s="4761"/>
      <c r="E223" s="6271" t="s">
        <v>667</v>
      </c>
      <c r="F223" s="7781" t="s">
        <v>672</v>
      </c>
      <c r="G223" s="9291" t="s">
        <v>27</v>
      </c>
      <c r="H223" s="10801">
        <v>1</v>
      </c>
      <c r="I223" s="12311" t="s">
        <v>16</v>
      </c>
      <c r="J223" t="s">
        <v>28</v>
      </c>
    </row>
    <row r="224" spans="1:10" outlineLevel="3">
      <c r="A224" s="232" t="s">
        <v>673</v>
      </c>
      <c r="B224" s="1742" t="s">
        <v>674</v>
      </c>
      <c r="C224" s="3252" t="s">
        <v>675</v>
      </c>
      <c r="D224" s="4762"/>
      <c r="E224" s="6272" t="s">
        <v>32</v>
      </c>
      <c r="F224" s="7782" t="s">
        <v>676</v>
      </c>
      <c r="G224" s="9292" t="s">
        <v>15</v>
      </c>
      <c r="H224" s="10802">
        <v>2</v>
      </c>
      <c r="I224" s="12312" t="s">
        <v>16</v>
      </c>
      <c r="J224" t="s">
        <v>28</v>
      </c>
    </row>
    <row r="225" spans="1:10" outlineLevel="3">
      <c r="A225" s="233" t="s">
        <v>677</v>
      </c>
      <c r="B225" s="1743" t="s">
        <v>678</v>
      </c>
      <c r="C225" s="3253"/>
      <c r="D225" s="4763"/>
      <c r="E225" s="6273"/>
      <c r="F225" s="7783" t="s">
        <v>679</v>
      </c>
      <c r="G225" s="9293" t="s">
        <v>15</v>
      </c>
      <c r="H225" s="10803">
        <v>2</v>
      </c>
      <c r="I225" s="12313"/>
      <c r="J225" t="s">
        <v>28</v>
      </c>
    </row>
    <row r="226" spans="1:10" outlineLevel="4">
      <c r="A226" s="234" t="s">
        <v>680</v>
      </c>
      <c r="B226" s="1744" t="s">
        <v>681</v>
      </c>
      <c r="C226" s="3254" t="s">
        <v>662</v>
      </c>
      <c r="D226" s="4764"/>
      <c r="E226" s="6274" t="s">
        <v>32</v>
      </c>
      <c r="F226" s="7784" t="s">
        <v>682</v>
      </c>
      <c r="G226" s="9294" t="s">
        <v>15</v>
      </c>
      <c r="H226" s="10804">
        <v>4</v>
      </c>
      <c r="I226" s="12314" t="s">
        <v>16</v>
      </c>
      <c r="J226" t="s">
        <v>28</v>
      </c>
    </row>
    <row r="227" spans="1:10" outlineLevel="4">
      <c r="A227" s="235" t="s">
        <v>683</v>
      </c>
      <c r="B227" s="1745" t="s">
        <v>684</v>
      </c>
      <c r="C227" s="3255" t="s">
        <v>662</v>
      </c>
      <c r="D227" s="4765"/>
      <c r="E227" s="6275" t="s">
        <v>32</v>
      </c>
      <c r="F227" s="7785" t="s">
        <v>685</v>
      </c>
      <c r="G227" s="9295" t="s">
        <v>15</v>
      </c>
      <c r="H227" s="10805">
        <v>2</v>
      </c>
      <c r="I227" s="12315" t="s">
        <v>16</v>
      </c>
      <c r="J227" t="s">
        <v>28</v>
      </c>
    </row>
    <row r="228" spans="1:10" outlineLevel="2">
      <c r="A228" s="236" t="s">
        <v>686</v>
      </c>
      <c r="B228" s="1746" t="s">
        <v>687</v>
      </c>
      <c r="C228" s="3256" t="s">
        <v>595</v>
      </c>
      <c r="D228" s="4766" t="s">
        <v>13</v>
      </c>
      <c r="E228" s="6276"/>
      <c r="F228" s="7786" t="s">
        <v>688</v>
      </c>
      <c r="G228" s="9296" t="s">
        <v>15</v>
      </c>
      <c r="H228" s="10806">
        <v>1</v>
      </c>
      <c r="I228" s="12316" t="s">
        <v>16</v>
      </c>
      <c r="J228" t="s">
        <v>28</v>
      </c>
    </row>
    <row r="229" spans="1:10" outlineLevel="3">
      <c r="A229" s="237" t="s">
        <v>689</v>
      </c>
      <c r="B229" s="1747" t="s">
        <v>243</v>
      </c>
      <c r="C229" s="3257" t="s">
        <v>690</v>
      </c>
      <c r="D229" s="4767"/>
      <c r="E229" s="6277" t="s">
        <v>16</v>
      </c>
      <c r="F229" s="7787" t="s">
        <v>691</v>
      </c>
      <c r="G229" s="9297" t="s">
        <v>15</v>
      </c>
      <c r="H229" s="10807">
        <v>6</v>
      </c>
      <c r="I229" s="12317"/>
      <c r="J229" t="s">
        <v>28</v>
      </c>
    </row>
    <row r="230" spans="1:10" outlineLevel="3">
      <c r="A230" s="238" t="s">
        <v>692</v>
      </c>
      <c r="B230" s="1748" t="s">
        <v>35</v>
      </c>
      <c r="C230" s="3258" t="s">
        <v>693</v>
      </c>
      <c r="D230" s="4768"/>
      <c r="E230" s="6278" t="s">
        <v>32</v>
      </c>
      <c r="F230" s="7788" t="s">
        <v>694</v>
      </c>
      <c r="G230" s="9298" t="s">
        <v>15</v>
      </c>
      <c r="H230" s="10808">
        <v>1</v>
      </c>
      <c r="I230" s="12318" t="s">
        <v>16</v>
      </c>
      <c r="J230" t="s">
        <v>28</v>
      </c>
    </row>
    <row r="231" spans="1:10" outlineLevel="3">
      <c r="A231" s="239" t="s">
        <v>695</v>
      </c>
      <c r="B231" s="1749" t="s">
        <v>23</v>
      </c>
      <c r="C231" s="3259" t="s">
        <v>610</v>
      </c>
      <c r="D231" s="4769"/>
      <c r="E231" s="6279" t="s">
        <v>32</v>
      </c>
      <c r="F231" s="7789" t="s">
        <v>611</v>
      </c>
      <c r="G231" s="9299" t="s">
        <v>27</v>
      </c>
      <c r="H231" s="10809">
        <v>28</v>
      </c>
      <c r="I231" s="12319"/>
      <c r="J231" t="s">
        <v>28</v>
      </c>
    </row>
    <row r="232" spans="1:10" outlineLevel="3">
      <c r="A232" s="240" t="s">
        <v>696</v>
      </c>
      <c r="B232" s="1750" t="s">
        <v>30</v>
      </c>
      <c r="C232" s="3260" t="s">
        <v>607</v>
      </c>
      <c r="D232" s="4770"/>
      <c r="E232" s="6280" t="s">
        <v>32</v>
      </c>
      <c r="F232" s="7790" t="s">
        <v>608</v>
      </c>
      <c r="G232" s="9300" t="s">
        <v>27</v>
      </c>
      <c r="H232" s="10810">
        <v>28</v>
      </c>
      <c r="I232" s="12320"/>
      <c r="J232" t="s">
        <v>28</v>
      </c>
    </row>
    <row r="233" spans="1:10" outlineLevel="3">
      <c r="A233" s="241" t="s">
        <v>697</v>
      </c>
      <c r="B233" s="1751" t="s">
        <v>48</v>
      </c>
      <c r="C233" s="3261" t="s">
        <v>698</v>
      </c>
      <c r="D233" s="4771"/>
      <c r="E233" s="6281" t="s">
        <v>32</v>
      </c>
      <c r="F233" s="7791" t="s">
        <v>699</v>
      </c>
      <c r="G233" s="9301" t="s">
        <v>27</v>
      </c>
      <c r="H233" s="10811">
        <v>4</v>
      </c>
      <c r="I233" s="12321"/>
      <c r="J233" t="s">
        <v>28</v>
      </c>
    </row>
    <row r="234" spans="1:10" outlineLevel="3">
      <c r="A234" s="242" t="s">
        <v>700</v>
      </c>
      <c r="B234" s="1752" t="s">
        <v>48</v>
      </c>
      <c r="C234" s="3262" t="s">
        <v>701</v>
      </c>
      <c r="D234" s="4772"/>
      <c r="E234" s="6282" t="s">
        <v>32</v>
      </c>
      <c r="F234" s="7792" t="s">
        <v>702</v>
      </c>
      <c r="G234" s="9302" t="s">
        <v>27</v>
      </c>
      <c r="H234" s="10812">
        <v>7</v>
      </c>
      <c r="I234" s="12322"/>
      <c r="J234" t="s">
        <v>28</v>
      </c>
    </row>
    <row r="235" spans="1:10" outlineLevel="3">
      <c r="A235" s="243" t="s">
        <v>703</v>
      </c>
      <c r="B235" s="1753" t="s">
        <v>704</v>
      </c>
      <c r="C235" s="3263" t="s">
        <v>705</v>
      </c>
      <c r="D235" s="4773"/>
      <c r="E235" s="6283" t="s">
        <v>32</v>
      </c>
      <c r="F235" s="7793" t="s">
        <v>706</v>
      </c>
      <c r="G235" s="9303" t="s">
        <v>27</v>
      </c>
      <c r="H235" s="10813">
        <v>2</v>
      </c>
      <c r="I235" s="12323"/>
      <c r="J235" t="s">
        <v>28</v>
      </c>
    </row>
    <row r="236" spans="1:10" outlineLevel="3">
      <c r="A236" s="244" t="s">
        <v>707</v>
      </c>
      <c r="B236" s="1754" t="s">
        <v>708</v>
      </c>
      <c r="C236" s="3264" t="s">
        <v>709</v>
      </c>
      <c r="D236" s="4774"/>
      <c r="E236" s="6284" t="s">
        <v>16</v>
      </c>
      <c r="F236" s="7794" t="s">
        <v>710</v>
      </c>
      <c r="G236" s="9304" t="s">
        <v>15</v>
      </c>
      <c r="H236" s="10814">
        <v>4</v>
      </c>
      <c r="I236" s="12324"/>
      <c r="J236" t="s">
        <v>28</v>
      </c>
    </row>
    <row r="237" spans="1:10" outlineLevel="3">
      <c r="A237" s="245" t="s">
        <v>711</v>
      </c>
      <c r="B237" s="1755" t="s">
        <v>712</v>
      </c>
      <c r="C237" s="3265" t="s">
        <v>713</v>
      </c>
      <c r="D237" s="4775"/>
      <c r="E237" s="6285" t="s">
        <v>16</v>
      </c>
      <c r="F237" s="7795" t="s">
        <v>714</v>
      </c>
      <c r="G237" s="9305" t="s">
        <v>27</v>
      </c>
      <c r="H237" s="10815">
        <v>4</v>
      </c>
      <c r="I237" s="12325"/>
      <c r="J237" t="s">
        <v>28</v>
      </c>
    </row>
    <row r="238" spans="1:10" ht="15.75" outlineLevel="3">
      <c r="A238" s="246" t="s">
        <v>715</v>
      </c>
      <c r="B238" s="1756" t="s">
        <v>654</v>
      </c>
      <c r="C238" s="3266" t="s">
        <v>655</v>
      </c>
      <c r="D238" s="4776"/>
      <c r="E238" s="6286"/>
      <c r="F238" s="7796" t="s">
        <v>656</v>
      </c>
      <c r="G238" s="9306" t="s">
        <v>15</v>
      </c>
      <c r="H238" s="10816">
        <v>7</v>
      </c>
      <c r="I238" s="12326" t="s">
        <v>16</v>
      </c>
      <c r="J238" s="13600" t="str">
        <f>HYPERLINK("\\192.168.170.18\drawings\2-Basic Components\0000-342 - Pipe Holders\0000-342-021-- - Pipe holder foot L=200.pdf", "PDF")</f>
        <v>PDF</v>
      </c>
    </row>
    <row r="239" spans="1:10" outlineLevel="4">
      <c r="A239" s="247" t="s">
        <v>716</v>
      </c>
      <c r="B239" s="1757" t="s">
        <v>275</v>
      </c>
      <c r="C239" s="3267" t="s">
        <v>658</v>
      </c>
      <c r="D239" s="4777"/>
      <c r="E239" s="6287" t="s">
        <v>32</v>
      </c>
      <c r="F239" s="7797" t="s">
        <v>659</v>
      </c>
      <c r="G239" s="9307" t="s">
        <v>15</v>
      </c>
      <c r="H239" s="10817">
        <v>1</v>
      </c>
      <c r="I239" s="12327" t="s">
        <v>16</v>
      </c>
      <c r="J239" t="s">
        <v>28</v>
      </c>
    </row>
    <row r="240" spans="1:10" outlineLevel="4">
      <c r="A240" s="248" t="s">
        <v>717</v>
      </c>
      <c r="B240" s="1758" t="s">
        <v>661</v>
      </c>
      <c r="C240" s="3268" t="s">
        <v>662</v>
      </c>
      <c r="D240" s="4778"/>
      <c r="E240" s="6288" t="s">
        <v>32</v>
      </c>
      <c r="F240" s="7798" t="s">
        <v>663</v>
      </c>
      <c r="G240" s="9308" t="s">
        <v>15</v>
      </c>
      <c r="H240" s="10818">
        <v>1</v>
      </c>
      <c r="I240" s="12328" t="s">
        <v>16</v>
      </c>
      <c r="J240" t="s">
        <v>28</v>
      </c>
    </row>
    <row r="241" spans="1:10" outlineLevel="4">
      <c r="A241" s="249" t="s">
        <v>718</v>
      </c>
      <c r="B241" s="1759" t="s">
        <v>665</v>
      </c>
      <c r="C241" s="3269" t="s">
        <v>666</v>
      </c>
      <c r="D241" s="4779"/>
      <c r="E241" s="6289" t="s">
        <v>667</v>
      </c>
      <c r="F241" s="7799" t="s">
        <v>668</v>
      </c>
      <c r="G241" s="9309" t="s">
        <v>27</v>
      </c>
      <c r="H241" s="10819">
        <v>1</v>
      </c>
      <c r="I241" s="12329" t="s">
        <v>16</v>
      </c>
      <c r="J241" t="s">
        <v>28</v>
      </c>
    </row>
    <row r="242" spans="1:10" outlineLevel="4">
      <c r="A242" s="250" t="s">
        <v>719</v>
      </c>
      <c r="B242" s="1760" t="s">
        <v>670</v>
      </c>
      <c r="C242" s="3270" t="s">
        <v>671</v>
      </c>
      <c r="D242" s="4780"/>
      <c r="E242" s="6290" t="s">
        <v>667</v>
      </c>
      <c r="F242" s="7800" t="s">
        <v>672</v>
      </c>
      <c r="G242" s="9310" t="s">
        <v>27</v>
      </c>
      <c r="H242" s="10820">
        <v>1</v>
      </c>
      <c r="I242" s="12330" t="s">
        <v>16</v>
      </c>
      <c r="J242" t="s">
        <v>28</v>
      </c>
    </row>
    <row r="243" spans="1:10" ht="15.75" outlineLevel="3">
      <c r="A243" s="251" t="s">
        <v>720</v>
      </c>
      <c r="B243" s="1761" t="s">
        <v>721</v>
      </c>
      <c r="C243" s="3271" t="s">
        <v>722</v>
      </c>
      <c r="D243" s="4781"/>
      <c r="E243" s="6291" t="s">
        <v>32</v>
      </c>
      <c r="F243" s="7801" t="s">
        <v>723</v>
      </c>
      <c r="G243" s="9311" t="s">
        <v>15</v>
      </c>
      <c r="H243" s="10821">
        <v>2</v>
      </c>
      <c r="I243" s="12331" t="s">
        <v>16</v>
      </c>
      <c r="J243" s="13600" t="str">
        <f>HYPERLINK("\\192.168.170.18\drawings\2-Basic Components\0000-342 - Pipe Holders\0000-342-028-- - Pipe Holder DN100-Ø114,3.pdf", "PDF")</f>
        <v>PDF</v>
      </c>
    </row>
    <row r="244" spans="1:10" outlineLevel="3">
      <c r="A244" s="252" t="s">
        <v>724</v>
      </c>
      <c r="B244" s="1762" t="s">
        <v>194</v>
      </c>
      <c r="C244" s="3272" t="s">
        <v>195</v>
      </c>
      <c r="D244" s="4782"/>
      <c r="E244" s="6292" t="s">
        <v>16</v>
      </c>
      <c r="F244" s="7802" t="s">
        <v>196</v>
      </c>
      <c r="G244" s="9312" t="s">
        <v>27</v>
      </c>
      <c r="H244" s="10822">
        <v>1</v>
      </c>
      <c r="I244" s="12332"/>
      <c r="J244" t="s">
        <v>28</v>
      </c>
    </row>
    <row r="245" spans="1:10" outlineLevel="3">
      <c r="A245" s="253" t="s">
        <v>725</v>
      </c>
      <c r="B245" s="1763" t="s">
        <v>627</v>
      </c>
      <c r="C245" s="3273" t="s">
        <v>726</v>
      </c>
      <c r="D245" s="4783"/>
      <c r="E245" s="6293" t="s">
        <v>25</v>
      </c>
      <c r="F245" s="7803" t="s">
        <v>727</v>
      </c>
      <c r="G245" s="9313" t="s">
        <v>27</v>
      </c>
      <c r="H245" s="10823">
        <v>1</v>
      </c>
      <c r="I245" s="12333"/>
      <c r="J245" t="s">
        <v>28</v>
      </c>
    </row>
    <row r="246" spans="1:10" outlineLevel="3">
      <c r="A246" s="254" t="s">
        <v>728</v>
      </c>
      <c r="B246" s="1764" t="s">
        <v>77</v>
      </c>
      <c r="C246" s="3274" t="s">
        <v>729</v>
      </c>
      <c r="D246" s="4784"/>
      <c r="E246" s="6294" t="s">
        <v>25</v>
      </c>
      <c r="F246" s="7804" t="s">
        <v>730</v>
      </c>
      <c r="G246" s="9314" t="s">
        <v>27</v>
      </c>
      <c r="H246" s="10824">
        <v>1</v>
      </c>
      <c r="I246" s="12334"/>
      <c r="J246" t="s">
        <v>28</v>
      </c>
    </row>
    <row r="247" spans="1:10" outlineLevel="3">
      <c r="A247" s="255" t="s">
        <v>731</v>
      </c>
      <c r="B247" s="1765" t="s">
        <v>627</v>
      </c>
      <c r="C247" s="3275" t="s">
        <v>628</v>
      </c>
      <c r="D247" s="4785"/>
      <c r="E247" s="6295" t="s">
        <v>25</v>
      </c>
      <c r="F247" s="7805" t="s">
        <v>629</v>
      </c>
      <c r="G247" s="9315" t="s">
        <v>27</v>
      </c>
      <c r="H247" s="10825">
        <v>1</v>
      </c>
      <c r="I247" s="12335"/>
      <c r="J247" t="s">
        <v>28</v>
      </c>
    </row>
    <row r="248" spans="1:10" outlineLevel="3">
      <c r="A248" s="256" t="s">
        <v>732</v>
      </c>
      <c r="B248" s="1766" t="s">
        <v>631</v>
      </c>
      <c r="C248" s="3276" t="s">
        <v>632</v>
      </c>
      <c r="D248" s="4786"/>
      <c r="E248" s="6296" t="s">
        <v>16</v>
      </c>
      <c r="F248" s="7806" t="s">
        <v>633</v>
      </c>
      <c r="G248" s="9316" t="s">
        <v>27</v>
      </c>
      <c r="H248" s="10826">
        <v>1</v>
      </c>
      <c r="I248" s="12336" t="s">
        <v>16</v>
      </c>
      <c r="J248" t="s">
        <v>28</v>
      </c>
    </row>
    <row r="249" spans="1:10" outlineLevel="3">
      <c r="A249" s="257" t="s">
        <v>733</v>
      </c>
      <c r="B249" s="1767" t="s">
        <v>77</v>
      </c>
      <c r="C249" s="3277" t="s">
        <v>734</v>
      </c>
      <c r="D249" s="4787"/>
      <c r="E249" s="6297" t="s">
        <v>25</v>
      </c>
      <c r="F249" s="7807" t="s">
        <v>735</v>
      </c>
      <c r="G249" s="9317" t="s">
        <v>27</v>
      </c>
      <c r="H249" s="10827">
        <v>1</v>
      </c>
      <c r="I249" s="12337"/>
      <c r="J249" t="s">
        <v>28</v>
      </c>
    </row>
    <row r="250" spans="1:10" outlineLevel="3">
      <c r="A250" s="258" t="s">
        <v>736</v>
      </c>
      <c r="B250" s="1768" t="s">
        <v>737</v>
      </c>
      <c r="C250" s="3278" t="s">
        <v>738</v>
      </c>
      <c r="D250" s="4788"/>
      <c r="E250" s="6298"/>
      <c r="F250" s="7808" t="s">
        <v>739</v>
      </c>
      <c r="G250" s="9318" t="s">
        <v>15</v>
      </c>
      <c r="H250" s="10828">
        <v>2</v>
      </c>
      <c r="I250" s="12338"/>
      <c r="J250" t="s">
        <v>28</v>
      </c>
    </row>
    <row r="251" spans="1:10" outlineLevel="4">
      <c r="A251" s="259" t="s">
        <v>740</v>
      </c>
      <c r="B251" s="1769" t="s">
        <v>741</v>
      </c>
      <c r="C251" s="3279" t="s">
        <v>742</v>
      </c>
      <c r="D251" s="4789" t="s">
        <v>743</v>
      </c>
      <c r="E251" s="6299" t="s">
        <v>744</v>
      </c>
      <c r="F251" s="7809" t="s">
        <v>745</v>
      </c>
      <c r="G251" s="9319" t="s">
        <v>15</v>
      </c>
      <c r="H251" s="10829">
        <v>1</v>
      </c>
      <c r="I251" s="12339" t="s">
        <v>16</v>
      </c>
      <c r="J251" t="s">
        <v>28</v>
      </c>
    </row>
    <row r="252" spans="1:10" outlineLevel="4">
      <c r="A252" s="260" t="s">
        <v>746</v>
      </c>
      <c r="B252" s="1770" t="s">
        <v>747</v>
      </c>
      <c r="C252" s="3280" t="s">
        <v>748</v>
      </c>
      <c r="D252" s="4790" t="s">
        <v>749</v>
      </c>
      <c r="E252" s="6300" t="s">
        <v>744</v>
      </c>
      <c r="F252" s="7810" t="s">
        <v>750</v>
      </c>
      <c r="G252" s="9320" t="s">
        <v>15</v>
      </c>
      <c r="H252" s="10830" t="s">
        <v>751</v>
      </c>
      <c r="I252" s="12340"/>
      <c r="J252" t="s">
        <v>28</v>
      </c>
    </row>
    <row r="253" spans="1:10" outlineLevel="4">
      <c r="A253" s="261" t="s">
        <v>752</v>
      </c>
      <c r="B253" s="1771" t="s">
        <v>661</v>
      </c>
      <c r="C253" s="3281" t="s">
        <v>753</v>
      </c>
      <c r="D253" s="4791" t="s">
        <v>754</v>
      </c>
      <c r="E253" s="6301" t="s">
        <v>32</v>
      </c>
      <c r="F253" s="7811" t="s">
        <v>755</v>
      </c>
      <c r="G253" s="9321" t="s">
        <v>15</v>
      </c>
      <c r="H253" s="10831">
        <v>1</v>
      </c>
      <c r="I253" s="12341" t="s">
        <v>16</v>
      </c>
      <c r="J253" t="s">
        <v>28</v>
      </c>
    </row>
    <row r="254" spans="1:10" outlineLevel="3">
      <c r="A254" s="262" t="s">
        <v>756</v>
      </c>
      <c r="B254" s="1772" t="s">
        <v>757</v>
      </c>
      <c r="C254" s="3282" t="s">
        <v>758</v>
      </c>
      <c r="D254" s="4792"/>
      <c r="E254" s="6302" t="s">
        <v>32</v>
      </c>
      <c r="F254" s="7812" t="s">
        <v>759</v>
      </c>
      <c r="G254" s="9322" t="s">
        <v>15</v>
      </c>
      <c r="H254" s="10832">
        <v>4</v>
      </c>
      <c r="I254" s="12342" t="s">
        <v>16</v>
      </c>
      <c r="J254" t="s">
        <v>28</v>
      </c>
    </row>
    <row r="255" spans="1:10" outlineLevel="3">
      <c r="A255" s="263" t="s">
        <v>760</v>
      </c>
      <c r="B255" s="1773" t="s">
        <v>678</v>
      </c>
      <c r="C255" s="3283"/>
      <c r="D255" s="4793"/>
      <c r="E255" s="6303"/>
      <c r="F255" s="7813" t="s">
        <v>679</v>
      </c>
      <c r="G255" s="9323" t="s">
        <v>15</v>
      </c>
      <c r="H255" s="10833">
        <v>4</v>
      </c>
      <c r="I255" s="12343"/>
      <c r="J255" t="s">
        <v>28</v>
      </c>
    </row>
    <row r="256" spans="1:10" outlineLevel="4">
      <c r="A256" s="264" t="s">
        <v>761</v>
      </c>
      <c r="B256" s="1774" t="s">
        <v>681</v>
      </c>
      <c r="C256" s="3284" t="s">
        <v>662</v>
      </c>
      <c r="D256" s="4794"/>
      <c r="E256" s="6304" t="s">
        <v>32</v>
      </c>
      <c r="F256" s="7814" t="s">
        <v>682</v>
      </c>
      <c r="G256" s="9324" t="s">
        <v>15</v>
      </c>
      <c r="H256" s="10834">
        <v>4</v>
      </c>
      <c r="I256" s="12344" t="s">
        <v>16</v>
      </c>
      <c r="J256" t="s">
        <v>28</v>
      </c>
    </row>
    <row r="257" spans="1:10" outlineLevel="4">
      <c r="A257" s="265" t="s">
        <v>762</v>
      </c>
      <c r="B257" s="1775" t="s">
        <v>684</v>
      </c>
      <c r="C257" s="3285" t="s">
        <v>662</v>
      </c>
      <c r="D257" s="4795"/>
      <c r="E257" s="6305" t="s">
        <v>32</v>
      </c>
      <c r="F257" s="7815" t="s">
        <v>685</v>
      </c>
      <c r="G257" s="9325" t="s">
        <v>15</v>
      </c>
      <c r="H257" s="10835">
        <v>2</v>
      </c>
      <c r="I257" s="12345" t="s">
        <v>16</v>
      </c>
      <c r="J257" t="s">
        <v>28</v>
      </c>
    </row>
    <row r="258" spans="1:10" outlineLevel="3">
      <c r="A258" s="266" t="s">
        <v>763</v>
      </c>
      <c r="B258" s="1776" t="s">
        <v>764</v>
      </c>
      <c r="C258" s="3286" t="s">
        <v>765</v>
      </c>
      <c r="D258" s="4796"/>
      <c r="E258" s="6306"/>
      <c r="F258" s="7816" t="s">
        <v>766</v>
      </c>
      <c r="G258" s="9326" t="s">
        <v>15</v>
      </c>
      <c r="H258" s="10836">
        <v>4</v>
      </c>
      <c r="I258" s="12346" t="s">
        <v>16</v>
      </c>
      <c r="J258" t="s">
        <v>28</v>
      </c>
    </row>
    <row r="259" spans="1:10" outlineLevel="4">
      <c r="A259" s="267" t="s">
        <v>767</v>
      </c>
      <c r="B259" s="1777" t="s">
        <v>768</v>
      </c>
      <c r="C259" s="3287"/>
      <c r="D259" s="4797"/>
      <c r="E259" s="6307"/>
      <c r="F259" s="7817" t="s">
        <v>769</v>
      </c>
      <c r="G259" s="9327" t="s">
        <v>15</v>
      </c>
      <c r="H259" s="10837">
        <v>2</v>
      </c>
      <c r="I259" s="12347"/>
      <c r="J259" t="s">
        <v>28</v>
      </c>
    </row>
    <row r="260" spans="1:10" outlineLevel="5">
      <c r="A260" s="268" t="s">
        <v>770</v>
      </c>
      <c r="B260" s="1778" t="s">
        <v>741</v>
      </c>
      <c r="C260" s="3288" t="s">
        <v>771</v>
      </c>
      <c r="D260" s="4798" t="s">
        <v>772</v>
      </c>
      <c r="E260" s="6308" t="s">
        <v>341</v>
      </c>
      <c r="F260" s="7818" t="s">
        <v>773</v>
      </c>
      <c r="G260" s="9328" t="s">
        <v>15</v>
      </c>
      <c r="H260" s="10838" t="s">
        <v>774</v>
      </c>
      <c r="I260" s="12348"/>
      <c r="J260" t="s">
        <v>28</v>
      </c>
    </row>
    <row r="261" spans="1:10" outlineLevel="5">
      <c r="A261" s="269" t="s">
        <v>775</v>
      </c>
      <c r="B261" s="1779" t="s">
        <v>741</v>
      </c>
      <c r="C261" s="3289" t="s">
        <v>776</v>
      </c>
      <c r="D261" s="4799"/>
      <c r="E261" s="6309" t="s">
        <v>341</v>
      </c>
      <c r="F261" s="7819" t="s">
        <v>777</v>
      </c>
      <c r="G261" s="9329" t="s">
        <v>15</v>
      </c>
      <c r="H261" s="10839">
        <v>1</v>
      </c>
      <c r="I261" s="12349"/>
      <c r="J261" t="s">
        <v>28</v>
      </c>
    </row>
    <row r="262" spans="1:10" outlineLevel="4">
      <c r="A262" s="270" t="s">
        <v>778</v>
      </c>
      <c r="B262" s="1780" t="s">
        <v>779</v>
      </c>
      <c r="C262" s="3290" t="s">
        <v>780</v>
      </c>
      <c r="D262" s="4800" t="s">
        <v>780</v>
      </c>
      <c r="E262" s="6310" t="s">
        <v>341</v>
      </c>
      <c r="F262" s="7820" t="s">
        <v>781</v>
      </c>
      <c r="G262" s="9330" t="s">
        <v>27</v>
      </c>
      <c r="H262" s="10840">
        <v>8</v>
      </c>
      <c r="I262" s="12350"/>
      <c r="J262" t="s">
        <v>28</v>
      </c>
    </row>
    <row r="263" spans="1:10" outlineLevel="4">
      <c r="A263" s="271" t="s">
        <v>782</v>
      </c>
      <c r="B263" s="1781" t="s">
        <v>665</v>
      </c>
      <c r="C263" s="3291" t="s">
        <v>783</v>
      </c>
      <c r="D263" s="4801" t="s">
        <v>784</v>
      </c>
      <c r="E263" s="6311" t="s">
        <v>341</v>
      </c>
      <c r="F263" s="7821" t="s">
        <v>785</v>
      </c>
      <c r="G263" s="9331" t="s">
        <v>27</v>
      </c>
      <c r="H263" s="10841">
        <v>8</v>
      </c>
      <c r="I263" s="12351"/>
      <c r="J263" t="s">
        <v>28</v>
      </c>
    </row>
    <row r="264" spans="1:10" outlineLevel="4">
      <c r="A264" s="272" t="s">
        <v>786</v>
      </c>
      <c r="B264" s="1782" t="s">
        <v>787</v>
      </c>
      <c r="C264" s="3292" t="s">
        <v>788</v>
      </c>
      <c r="D264" s="4802" t="s">
        <v>789</v>
      </c>
      <c r="E264" s="6312" t="s">
        <v>341</v>
      </c>
      <c r="F264" s="7822" t="s">
        <v>790</v>
      </c>
      <c r="G264" s="9332" t="s">
        <v>27</v>
      </c>
      <c r="H264" s="10842">
        <v>4</v>
      </c>
      <c r="I264" s="12352"/>
      <c r="J264" t="s">
        <v>28</v>
      </c>
    </row>
    <row r="265" spans="1:10" outlineLevel="3">
      <c r="A265" s="273" t="s">
        <v>791</v>
      </c>
      <c r="B265" s="1783" t="s">
        <v>792</v>
      </c>
      <c r="C265" s="3293" t="s">
        <v>793</v>
      </c>
      <c r="D265" s="4803" t="s">
        <v>794</v>
      </c>
      <c r="E265" s="6313"/>
      <c r="F265" s="7823" t="s">
        <v>795</v>
      </c>
      <c r="G265" s="9333" t="s">
        <v>15</v>
      </c>
      <c r="H265" s="10843">
        <v>4</v>
      </c>
      <c r="I265" s="12353"/>
      <c r="J265" t="s">
        <v>28</v>
      </c>
    </row>
    <row r="266" spans="1:10" outlineLevel="4">
      <c r="A266" s="274" t="s">
        <v>796</v>
      </c>
      <c r="B266" s="1784" t="s">
        <v>797</v>
      </c>
      <c r="C266" s="3294" t="s">
        <v>798</v>
      </c>
      <c r="D266" s="4804"/>
      <c r="E266" s="6314" t="s">
        <v>32</v>
      </c>
      <c r="F266" s="7824" t="s">
        <v>799</v>
      </c>
      <c r="G266" s="9334" t="s">
        <v>15</v>
      </c>
      <c r="H266" s="10844">
        <v>2</v>
      </c>
      <c r="I266" s="12354"/>
      <c r="J266" t="s">
        <v>28</v>
      </c>
    </row>
    <row r="267" spans="1:10" outlineLevel="4">
      <c r="A267" s="275" t="s">
        <v>800</v>
      </c>
      <c r="B267" s="1785" t="s">
        <v>787</v>
      </c>
      <c r="C267" s="3295" t="s">
        <v>801</v>
      </c>
      <c r="D267" s="4805" t="s">
        <v>802</v>
      </c>
      <c r="E267" s="6315" t="s">
        <v>32</v>
      </c>
      <c r="F267" s="7825" t="s">
        <v>803</v>
      </c>
      <c r="G267" s="9335" t="s">
        <v>27</v>
      </c>
      <c r="H267" s="10845">
        <v>1</v>
      </c>
      <c r="I267" s="12355"/>
      <c r="J267" t="s">
        <v>28</v>
      </c>
    </row>
    <row r="268" spans="1:10" outlineLevel="4">
      <c r="A268" s="276" t="s">
        <v>804</v>
      </c>
      <c r="B268" s="1786" t="s">
        <v>665</v>
      </c>
      <c r="C268" s="3296" t="s">
        <v>666</v>
      </c>
      <c r="D268" s="4806"/>
      <c r="E268" s="6316" t="s">
        <v>667</v>
      </c>
      <c r="F268" s="7826" t="s">
        <v>668</v>
      </c>
      <c r="G268" s="9336" t="s">
        <v>27</v>
      </c>
      <c r="H268" s="10846">
        <v>2</v>
      </c>
      <c r="I268" s="12356" t="s">
        <v>16</v>
      </c>
      <c r="J268" t="s">
        <v>28</v>
      </c>
    </row>
    <row r="269" spans="1:10" outlineLevel="4">
      <c r="A269" s="277" t="s">
        <v>805</v>
      </c>
      <c r="B269" s="1787" t="s">
        <v>779</v>
      </c>
      <c r="C269" s="3297" t="s">
        <v>806</v>
      </c>
      <c r="D269" s="4807"/>
      <c r="E269" s="6317" t="s">
        <v>667</v>
      </c>
      <c r="F269" s="7827" t="s">
        <v>807</v>
      </c>
      <c r="G269" s="9337" t="s">
        <v>27</v>
      </c>
      <c r="H269" s="10847">
        <v>4</v>
      </c>
      <c r="I269" s="12357"/>
      <c r="J269" t="s">
        <v>28</v>
      </c>
    </row>
    <row r="270" spans="1:10" outlineLevel="4">
      <c r="A270" s="278" t="s">
        <v>808</v>
      </c>
      <c r="B270" s="1788" t="s">
        <v>670</v>
      </c>
      <c r="C270" s="3298" t="s">
        <v>809</v>
      </c>
      <c r="D270" s="4808"/>
      <c r="E270" s="6318" t="s">
        <v>667</v>
      </c>
      <c r="F270" s="7828" t="s">
        <v>810</v>
      </c>
      <c r="G270" s="9338" t="s">
        <v>27</v>
      </c>
      <c r="H270" s="10848">
        <v>2</v>
      </c>
      <c r="I270" s="12358" t="s">
        <v>16</v>
      </c>
      <c r="J270" t="s">
        <v>28</v>
      </c>
    </row>
    <row r="271" spans="1:10" outlineLevel="3">
      <c r="A271" s="279" t="s">
        <v>811</v>
      </c>
      <c r="B271" s="1789" t="s">
        <v>812</v>
      </c>
      <c r="C271" s="3299" t="s">
        <v>813</v>
      </c>
      <c r="D271" s="4809" t="s">
        <v>794</v>
      </c>
      <c r="E271" s="6319"/>
      <c r="F271" s="7829" t="s">
        <v>814</v>
      </c>
      <c r="G271" s="9339" t="s">
        <v>15</v>
      </c>
      <c r="H271" s="10849">
        <v>4</v>
      </c>
      <c r="I271" s="12359" t="s">
        <v>16</v>
      </c>
      <c r="J271" t="s">
        <v>28</v>
      </c>
    </row>
    <row r="272" spans="1:10" outlineLevel="4">
      <c r="A272" s="280" t="s">
        <v>815</v>
      </c>
      <c r="B272" s="1790" t="s">
        <v>787</v>
      </c>
      <c r="C272" s="3300" t="s">
        <v>801</v>
      </c>
      <c r="D272" s="4810" t="s">
        <v>802</v>
      </c>
      <c r="E272" s="6320" t="s">
        <v>32</v>
      </c>
      <c r="F272" s="7830" t="s">
        <v>803</v>
      </c>
      <c r="G272" s="9340" t="s">
        <v>27</v>
      </c>
      <c r="H272" s="10850">
        <v>1</v>
      </c>
      <c r="I272" s="12360"/>
      <c r="J272" t="s">
        <v>28</v>
      </c>
    </row>
    <row r="273" spans="1:10" outlineLevel="4">
      <c r="A273" s="281" t="s">
        <v>816</v>
      </c>
      <c r="B273" s="1791" t="s">
        <v>797</v>
      </c>
      <c r="C273" s="3301" t="s">
        <v>817</v>
      </c>
      <c r="D273" s="4811"/>
      <c r="E273" s="6321" t="s">
        <v>32</v>
      </c>
      <c r="F273" s="7831" t="s">
        <v>818</v>
      </c>
      <c r="G273" s="9341" t="s">
        <v>15</v>
      </c>
      <c r="H273" s="10851">
        <v>2</v>
      </c>
      <c r="I273" s="12361"/>
      <c r="J273" t="s">
        <v>28</v>
      </c>
    </row>
    <row r="274" spans="1:10" outlineLevel="4">
      <c r="A274" s="282" t="s">
        <v>819</v>
      </c>
      <c r="B274" s="1792" t="s">
        <v>670</v>
      </c>
      <c r="C274" s="3302" t="s">
        <v>820</v>
      </c>
      <c r="D274" s="4812"/>
      <c r="E274" s="6322" t="s">
        <v>667</v>
      </c>
      <c r="F274" s="7832" t="s">
        <v>821</v>
      </c>
      <c r="G274" s="9342" t="s">
        <v>27</v>
      </c>
      <c r="H274" s="10852">
        <v>2</v>
      </c>
      <c r="I274" s="12362" t="s">
        <v>16</v>
      </c>
      <c r="J274" t="s">
        <v>28</v>
      </c>
    </row>
    <row r="275" spans="1:10" outlineLevel="4">
      <c r="A275" s="283" t="s">
        <v>822</v>
      </c>
      <c r="B275" s="1793" t="s">
        <v>779</v>
      </c>
      <c r="C275" s="3303" t="s">
        <v>823</v>
      </c>
      <c r="D275" s="4813"/>
      <c r="E275" s="6323" t="s">
        <v>667</v>
      </c>
      <c r="F275" s="7833" t="s">
        <v>824</v>
      </c>
      <c r="G275" s="9343" t="s">
        <v>27</v>
      </c>
      <c r="H275" s="10853">
        <v>4</v>
      </c>
      <c r="I275" s="12363"/>
      <c r="J275" t="s">
        <v>28</v>
      </c>
    </row>
    <row r="276" spans="1:10" outlineLevel="4">
      <c r="A276" s="284" t="s">
        <v>825</v>
      </c>
      <c r="B276" s="1794" t="s">
        <v>665</v>
      </c>
      <c r="C276" s="3304" t="s">
        <v>826</v>
      </c>
      <c r="D276" s="4814"/>
      <c r="E276" s="6324" t="s">
        <v>667</v>
      </c>
      <c r="F276" s="7834" t="s">
        <v>827</v>
      </c>
      <c r="G276" s="9344" t="s">
        <v>27</v>
      </c>
      <c r="H276" s="10854">
        <v>2</v>
      </c>
      <c r="I276" s="12364" t="s">
        <v>16</v>
      </c>
      <c r="J276" t="s">
        <v>28</v>
      </c>
    </row>
    <row r="277" spans="1:10" ht="15.75" outlineLevel="3">
      <c r="A277" s="285" t="s">
        <v>828</v>
      </c>
      <c r="B277" s="1795" t="s">
        <v>829</v>
      </c>
      <c r="C277" s="3305" t="s">
        <v>830</v>
      </c>
      <c r="D277" s="4815"/>
      <c r="E277" s="6325"/>
      <c r="F277" s="7835" t="s">
        <v>831</v>
      </c>
      <c r="G277" s="9345" t="s">
        <v>832</v>
      </c>
      <c r="H277" s="10855">
        <v>3</v>
      </c>
      <c r="I277" s="12365" t="s">
        <v>16</v>
      </c>
      <c r="J277" s="13600" t="str">
        <f>HYPERLINK("\\192.168.170.18\drawings\2-Basic Components\0000-342 - Pipe Holders\0000-342-027-- - Pipe Holder DN100-Ø114.pdf", "PDF")</f>
        <v>PDF</v>
      </c>
    </row>
    <row r="278" spans="1:10" outlineLevel="4">
      <c r="A278" s="286" t="s">
        <v>833</v>
      </c>
      <c r="B278" s="1796" t="s">
        <v>661</v>
      </c>
      <c r="C278" s="3306" t="s">
        <v>834</v>
      </c>
      <c r="D278" s="4816"/>
      <c r="E278" s="6326" t="s">
        <v>32</v>
      </c>
      <c r="F278" s="7836" t="s">
        <v>835</v>
      </c>
      <c r="G278" s="9346" t="s">
        <v>832</v>
      </c>
      <c r="H278" s="10856">
        <v>1</v>
      </c>
      <c r="I278" s="12366" t="s">
        <v>16</v>
      </c>
      <c r="J278" t="s">
        <v>28</v>
      </c>
    </row>
    <row r="279" spans="1:10" outlineLevel="4">
      <c r="A279" s="287" t="s">
        <v>836</v>
      </c>
      <c r="B279" s="1797" t="s">
        <v>797</v>
      </c>
      <c r="C279" s="3307" t="s">
        <v>798</v>
      </c>
      <c r="D279" s="4817"/>
      <c r="E279" s="6327" t="s">
        <v>32</v>
      </c>
      <c r="F279" s="7837" t="s">
        <v>799</v>
      </c>
      <c r="G279" s="9347" t="s">
        <v>15</v>
      </c>
      <c r="H279" s="10857">
        <v>2</v>
      </c>
      <c r="I279" s="12367"/>
      <c r="J279" t="s">
        <v>28</v>
      </c>
    </row>
    <row r="280" spans="1:10" outlineLevel="4">
      <c r="A280" s="288" t="s">
        <v>837</v>
      </c>
      <c r="B280" s="1798" t="s">
        <v>779</v>
      </c>
      <c r="C280" s="3308" t="s">
        <v>806</v>
      </c>
      <c r="D280" s="4818"/>
      <c r="E280" s="6328" t="s">
        <v>667</v>
      </c>
      <c r="F280" s="7838" t="s">
        <v>807</v>
      </c>
      <c r="G280" s="9348" t="s">
        <v>27</v>
      </c>
      <c r="H280" s="10858">
        <v>4</v>
      </c>
      <c r="I280" s="12368"/>
      <c r="J280" t="s">
        <v>28</v>
      </c>
    </row>
    <row r="281" spans="1:10" outlineLevel="4">
      <c r="A281" s="289" t="s">
        <v>838</v>
      </c>
      <c r="B281" s="1799" t="s">
        <v>665</v>
      </c>
      <c r="C281" s="3309" t="s">
        <v>666</v>
      </c>
      <c r="D281" s="4819"/>
      <c r="E281" s="6329" t="s">
        <v>667</v>
      </c>
      <c r="F281" s="7839" t="s">
        <v>668</v>
      </c>
      <c r="G281" s="9349" t="s">
        <v>27</v>
      </c>
      <c r="H281" s="10859">
        <v>2</v>
      </c>
      <c r="I281" s="12369" t="s">
        <v>16</v>
      </c>
      <c r="J281" t="s">
        <v>28</v>
      </c>
    </row>
    <row r="282" spans="1:10" outlineLevel="4">
      <c r="A282" s="290" t="s">
        <v>839</v>
      </c>
      <c r="B282" s="1800" t="s">
        <v>670</v>
      </c>
      <c r="C282" s="3310" t="s">
        <v>809</v>
      </c>
      <c r="D282" s="4820"/>
      <c r="E282" s="6330" t="s">
        <v>667</v>
      </c>
      <c r="F282" s="7840" t="s">
        <v>810</v>
      </c>
      <c r="G282" s="9350" t="s">
        <v>27</v>
      </c>
      <c r="H282" s="10860">
        <v>2</v>
      </c>
      <c r="I282" s="12370" t="s">
        <v>16</v>
      </c>
      <c r="J282" t="s">
        <v>28</v>
      </c>
    </row>
    <row r="283" spans="1:10" outlineLevel="3">
      <c r="A283" s="291" t="s">
        <v>840</v>
      </c>
      <c r="B283" s="1801" t="s">
        <v>81</v>
      </c>
      <c r="C283" s="3311" t="s">
        <v>841</v>
      </c>
      <c r="D283" s="4821"/>
      <c r="E283" s="6331" t="s">
        <v>83</v>
      </c>
      <c r="F283" s="7841" t="s">
        <v>842</v>
      </c>
      <c r="G283" s="9351" t="s">
        <v>15</v>
      </c>
      <c r="H283" s="10861">
        <v>1</v>
      </c>
      <c r="I283" s="12371"/>
      <c r="J283" t="s">
        <v>28</v>
      </c>
    </row>
    <row r="284" spans="1:10" outlineLevel="3">
      <c r="A284" s="292" t="s">
        <v>843</v>
      </c>
      <c r="B284" s="1802" t="s">
        <v>844</v>
      </c>
      <c r="C284" s="3312" t="s">
        <v>845</v>
      </c>
      <c r="D284" s="4822"/>
      <c r="E284" s="6332" t="s">
        <v>32</v>
      </c>
      <c r="F284" s="7842" t="s">
        <v>846</v>
      </c>
      <c r="G284" s="9352" t="s">
        <v>15</v>
      </c>
      <c r="H284" s="10862">
        <v>1</v>
      </c>
      <c r="I284" s="12372"/>
      <c r="J284" t="s">
        <v>28</v>
      </c>
    </row>
    <row r="285" spans="1:10" outlineLevel="2">
      <c r="A285" s="293" t="s">
        <v>847</v>
      </c>
      <c r="B285" s="1803" t="s">
        <v>848</v>
      </c>
      <c r="C285" s="3313" t="s">
        <v>849</v>
      </c>
      <c r="D285" s="4823" t="s">
        <v>13</v>
      </c>
      <c r="E285" s="6333"/>
      <c r="F285" s="7843" t="s">
        <v>850</v>
      </c>
      <c r="G285" s="9353" t="s">
        <v>15</v>
      </c>
      <c r="H285" s="10863">
        <v>1</v>
      </c>
      <c r="I285" s="12373" t="s">
        <v>16</v>
      </c>
      <c r="J285" t="s">
        <v>28</v>
      </c>
    </row>
    <row r="286" spans="1:10" outlineLevel="3">
      <c r="A286" s="294" t="s">
        <v>851</v>
      </c>
      <c r="B286" s="1804" t="s">
        <v>23</v>
      </c>
      <c r="C286" s="3314" t="s">
        <v>610</v>
      </c>
      <c r="D286" s="4824"/>
      <c r="E286" s="6334" t="s">
        <v>32</v>
      </c>
      <c r="F286" s="7844" t="s">
        <v>611</v>
      </c>
      <c r="G286" s="9354" t="s">
        <v>27</v>
      </c>
      <c r="H286" s="10864">
        <v>11</v>
      </c>
      <c r="I286" s="12374"/>
      <c r="J286" t="s">
        <v>28</v>
      </c>
    </row>
    <row r="287" spans="1:10" outlineLevel="3">
      <c r="A287" s="295" t="s">
        <v>852</v>
      </c>
      <c r="B287" s="1805" t="s">
        <v>30</v>
      </c>
      <c r="C287" s="3315" t="s">
        <v>607</v>
      </c>
      <c r="D287" s="4825"/>
      <c r="E287" s="6335" t="s">
        <v>32</v>
      </c>
      <c r="F287" s="7845" t="s">
        <v>608</v>
      </c>
      <c r="G287" s="9355" t="s">
        <v>27</v>
      </c>
      <c r="H287" s="10865">
        <v>11</v>
      </c>
      <c r="I287" s="12375"/>
      <c r="J287" t="s">
        <v>28</v>
      </c>
    </row>
    <row r="288" spans="1:10" outlineLevel="3">
      <c r="A288" s="296" t="s">
        <v>853</v>
      </c>
      <c r="B288" s="1806" t="s">
        <v>708</v>
      </c>
      <c r="C288" s="3316" t="s">
        <v>709</v>
      </c>
      <c r="D288" s="4826"/>
      <c r="E288" s="6336" t="s">
        <v>16</v>
      </c>
      <c r="F288" s="7846" t="s">
        <v>710</v>
      </c>
      <c r="G288" s="9356" t="s">
        <v>15</v>
      </c>
      <c r="H288" s="10866">
        <v>1</v>
      </c>
      <c r="I288" s="12376"/>
      <c r="J288" t="s">
        <v>28</v>
      </c>
    </row>
    <row r="289" spans="1:10" ht="15.75" outlineLevel="3">
      <c r="A289" s="297" t="s">
        <v>854</v>
      </c>
      <c r="B289" s="1807" t="s">
        <v>721</v>
      </c>
      <c r="C289" s="3317" t="s">
        <v>722</v>
      </c>
      <c r="D289" s="4827"/>
      <c r="E289" s="6337" t="s">
        <v>32</v>
      </c>
      <c r="F289" s="7847" t="s">
        <v>723</v>
      </c>
      <c r="G289" s="9357" t="s">
        <v>15</v>
      </c>
      <c r="H289" s="10867">
        <v>2</v>
      </c>
      <c r="I289" s="12377" t="s">
        <v>16</v>
      </c>
      <c r="J289" s="13600" t="str">
        <f>HYPERLINK("\\192.168.170.18\drawings\2-Basic Components\0000-342 - Pipe Holders\0000-342-028-- - Pipe Holder DN100-Ø114,3.pdf", "PDF")</f>
        <v>PDF</v>
      </c>
    </row>
    <row r="290" spans="1:10" outlineLevel="3">
      <c r="A290" s="298" t="s">
        <v>855</v>
      </c>
      <c r="B290" s="1808" t="s">
        <v>81</v>
      </c>
      <c r="C290" s="3318" t="s">
        <v>841</v>
      </c>
      <c r="D290" s="4828"/>
      <c r="E290" s="6338" t="s">
        <v>83</v>
      </c>
      <c r="F290" s="7848" t="s">
        <v>842</v>
      </c>
      <c r="G290" s="9358" t="s">
        <v>15</v>
      </c>
      <c r="H290" s="10868">
        <v>1</v>
      </c>
      <c r="I290" s="12378"/>
      <c r="J290" t="s">
        <v>28</v>
      </c>
    </row>
    <row r="291" spans="1:10" outlineLevel="3">
      <c r="A291" s="299" t="s">
        <v>856</v>
      </c>
      <c r="B291" s="1809" t="s">
        <v>243</v>
      </c>
      <c r="C291" s="3319" t="s">
        <v>690</v>
      </c>
      <c r="D291" s="4829"/>
      <c r="E291" s="6339" t="s">
        <v>16</v>
      </c>
      <c r="F291" s="7849" t="s">
        <v>691</v>
      </c>
      <c r="G291" s="9359" t="s">
        <v>15</v>
      </c>
      <c r="H291" s="10869">
        <v>3</v>
      </c>
      <c r="I291" s="12379"/>
      <c r="J291" t="s">
        <v>28</v>
      </c>
    </row>
    <row r="292" spans="1:10" outlineLevel="3">
      <c r="A292" s="300" t="s">
        <v>857</v>
      </c>
      <c r="B292" s="1810" t="s">
        <v>48</v>
      </c>
      <c r="C292" s="3320" t="s">
        <v>698</v>
      </c>
      <c r="D292" s="4830"/>
      <c r="E292" s="6340" t="s">
        <v>32</v>
      </c>
      <c r="F292" s="7850" t="s">
        <v>699</v>
      </c>
      <c r="G292" s="9360" t="s">
        <v>27</v>
      </c>
      <c r="H292" s="10870">
        <v>2</v>
      </c>
      <c r="I292" s="12380"/>
      <c r="J292" t="s">
        <v>28</v>
      </c>
    </row>
    <row r="293" spans="1:10" outlineLevel="3">
      <c r="A293" s="301" t="s">
        <v>858</v>
      </c>
      <c r="B293" s="1811" t="s">
        <v>859</v>
      </c>
      <c r="C293" s="3321" t="s">
        <v>860</v>
      </c>
      <c r="D293" s="4831"/>
      <c r="E293" s="6341" t="s">
        <v>16</v>
      </c>
      <c r="F293" s="7851" t="s">
        <v>861</v>
      </c>
      <c r="G293" s="9361" t="s">
        <v>27</v>
      </c>
      <c r="H293" s="10871">
        <v>1</v>
      </c>
      <c r="I293" s="12381"/>
      <c r="J293" t="s">
        <v>28</v>
      </c>
    </row>
    <row r="294" spans="1:10" outlineLevel="3">
      <c r="A294" s="302" t="s">
        <v>862</v>
      </c>
      <c r="B294" s="1812" t="s">
        <v>35</v>
      </c>
      <c r="C294" s="3322" t="s">
        <v>863</v>
      </c>
      <c r="D294" s="4832"/>
      <c r="E294" s="6342" t="s">
        <v>32</v>
      </c>
      <c r="F294" s="7852" t="s">
        <v>864</v>
      </c>
      <c r="G294" s="9362" t="s">
        <v>15</v>
      </c>
      <c r="H294" s="10872">
        <v>1</v>
      </c>
      <c r="I294" s="12382" t="s">
        <v>16</v>
      </c>
      <c r="J294" t="s">
        <v>28</v>
      </c>
    </row>
    <row r="295" spans="1:10" ht="15.75" outlineLevel="3">
      <c r="A295" s="303" t="s">
        <v>865</v>
      </c>
      <c r="B295" s="1813" t="s">
        <v>866</v>
      </c>
      <c r="C295" s="3323" t="s">
        <v>867</v>
      </c>
      <c r="D295" s="4833"/>
      <c r="E295" s="6343" t="s">
        <v>32</v>
      </c>
      <c r="F295" s="7853" t="s">
        <v>868</v>
      </c>
      <c r="G295" s="9363" t="s">
        <v>15</v>
      </c>
      <c r="H295" s="10873">
        <v>1</v>
      </c>
      <c r="I295" s="12383" t="s">
        <v>16</v>
      </c>
      <c r="J295" s="13600" t="str">
        <f>HYPERLINK("\\192.168.170.18\drawings\2-Basic Components\0000-321 - Straight Connection\0000-321-015-- - SC-MPTK-80 - DN100_PN10 - BM.pdf", "PDF")</f>
        <v>PDF</v>
      </c>
    </row>
    <row r="296" spans="1:10" outlineLevel="3">
      <c r="A296" s="304" t="s">
        <v>869</v>
      </c>
      <c r="B296" s="1814" t="s">
        <v>35</v>
      </c>
      <c r="C296" s="3324" t="s">
        <v>870</v>
      </c>
      <c r="D296" s="4834"/>
      <c r="E296" s="6344" t="s">
        <v>32</v>
      </c>
      <c r="F296" s="7854" t="s">
        <v>871</v>
      </c>
      <c r="G296" s="9364" t="s">
        <v>15</v>
      </c>
      <c r="H296" s="10874">
        <v>1</v>
      </c>
      <c r="I296" s="12384" t="s">
        <v>16</v>
      </c>
      <c r="J296" t="s">
        <v>28</v>
      </c>
    </row>
    <row r="297" spans="1:10" outlineLevel="3">
      <c r="A297" s="305" t="s">
        <v>872</v>
      </c>
      <c r="B297" s="1815" t="s">
        <v>48</v>
      </c>
      <c r="C297" s="3325" t="s">
        <v>873</v>
      </c>
      <c r="D297" s="4835"/>
      <c r="E297" s="6345" t="s">
        <v>25</v>
      </c>
      <c r="F297" s="7855" t="s">
        <v>874</v>
      </c>
      <c r="G297" s="9365" t="s">
        <v>27</v>
      </c>
      <c r="H297" s="10875">
        <v>3</v>
      </c>
      <c r="I297" s="12385" t="s">
        <v>16</v>
      </c>
      <c r="J297" t="s">
        <v>28</v>
      </c>
    </row>
    <row r="298" spans="1:10" outlineLevel="3">
      <c r="A298" s="306" t="s">
        <v>875</v>
      </c>
      <c r="B298" s="1816" t="s">
        <v>30</v>
      </c>
      <c r="C298" s="3326" t="s">
        <v>876</v>
      </c>
      <c r="D298" s="4836"/>
      <c r="E298" s="6346" t="s">
        <v>32</v>
      </c>
      <c r="F298" s="7856" t="s">
        <v>877</v>
      </c>
      <c r="G298" s="9366" t="s">
        <v>27</v>
      </c>
      <c r="H298" s="10876">
        <v>4</v>
      </c>
      <c r="I298" s="12386"/>
      <c r="J298" t="s">
        <v>28</v>
      </c>
    </row>
    <row r="299" spans="1:10" outlineLevel="3">
      <c r="A299" s="307" t="s">
        <v>878</v>
      </c>
      <c r="B299" s="1817" t="s">
        <v>23</v>
      </c>
      <c r="C299" s="3327" t="s">
        <v>879</v>
      </c>
      <c r="D299" s="4837"/>
      <c r="E299" s="6347" t="s">
        <v>32</v>
      </c>
      <c r="F299" s="7857" t="s">
        <v>880</v>
      </c>
      <c r="G299" s="9367" t="s">
        <v>27</v>
      </c>
      <c r="H299" s="10877">
        <v>4</v>
      </c>
      <c r="I299" s="12387" t="s">
        <v>16</v>
      </c>
      <c r="J299" t="s">
        <v>28</v>
      </c>
    </row>
    <row r="300" spans="1:10" outlineLevel="3">
      <c r="A300" s="308" t="s">
        <v>881</v>
      </c>
      <c r="B300" s="1818" t="s">
        <v>243</v>
      </c>
      <c r="C300" s="3328" t="s">
        <v>882</v>
      </c>
      <c r="D300" s="4838"/>
      <c r="E300" s="6348" t="s">
        <v>41</v>
      </c>
      <c r="F300" s="7858" t="s">
        <v>883</v>
      </c>
      <c r="G300" s="9368" t="s">
        <v>15</v>
      </c>
      <c r="H300" s="10878">
        <v>1</v>
      </c>
      <c r="I300" s="12388" t="s">
        <v>16</v>
      </c>
      <c r="J300" t="s">
        <v>28</v>
      </c>
    </row>
    <row r="301" spans="1:10" outlineLevel="3">
      <c r="A301" s="309" t="s">
        <v>884</v>
      </c>
      <c r="B301" s="1819" t="s">
        <v>603</v>
      </c>
      <c r="C301" s="3329" t="s">
        <v>885</v>
      </c>
      <c r="D301" s="4839"/>
      <c r="E301" s="6349" t="s">
        <v>32</v>
      </c>
      <c r="F301" s="7859" t="s">
        <v>886</v>
      </c>
      <c r="G301" s="9369" t="s">
        <v>27</v>
      </c>
      <c r="H301" s="10879">
        <v>1</v>
      </c>
      <c r="I301" s="12389"/>
      <c r="J301" t="s">
        <v>28</v>
      </c>
    </row>
    <row r="302" spans="1:10" ht="15.75" outlineLevel="3">
      <c r="A302" s="310" t="s">
        <v>887</v>
      </c>
      <c r="B302" s="1820" t="s">
        <v>654</v>
      </c>
      <c r="C302" s="3330" t="s">
        <v>655</v>
      </c>
      <c r="D302" s="4840"/>
      <c r="E302" s="6350"/>
      <c r="F302" s="7860" t="s">
        <v>656</v>
      </c>
      <c r="G302" s="9370" t="s">
        <v>15</v>
      </c>
      <c r="H302" s="10880">
        <v>1</v>
      </c>
      <c r="I302" s="12390" t="s">
        <v>16</v>
      </c>
      <c r="J302" s="13600" t="str">
        <f>HYPERLINK("\\192.168.170.18\drawings\2-Basic Components\0000-342 - Pipe Holders\0000-342-021-- - Pipe holder foot L=200.pdf", "PDF")</f>
        <v>PDF</v>
      </c>
    </row>
    <row r="303" spans="1:10" outlineLevel="4">
      <c r="A303" s="311" t="s">
        <v>888</v>
      </c>
      <c r="B303" s="1821" t="s">
        <v>275</v>
      </c>
      <c r="C303" s="3331" t="s">
        <v>658</v>
      </c>
      <c r="D303" s="4841"/>
      <c r="E303" s="6351" t="s">
        <v>32</v>
      </c>
      <c r="F303" s="7861" t="s">
        <v>659</v>
      </c>
      <c r="G303" s="9371" t="s">
        <v>15</v>
      </c>
      <c r="H303" s="10881">
        <v>1</v>
      </c>
      <c r="I303" s="12391" t="s">
        <v>16</v>
      </c>
      <c r="J303" t="s">
        <v>28</v>
      </c>
    </row>
    <row r="304" spans="1:10" outlineLevel="4">
      <c r="A304" s="312" t="s">
        <v>889</v>
      </c>
      <c r="B304" s="1822" t="s">
        <v>661</v>
      </c>
      <c r="C304" s="3332" t="s">
        <v>662</v>
      </c>
      <c r="D304" s="4842"/>
      <c r="E304" s="6352" t="s">
        <v>32</v>
      </c>
      <c r="F304" s="7862" t="s">
        <v>663</v>
      </c>
      <c r="G304" s="9372" t="s">
        <v>15</v>
      </c>
      <c r="H304" s="10882">
        <v>1</v>
      </c>
      <c r="I304" s="12392" t="s">
        <v>16</v>
      </c>
      <c r="J304" t="s">
        <v>28</v>
      </c>
    </row>
    <row r="305" spans="1:10" outlineLevel="4">
      <c r="A305" s="313" t="s">
        <v>890</v>
      </c>
      <c r="B305" s="1823" t="s">
        <v>665</v>
      </c>
      <c r="C305" s="3333" t="s">
        <v>666</v>
      </c>
      <c r="D305" s="4843"/>
      <c r="E305" s="6353" t="s">
        <v>667</v>
      </c>
      <c r="F305" s="7863" t="s">
        <v>668</v>
      </c>
      <c r="G305" s="9373" t="s">
        <v>27</v>
      </c>
      <c r="H305" s="10883">
        <v>1</v>
      </c>
      <c r="I305" s="12393" t="s">
        <v>16</v>
      </c>
      <c r="J305" t="s">
        <v>28</v>
      </c>
    </row>
    <row r="306" spans="1:10" outlineLevel="4">
      <c r="A306" s="314" t="s">
        <v>891</v>
      </c>
      <c r="B306" s="1824" t="s">
        <v>670</v>
      </c>
      <c r="C306" s="3334" t="s">
        <v>671</v>
      </c>
      <c r="D306" s="4844"/>
      <c r="E306" s="6354" t="s">
        <v>667</v>
      </c>
      <c r="F306" s="7864" t="s">
        <v>672</v>
      </c>
      <c r="G306" s="9374" t="s">
        <v>27</v>
      </c>
      <c r="H306" s="10884">
        <v>1</v>
      </c>
      <c r="I306" s="12394" t="s">
        <v>16</v>
      </c>
      <c r="J306" t="s">
        <v>28</v>
      </c>
    </row>
    <row r="307" spans="1:10" outlineLevel="3">
      <c r="A307" s="315" t="s">
        <v>892</v>
      </c>
      <c r="B307" s="1825" t="s">
        <v>893</v>
      </c>
      <c r="C307" s="3335" t="s">
        <v>894</v>
      </c>
      <c r="D307" s="4845"/>
      <c r="E307" s="6355" t="s">
        <v>32</v>
      </c>
      <c r="F307" s="7865" t="s">
        <v>895</v>
      </c>
      <c r="G307" s="9375" t="s">
        <v>15</v>
      </c>
      <c r="H307" s="10885">
        <v>1</v>
      </c>
      <c r="I307" s="12395" t="s">
        <v>16</v>
      </c>
      <c r="J307" t="s">
        <v>28</v>
      </c>
    </row>
    <row r="308" spans="1:10" outlineLevel="3">
      <c r="A308" s="316" t="s">
        <v>896</v>
      </c>
      <c r="B308" s="1826" t="s">
        <v>194</v>
      </c>
      <c r="C308" s="3336" t="s">
        <v>195</v>
      </c>
      <c r="D308" s="4846"/>
      <c r="E308" s="6356" t="s">
        <v>16</v>
      </c>
      <c r="F308" s="7866" t="s">
        <v>196</v>
      </c>
      <c r="G308" s="9376" t="s">
        <v>27</v>
      </c>
      <c r="H308" s="10886">
        <v>1</v>
      </c>
      <c r="I308" s="12396"/>
      <c r="J308" t="s">
        <v>28</v>
      </c>
    </row>
    <row r="309" spans="1:10" outlineLevel="3">
      <c r="A309" s="317" t="s">
        <v>897</v>
      </c>
      <c r="B309" s="1827" t="s">
        <v>627</v>
      </c>
      <c r="C309" s="3337" t="s">
        <v>726</v>
      </c>
      <c r="D309" s="4847"/>
      <c r="E309" s="6357" t="s">
        <v>25</v>
      </c>
      <c r="F309" s="7867" t="s">
        <v>727</v>
      </c>
      <c r="G309" s="9377" t="s">
        <v>27</v>
      </c>
      <c r="H309" s="10887">
        <v>1</v>
      </c>
      <c r="I309" s="12397"/>
      <c r="J309" t="s">
        <v>28</v>
      </c>
    </row>
    <row r="310" spans="1:10" outlineLevel="3">
      <c r="A310" s="318" t="s">
        <v>898</v>
      </c>
      <c r="B310" s="1828" t="s">
        <v>77</v>
      </c>
      <c r="C310" s="3338" t="s">
        <v>729</v>
      </c>
      <c r="D310" s="4848"/>
      <c r="E310" s="6358" t="s">
        <v>25</v>
      </c>
      <c r="F310" s="7868" t="s">
        <v>730</v>
      </c>
      <c r="G310" s="9378" t="s">
        <v>27</v>
      </c>
      <c r="H310" s="10888">
        <v>1</v>
      </c>
      <c r="I310" s="12398"/>
      <c r="J310" t="s">
        <v>28</v>
      </c>
    </row>
    <row r="311" spans="1:10" outlineLevel="2">
      <c r="A311" s="319" t="s">
        <v>899</v>
      </c>
      <c r="B311" s="1829" t="s">
        <v>900</v>
      </c>
      <c r="C311" s="3339" t="s">
        <v>849</v>
      </c>
      <c r="D311" s="4849" t="s">
        <v>13</v>
      </c>
      <c r="E311" s="6359"/>
      <c r="F311" s="7869" t="s">
        <v>901</v>
      </c>
      <c r="G311" s="9379" t="s">
        <v>15</v>
      </c>
      <c r="H311" s="10889">
        <v>1</v>
      </c>
      <c r="I311" s="12399" t="s">
        <v>16</v>
      </c>
      <c r="J311" t="s">
        <v>28</v>
      </c>
    </row>
    <row r="312" spans="1:10" outlineLevel="3">
      <c r="A312" s="320" t="s">
        <v>902</v>
      </c>
      <c r="B312" s="1830" t="s">
        <v>23</v>
      </c>
      <c r="C312" s="3340" t="s">
        <v>610</v>
      </c>
      <c r="D312" s="4850"/>
      <c r="E312" s="6360" t="s">
        <v>32</v>
      </c>
      <c r="F312" s="7870" t="s">
        <v>611</v>
      </c>
      <c r="G312" s="9380" t="s">
        <v>27</v>
      </c>
      <c r="H312" s="10890">
        <v>11</v>
      </c>
      <c r="I312" s="12400"/>
      <c r="J312" t="s">
        <v>28</v>
      </c>
    </row>
    <row r="313" spans="1:10" outlineLevel="3">
      <c r="A313" s="321" t="s">
        <v>903</v>
      </c>
      <c r="B313" s="1831" t="s">
        <v>30</v>
      </c>
      <c r="C313" s="3341" t="s">
        <v>607</v>
      </c>
      <c r="D313" s="4851"/>
      <c r="E313" s="6361" t="s">
        <v>32</v>
      </c>
      <c r="F313" s="7871" t="s">
        <v>608</v>
      </c>
      <c r="G313" s="9381" t="s">
        <v>27</v>
      </c>
      <c r="H313" s="10891">
        <v>11</v>
      </c>
      <c r="I313" s="12401"/>
      <c r="J313" t="s">
        <v>28</v>
      </c>
    </row>
    <row r="314" spans="1:10" outlineLevel="3">
      <c r="A314" s="322" t="s">
        <v>904</v>
      </c>
      <c r="B314" s="1832" t="s">
        <v>708</v>
      </c>
      <c r="C314" s="3342" t="s">
        <v>709</v>
      </c>
      <c r="D314" s="4852"/>
      <c r="E314" s="6362" t="s">
        <v>16</v>
      </c>
      <c r="F314" s="7872" t="s">
        <v>710</v>
      </c>
      <c r="G314" s="9382" t="s">
        <v>15</v>
      </c>
      <c r="H314" s="10892">
        <v>1</v>
      </c>
      <c r="I314" s="12402"/>
      <c r="J314" t="s">
        <v>28</v>
      </c>
    </row>
    <row r="315" spans="1:10" ht="15.75" outlineLevel="3">
      <c r="A315" s="323" t="s">
        <v>905</v>
      </c>
      <c r="B315" s="1833" t="s">
        <v>721</v>
      </c>
      <c r="C315" s="3343" t="s">
        <v>722</v>
      </c>
      <c r="D315" s="4853"/>
      <c r="E315" s="6363" t="s">
        <v>32</v>
      </c>
      <c r="F315" s="7873" t="s">
        <v>723</v>
      </c>
      <c r="G315" s="9383" t="s">
        <v>15</v>
      </c>
      <c r="H315" s="10893">
        <v>2</v>
      </c>
      <c r="I315" s="12403" t="s">
        <v>16</v>
      </c>
      <c r="J315" s="13600" t="str">
        <f>HYPERLINK("\\192.168.170.18\drawings\2-Basic Components\0000-342 - Pipe Holders\0000-342-028-- - Pipe Holder DN100-Ø114,3.pdf", "PDF")</f>
        <v>PDF</v>
      </c>
    </row>
    <row r="316" spans="1:10" outlineLevel="3">
      <c r="A316" s="324" t="s">
        <v>906</v>
      </c>
      <c r="B316" s="1834" t="s">
        <v>81</v>
      </c>
      <c r="C316" s="3344" t="s">
        <v>841</v>
      </c>
      <c r="D316" s="4854"/>
      <c r="E316" s="6364" t="s">
        <v>83</v>
      </c>
      <c r="F316" s="7874" t="s">
        <v>842</v>
      </c>
      <c r="G316" s="9384" t="s">
        <v>15</v>
      </c>
      <c r="H316" s="10894">
        <v>1</v>
      </c>
      <c r="I316" s="12404"/>
      <c r="J316" t="s">
        <v>28</v>
      </c>
    </row>
    <row r="317" spans="1:10" outlineLevel="3">
      <c r="A317" s="325" t="s">
        <v>907</v>
      </c>
      <c r="B317" s="1835" t="s">
        <v>243</v>
      </c>
      <c r="C317" s="3345" t="s">
        <v>690</v>
      </c>
      <c r="D317" s="4855"/>
      <c r="E317" s="6365" t="s">
        <v>16</v>
      </c>
      <c r="F317" s="7875" t="s">
        <v>691</v>
      </c>
      <c r="G317" s="9385" t="s">
        <v>15</v>
      </c>
      <c r="H317" s="10895">
        <v>3</v>
      </c>
      <c r="I317" s="12405"/>
      <c r="J317" t="s">
        <v>28</v>
      </c>
    </row>
    <row r="318" spans="1:10" outlineLevel="3">
      <c r="A318" s="326" t="s">
        <v>908</v>
      </c>
      <c r="B318" s="1836" t="s">
        <v>48</v>
      </c>
      <c r="C318" s="3346" t="s">
        <v>698</v>
      </c>
      <c r="D318" s="4856"/>
      <c r="E318" s="6366" t="s">
        <v>32</v>
      </c>
      <c r="F318" s="7876" t="s">
        <v>699</v>
      </c>
      <c r="G318" s="9386" t="s">
        <v>27</v>
      </c>
      <c r="H318" s="10896">
        <v>2</v>
      </c>
      <c r="I318" s="12406"/>
      <c r="J318" t="s">
        <v>28</v>
      </c>
    </row>
    <row r="319" spans="1:10" outlineLevel="3">
      <c r="A319" s="327" t="s">
        <v>909</v>
      </c>
      <c r="B319" s="1837" t="s">
        <v>859</v>
      </c>
      <c r="C319" s="3347" t="s">
        <v>860</v>
      </c>
      <c r="D319" s="4857"/>
      <c r="E319" s="6367" t="s">
        <v>16</v>
      </c>
      <c r="F319" s="7877" t="s">
        <v>861</v>
      </c>
      <c r="G319" s="9387" t="s">
        <v>27</v>
      </c>
      <c r="H319" s="10897">
        <v>1</v>
      </c>
      <c r="I319" s="12407"/>
      <c r="J319" t="s">
        <v>28</v>
      </c>
    </row>
    <row r="320" spans="1:10" outlineLevel="3">
      <c r="A320" s="328" t="s">
        <v>910</v>
      </c>
      <c r="B320" s="1838" t="s">
        <v>35</v>
      </c>
      <c r="C320" s="3348" t="s">
        <v>911</v>
      </c>
      <c r="D320" s="4858"/>
      <c r="E320" s="6368" t="s">
        <v>32</v>
      </c>
      <c r="F320" s="7878" t="s">
        <v>912</v>
      </c>
      <c r="G320" s="9388" t="s">
        <v>15</v>
      </c>
      <c r="H320" s="10898">
        <v>1</v>
      </c>
      <c r="I320" s="12408" t="s">
        <v>16</v>
      </c>
      <c r="J320" t="s">
        <v>28</v>
      </c>
    </row>
    <row r="321" spans="1:10" ht="15.75" outlineLevel="3">
      <c r="A321" s="329" t="s">
        <v>913</v>
      </c>
      <c r="B321" s="1839" t="s">
        <v>866</v>
      </c>
      <c r="C321" s="3349" t="s">
        <v>867</v>
      </c>
      <c r="D321" s="4859"/>
      <c r="E321" s="6369" t="s">
        <v>32</v>
      </c>
      <c r="F321" s="7879" t="s">
        <v>868</v>
      </c>
      <c r="G321" s="9389" t="s">
        <v>15</v>
      </c>
      <c r="H321" s="10899">
        <v>1</v>
      </c>
      <c r="I321" s="12409" t="s">
        <v>16</v>
      </c>
      <c r="J321" s="13600" t="str">
        <f>HYPERLINK("\\192.168.170.18\drawings\2-Basic Components\0000-321 - Straight Connection\0000-321-015-- - SC-MPTK-80 - DN100_PN10 - BM.pdf", "PDF")</f>
        <v>PDF</v>
      </c>
    </row>
    <row r="322" spans="1:10" outlineLevel="3">
      <c r="A322" s="330" t="s">
        <v>914</v>
      </c>
      <c r="B322" s="1840" t="s">
        <v>35</v>
      </c>
      <c r="C322" s="3350" t="s">
        <v>915</v>
      </c>
      <c r="D322" s="4860"/>
      <c r="E322" s="6370" t="s">
        <v>32</v>
      </c>
      <c r="F322" s="7880" t="s">
        <v>916</v>
      </c>
      <c r="G322" s="9390" t="s">
        <v>15</v>
      </c>
      <c r="H322" s="10900">
        <v>1</v>
      </c>
      <c r="I322" s="12410" t="s">
        <v>16</v>
      </c>
      <c r="J322" t="s">
        <v>28</v>
      </c>
    </row>
    <row r="323" spans="1:10" outlineLevel="3">
      <c r="A323" s="331" t="s">
        <v>917</v>
      </c>
      <c r="B323" s="1841" t="s">
        <v>23</v>
      </c>
      <c r="C323" s="3351" t="s">
        <v>879</v>
      </c>
      <c r="D323" s="4861"/>
      <c r="E323" s="6371" t="s">
        <v>32</v>
      </c>
      <c r="F323" s="7881" t="s">
        <v>880</v>
      </c>
      <c r="G323" s="9391" t="s">
        <v>27</v>
      </c>
      <c r="H323" s="10901">
        <v>4</v>
      </c>
      <c r="I323" s="12411" t="s">
        <v>16</v>
      </c>
      <c r="J323" t="s">
        <v>28</v>
      </c>
    </row>
    <row r="324" spans="1:10" outlineLevel="3">
      <c r="A324" s="332" t="s">
        <v>918</v>
      </c>
      <c r="B324" s="1842" t="s">
        <v>30</v>
      </c>
      <c r="C324" s="3352" t="s">
        <v>876</v>
      </c>
      <c r="D324" s="4862"/>
      <c r="E324" s="6372" t="s">
        <v>32</v>
      </c>
      <c r="F324" s="7882" t="s">
        <v>877</v>
      </c>
      <c r="G324" s="9392" t="s">
        <v>27</v>
      </c>
      <c r="H324" s="10902">
        <v>4</v>
      </c>
      <c r="I324" s="12412"/>
      <c r="J324" t="s">
        <v>28</v>
      </c>
    </row>
    <row r="325" spans="1:10" outlineLevel="3">
      <c r="A325" s="333" t="s">
        <v>919</v>
      </c>
      <c r="B325" s="1843" t="s">
        <v>48</v>
      </c>
      <c r="C325" s="3353" t="s">
        <v>873</v>
      </c>
      <c r="D325" s="4863"/>
      <c r="E325" s="6373" t="s">
        <v>25</v>
      </c>
      <c r="F325" s="7883" t="s">
        <v>874</v>
      </c>
      <c r="G325" s="9393" t="s">
        <v>27</v>
      </c>
      <c r="H325" s="10903">
        <v>3</v>
      </c>
      <c r="I325" s="12413" t="s">
        <v>16</v>
      </c>
      <c r="J325" t="s">
        <v>28</v>
      </c>
    </row>
    <row r="326" spans="1:10" outlineLevel="3">
      <c r="A326" s="334" t="s">
        <v>920</v>
      </c>
      <c r="B326" s="1844" t="s">
        <v>243</v>
      </c>
      <c r="C326" s="3354" t="s">
        <v>882</v>
      </c>
      <c r="D326" s="4864"/>
      <c r="E326" s="6374" t="s">
        <v>41</v>
      </c>
      <c r="F326" s="7884" t="s">
        <v>883</v>
      </c>
      <c r="G326" s="9394" t="s">
        <v>15</v>
      </c>
      <c r="H326" s="10904">
        <v>1</v>
      </c>
      <c r="I326" s="12414" t="s">
        <v>16</v>
      </c>
      <c r="J326" t="s">
        <v>28</v>
      </c>
    </row>
    <row r="327" spans="1:10" outlineLevel="3">
      <c r="A327" s="335" t="s">
        <v>921</v>
      </c>
      <c r="B327" s="1845" t="s">
        <v>603</v>
      </c>
      <c r="C327" s="3355" t="s">
        <v>885</v>
      </c>
      <c r="D327" s="4865"/>
      <c r="E327" s="6375" t="s">
        <v>32</v>
      </c>
      <c r="F327" s="7885" t="s">
        <v>886</v>
      </c>
      <c r="G327" s="9395" t="s">
        <v>27</v>
      </c>
      <c r="H327" s="10905">
        <v>1</v>
      </c>
      <c r="I327" s="12415"/>
      <c r="J327" t="s">
        <v>28</v>
      </c>
    </row>
    <row r="328" spans="1:10" ht="15.75" outlineLevel="3">
      <c r="A328" s="336" t="s">
        <v>922</v>
      </c>
      <c r="B328" s="1846" t="s">
        <v>654</v>
      </c>
      <c r="C328" s="3356" t="s">
        <v>655</v>
      </c>
      <c r="D328" s="4866"/>
      <c r="E328" s="6376"/>
      <c r="F328" s="7886" t="s">
        <v>656</v>
      </c>
      <c r="G328" s="9396" t="s">
        <v>15</v>
      </c>
      <c r="H328" s="10906">
        <v>1</v>
      </c>
      <c r="I328" s="12416" t="s">
        <v>16</v>
      </c>
      <c r="J328" s="13600" t="str">
        <f>HYPERLINK("\\192.168.170.18\drawings\2-Basic Components\0000-342 - Pipe Holders\0000-342-021-- - Pipe holder foot L=200.pdf", "PDF")</f>
        <v>PDF</v>
      </c>
    </row>
    <row r="329" spans="1:10" outlineLevel="4">
      <c r="A329" s="337" t="s">
        <v>923</v>
      </c>
      <c r="B329" s="1847" t="s">
        <v>275</v>
      </c>
      <c r="C329" s="3357" t="s">
        <v>658</v>
      </c>
      <c r="D329" s="4867"/>
      <c r="E329" s="6377" t="s">
        <v>32</v>
      </c>
      <c r="F329" s="7887" t="s">
        <v>659</v>
      </c>
      <c r="G329" s="9397" t="s">
        <v>15</v>
      </c>
      <c r="H329" s="10907">
        <v>1</v>
      </c>
      <c r="I329" s="12417" t="s">
        <v>16</v>
      </c>
      <c r="J329" t="s">
        <v>28</v>
      </c>
    </row>
    <row r="330" spans="1:10" outlineLevel="4">
      <c r="A330" s="338" t="s">
        <v>924</v>
      </c>
      <c r="B330" s="1848" t="s">
        <v>661</v>
      </c>
      <c r="C330" s="3358" t="s">
        <v>662</v>
      </c>
      <c r="D330" s="4868"/>
      <c r="E330" s="6378" t="s">
        <v>32</v>
      </c>
      <c r="F330" s="7888" t="s">
        <v>663</v>
      </c>
      <c r="G330" s="9398" t="s">
        <v>15</v>
      </c>
      <c r="H330" s="10908">
        <v>1</v>
      </c>
      <c r="I330" s="12418" t="s">
        <v>16</v>
      </c>
      <c r="J330" t="s">
        <v>28</v>
      </c>
    </row>
    <row r="331" spans="1:10" outlineLevel="4">
      <c r="A331" s="339" t="s">
        <v>925</v>
      </c>
      <c r="B331" s="1849" t="s">
        <v>665</v>
      </c>
      <c r="C331" s="3359" t="s">
        <v>666</v>
      </c>
      <c r="D331" s="4869"/>
      <c r="E331" s="6379" t="s">
        <v>667</v>
      </c>
      <c r="F331" s="7889" t="s">
        <v>668</v>
      </c>
      <c r="G331" s="9399" t="s">
        <v>27</v>
      </c>
      <c r="H331" s="10909">
        <v>1</v>
      </c>
      <c r="I331" s="12419" t="s">
        <v>16</v>
      </c>
      <c r="J331" t="s">
        <v>28</v>
      </c>
    </row>
    <row r="332" spans="1:10" outlineLevel="4">
      <c r="A332" s="340" t="s">
        <v>926</v>
      </c>
      <c r="B332" s="1850" t="s">
        <v>670</v>
      </c>
      <c r="C332" s="3360" t="s">
        <v>671</v>
      </c>
      <c r="D332" s="4870"/>
      <c r="E332" s="6380" t="s">
        <v>667</v>
      </c>
      <c r="F332" s="7890" t="s">
        <v>672</v>
      </c>
      <c r="G332" s="9400" t="s">
        <v>27</v>
      </c>
      <c r="H332" s="10910">
        <v>1</v>
      </c>
      <c r="I332" s="12420" t="s">
        <v>16</v>
      </c>
      <c r="J332" t="s">
        <v>28</v>
      </c>
    </row>
    <row r="333" spans="1:10" outlineLevel="3">
      <c r="A333" s="341" t="s">
        <v>927</v>
      </c>
      <c r="B333" s="1851" t="s">
        <v>893</v>
      </c>
      <c r="C333" s="3361" t="s">
        <v>894</v>
      </c>
      <c r="D333" s="4871"/>
      <c r="E333" s="6381" t="s">
        <v>32</v>
      </c>
      <c r="F333" s="7891" t="s">
        <v>895</v>
      </c>
      <c r="G333" s="9401" t="s">
        <v>15</v>
      </c>
      <c r="H333" s="10911">
        <v>1</v>
      </c>
      <c r="I333" s="12421" t="s">
        <v>16</v>
      </c>
      <c r="J333" t="s">
        <v>28</v>
      </c>
    </row>
    <row r="334" spans="1:10" outlineLevel="3">
      <c r="A334" s="342" t="s">
        <v>928</v>
      </c>
      <c r="B334" s="1852" t="s">
        <v>194</v>
      </c>
      <c r="C334" s="3362" t="s">
        <v>195</v>
      </c>
      <c r="D334" s="4872"/>
      <c r="E334" s="6382" t="s">
        <v>16</v>
      </c>
      <c r="F334" s="7892" t="s">
        <v>196</v>
      </c>
      <c r="G334" s="9402" t="s">
        <v>27</v>
      </c>
      <c r="H334" s="10912">
        <v>1</v>
      </c>
      <c r="I334" s="12422"/>
      <c r="J334" t="s">
        <v>28</v>
      </c>
    </row>
    <row r="335" spans="1:10" outlineLevel="3">
      <c r="A335" s="343" t="s">
        <v>929</v>
      </c>
      <c r="B335" s="1853" t="s">
        <v>627</v>
      </c>
      <c r="C335" s="3363" t="s">
        <v>726</v>
      </c>
      <c r="D335" s="4873"/>
      <c r="E335" s="6383" t="s">
        <v>25</v>
      </c>
      <c r="F335" s="7893" t="s">
        <v>727</v>
      </c>
      <c r="G335" s="9403" t="s">
        <v>27</v>
      </c>
      <c r="H335" s="10913">
        <v>1</v>
      </c>
      <c r="I335" s="12423"/>
      <c r="J335" t="s">
        <v>28</v>
      </c>
    </row>
    <row r="336" spans="1:10" outlineLevel="3">
      <c r="A336" s="344" t="s">
        <v>930</v>
      </c>
      <c r="B336" s="1854" t="s">
        <v>77</v>
      </c>
      <c r="C336" s="3364" t="s">
        <v>729</v>
      </c>
      <c r="D336" s="4874"/>
      <c r="E336" s="6384" t="s">
        <v>25</v>
      </c>
      <c r="F336" s="7894" t="s">
        <v>730</v>
      </c>
      <c r="G336" s="9404" t="s">
        <v>27</v>
      </c>
      <c r="H336" s="10914">
        <v>1</v>
      </c>
      <c r="I336" s="12424"/>
      <c r="J336" t="s">
        <v>28</v>
      </c>
    </row>
    <row r="337" spans="1:10" outlineLevel="2">
      <c r="A337" s="345" t="s">
        <v>931</v>
      </c>
      <c r="B337" s="1855" t="s">
        <v>932</v>
      </c>
      <c r="C337" s="3365" t="s">
        <v>933</v>
      </c>
      <c r="D337" s="4875" t="s">
        <v>13</v>
      </c>
      <c r="E337" s="6385"/>
      <c r="F337" s="7895" t="s">
        <v>934</v>
      </c>
      <c r="G337" s="9405" t="s">
        <v>15</v>
      </c>
      <c r="H337" s="10915">
        <v>1</v>
      </c>
      <c r="I337" s="12425" t="s">
        <v>16</v>
      </c>
      <c r="J337" t="s">
        <v>28</v>
      </c>
    </row>
    <row r="338" spans="1:10" outlineLevel="3">
      <c r="A338" s="346" t="s">
        <v>935</v>
      </c>
      <c r="B338" s="1856" t="s">
        <v>35</v>
      </c>
      <c r="C338" s="3366" t="s">
        <v>936</v>
      </c>
      <c r="D338" s="4876"/>
      <c r="E338" s="6386" t="s">
        <v>32</v>
      </c>
      <c r="F338" s="7896" t="s">
        <v>937</v>
      </c>
      <c r="G338" s="9406" t="s">
        <v>15</v>
      </c>
      <c r="H338" s="10916">
        <v>1</v>
      </c>
      <c r="I338" s="12426" t="s">
        <v>16</v>
      </c>
      <c r="J338" t="s">
        <v>28</v>
      </c>
    </row>
    <row r="339" spans="1:10" outlineLevel="3">
      <c r="A339" s="347" t="s">
        <v>938</v>
      </c>
      <c r="B339" s="1857" t="s">
        <v>48</v>
      </c>
      <c r="C339" s="3367" t="s">
        <v>873</v>
      </c>
      <c r="D339" s="4877"/>
      <c r="E339" s="6387" t="s">
        <v>25</v>
      </c>
      <c r="F339" s="7897" t="s">
        <v>874</v>
      </c>
      <c r="G339" s="9407" t="s">
        <v>27</v>
      </c>
      <c r="H339" s="10917">
        <v>3</v>
      </c>
      <c r="I339" s="12427" t="s">
        <v>16</v>
      </c>
      <c r="J339" t="s">
        <v>28</v>
      </c>
    </row>
    <row r="340" spans="1:10" outlineLevel="3">
      <c r="A340" s="348" t="s">
        <v>939</v>
      </c>
      <c r="B340" s="1858" t="s">
        <v>243</v>
      </c>
      <c r="C340" s="3368" t="s">
        <v>882</v>
      </c>
      <c r="D340" s="4878"/>
      <c r="E340" s="6388" t="s">
        <v>41</v>
      </c>
      <c r="F340" s="7898" t="s">
        <v>883</v>
      </c>
      <c r="G340" s="9408" t="s">
        <v>15</v>
      </c>
      <c r="H340" s="10918">
        <v>1</v>
      </c>
      <c r="I340" s="12428" t="s">
        <v>16</v>
      </c>
      <c r="J340" t="s">
        <v>28</v>
      </c>
    </row>
    <row r="341" spans="1:10" outlineLevel="3">
      <c r="A341" s="349" t="s">
        <v>940</v>
      </c>
      <c r="B341" s="1859" t="s">
        <v>30</v>
      </c>
      <c r="C341" s="3369" t="s">
        <v>876</v>
      </c>
      <c r="D341" s="4879"/>
      <c r="E341" s="6389" t="s">
        <v>32</v>
      </c>
      <c r="F341" s="7899" t="s">
        <v>877</v>
      </c>
      <c r="G341" s="9409" t="s">
        <v>27</v>
      </c>
      <c r="H341" s="10919">
        <v>7</v>
      </c>
      <c r="I341" s="12429"/>
      <c r="J341" t="s">
        <v>28</v>
      </c>
    </row>
    <row r="342" spans="1:10" outlineLevel="3">
      <c r="A342" s="350" t="s">
        <v>941</v>
      </c>
      <c r="B342" s="1860" t="s">
        <v>23</v>
      </c>
      <c r="C342" s="3370" t="s">
        <v>879</v>
      </c>
      <c r="D342" s="4880"/>
      <c r="E342" s="6390" t="s">
        <v>32</v>
      </c>
      <c r="F342" s="7900" t="s">
        <v>880</v>
      </c>
      <c r="G342" s="9410" t="s">
        <v>27</v>
      </c>
      <c r="H342" s="10920">
        <v>7</v>
      </c>
      <c r="I342" s="12430" t="s">
        <v>16</v>
      </c>
      <c r="J342" t="s">
        <v>28</v>
      </c>
    </row>
    <row r="343" spans="1:10" outlineLevel="3">
      <c r="A343" s="351" t="s">
        <v>942</v>
      </c>
      <c r="B343" s="1861" t="s">
        <v>708</v>
      </c>
      <c r="C343" s="3371" t="s">
        <v>943</v>
      </c>
      <c r="D343" s="4881"/>
      <c r="E343" s="6391" t="s">
        <v>41</v>
      </c>
      <c r="F343" s="7901" t="s">
        <v>944</v>
      </c>
      <c r="G343" s="9411" t="s">
        <v>15</v>
      </c>
      <c r="H343" s="10921">
        <v>1</v>
      </c>
      <c r="I343" s="12431" t="s">
        <v>16</v>
      </c>
      <c r="J343" t="s">
        <v>28</v>
      </c>
    </row>
    <row r="344" spans="1:10" outlineLevel="3">
      <c r="A344" s="352" t="s">
        <v>945</v>
      </c>
      <c r="B344" s="1862" t="s">
        <v>893</v>
      </c>
      <c r="C344" s="3372" t="s">
        <v>894</v>
      </c>
      <c r="D344" s="4882"/>
      <c r="E344" s="6392" t="s">
        <v>32</v>
      </c>
      <c r="F344" s="7902" t="s">
        <v>895</v>
      </c>
      <c r="G344" s="9412" t="s">
        <v>15</v>
      </c>
      <c r="H344" s="10922">
        <v>1</v>
      </c>
      <c r="I344" s="12432" t="s">
        <v>16</v>
      </c>
      <c r="J344" t="s">
        <v>28</v>
      </c>
    </row>
    <row r="345" spans="1:10" outlineLevel="3">
      <c r="A345" s="353" t="s">
        <v>946</v>
      </c>
      <c r="B345" s="1863" t="s">
        <v>712</v>
      </c>
      <c r="C345" s="3373" t="s">
        <v>947</v>
      </c>
      <c r="D345" s="4883"/>
      <c r="E345" s="6393" t="s">
        <v>16</v>
      </c>
      <c r="F345" s="7903" t="s">
        <v>948</v>
      </c>
      <c r="G345" s="9413" t="s">
        <v>27</v>
      </c>
      <c r="H345" s="10923">
        <v>1</v>
      </c>
      <c r="I345" s="12433" t="s">
        <v>16</v>
      </c>
      <c r="J345" t="s">
        <v>28</v>
      </c>
    </row>
    <row r="346" spans="1:10" ht="15.75" outlineLevel="3">
      <c r="A346" s="354" t="s">
        <v>949</v>
      </c>
      <c r="B346" s="1864" t="s">
        <v>654</v>
      </c>
      <c r="C346" s="3374" t="s">
        <v>655</v>
      </c>
      <c r="D346" s="4884"/>
      <c r="E346" s="6394"/>
      <c r="F346" s="7904" t="s">
        <v>656</v>
      </c>
      <c r="G346" s="9414" t="s">
        <v>15</v>
      </c>
      <c r="H346" s="10924">
        <v>1</v>
      </c>
      <c r="I346" s="12434" t="s">
        <v>16</v>
      </c>
      <c r="J346" s="13600" t="str">
        <f>HYPERLINK("\\192.168.170.18\drawings\2-Basic Components\0000-342 - Pipe Holders\0000-342-021-- - Pipe holder foot L=200.pdf", "PDF")</f>
        <v>PDF</v>
      </c>
    </row>
    <row r="347" spans="1:10" outlineLevel="4">
      <c r="A347" s="355" t="s">
        <v>950</v>
      </c>
      <c r="B347" s="1865" t="s">
        <v>275</v>
      </c>
      <c r="C347" s="3375" t="s">
        <v>658</v>
      </c>
      <c r="D347" s="4885"/>
      <c r="E347" s="6395" t="s">
        <v>32</v>
      </c>
      <c r="F347" s="7905" t="s">
        <v>659</v>
      </c>
      <c r="G347" s="9415" t="s">
        <v>15</v>
      </c>
      <c r="H347" s="10925">
        <v>1</v>
      </c>
      <c r="I347" s="12435" t="s">
        <v>16</v>
      </c>
      <c r="J347" t="s">
        <v>28</v>
      </c>
    </row>
    <row r="348" spans="1:10" outlineLevel="4">
      <c r="A348" s="356" t="s">
        <v>951</v>
      </c>
      <c r="B348" s="1866" t="s">
        <v>661</v>
      </c>
      <c r="C348" s="3376" t="s">
        <v>662</v>
      </c>
      <c r="D348" s="4886"/>
      <c r="E348" s="6396" t="s">
        <v>32</v>
      </c>
      <c r="F348" s="7906" t="s">
        <v>663</v>
      </c>
      <c r="G348" s="9416" t="s">
        <v>15</v>
      </c>
      <c r="H348" s="10926">
        <v>1</v>
      </c>
      <c r="I348" s="12436" t="s">
        <v>16</v>
      </c>
      <c r="J348" t="s">
        <v>28</v>
      </c>
    </row>
    <row r="349" spans="1:10" outlineLevel="4">
      <c r="A349" s="357" t="s">
        <v>952</v>
      </c>
      <c r="B349" s="1867" t="s">
        <v>665</v>
      </c>
      <c r="C349" s="3377" t="s">
        <v>666</v>
      </c>
      <c r="D349" s="4887"/>
      <c r="E349" s="6397" t="s">
        <v>667</v>
      </c>
      <c r="F349" s="7907" t="s">
        <v>668</v>
      </c>
      <c r="G349" s="9417" t="s">
        <v>27</v>
      </c>
      <c r="H349" s="10927">
        <v>1</v>
      </c>
      <c r="I349" s="12437" t="s">
        <v>16</v>
      </c>
      <c r="J349" t="s">
        <v>28</v>
      </c>
    </row>
    <row r="350" spans="1:10" outlineLevel="4">
      <c r="A350" s="358" t="s">
        <v>953</v>
      </c>
      <c r="B350" s="1868" t="s">
        <v>670</v>
      </c>
      <c r="C350" s="3378" t="s">
        <v>671</v>
      </c>
      <c r="D350" s="4888"/>
      <c r="E350" s="6398" t="s">
        <v>667</v>
      </c>
      <c r="F350" s="7908" t="s">
        <v>672</v>
      </c>
      <c r="G350" s="9418" t="s">
        <v>27</v>
      </c>
      <c r="H350" s="10928">
        <v>1</v>
      </c>
      <c r="I350" s="12438" t="s">
        <v>16</v>
      </c>
      <c r="J350" t="s">
        <v>28</v>
      </c>
    </row>
    <row r="351" spans="1:10" outlineLevel="2">
      <c r="A351" s="359" t="s">
        <v>954</v>
      </c>
      <c r="B351" s="1869" t="s">
        <v>955</v>
      </c>
      <c r="C351" s="3379" t="s">
        <v>933</v>
      </c>
      <c r="D351" s="4889" t="s">
        <v>13</v>
      </c>
      <c r="E351" s="6399"/>
      <c r="F351" s="7909" t="s">
        <v>956</v>
      </c>
      <c r="G351" s="9419" t="s">
        <v>15</v>
      </c>
      <c r="H351" s="10929">
        <v>1</v>
      </c>
      <c r="I351" s="12439" t="s">
        <v>16</v>
      </c>
      <c r="J351" t="s">
        <v>28</v>
      </c>
    </row>
    <row r="352" spans="1:10" outlineLevel="3">
      <c r="A352" s="360" t="s">
        <v>957</v>
      </c>
      <c r="B352" s="1870" t="s">
        <v>35</v>
      </c>
      <c r="C352" s="3380" t="s">
        <v>958</v>
      </c>
      <c r="D352" s="4890"/>
      <c r="E352" s="6400" t="s">
        <v>32</v>
      </c>
      <c r="F352" s="7910" t="s">
        <v>959</v>
      </c>
      <c r="G352" s="9420" t="s">
        <v>15</v>
      </c>
      <c r="H352" s="10930">
        <v>1</v>
      </c>
      <c r="I352" s="12440" t="s">
        <v>16</v>
      </c>
      <c r="J352" t="s">
        <v>28</v>
      </c>
    </row>
    <row r="353" spans="1:10" outlineLevel="3">
      <c r="A353" s="361" t="s">
        <v>960</v>
      </c>
      <c r="B353" s="1871" t="s">
        <v>48</v>
      </c>
      <c r="C353" s="3381" t="s">
        <v>873</v>
      </c>
      <c r="D353" s="4891"/>
      <c r="E353" s="6401" t="s">
        <v>25</v>
      </c>
      <c r="F353" s="7911" t="s">
        <v>874</v>
      </c>
      <c r="G353" s="9421" t="s">
        <v>27</v>
      </c>
      <c r="H353" s="10931">
        <v>3</v>
      </c>
      <c r="I353" s="12441" t="s">
        <v>16</v>
      </c>
      <c r="J353" t="s">
        <v>28</v>
      </c>
    </row>
    <row r="354" spans="1:10" outlineLevel="3">
      <c r="A354" s="362" t="s">
        <v>961</v>
      </c>
      <c r="B354" s="1872" t="s">
        <v>30</v>
      </c>
      <c r="C354" s="3382" t="s">
        <v>876</v>
      </c>
      <c r="D354" s="4892"/>
      <c r="E354" s="6402" t="s">
        <v>32</v>
      </c>
      <c r="F354" s="7912" t="s">
        <v>877</v>
      </c>
      <c r="G354" s="9422" t="s">
        <v>27</v>
      </c>
      <c r="H354" s="10932">
        <v>7</v>
      </c>
      <c r="I354" s="12442"/>
      <c r="J354" t="s">
        <v>28</v>
      </c>
    </row>
    <row r="355" spans="1:10" outlineLevel="3">
      <c r="A355" s="363" t="s">
        <v>962</v>
      </c>
      <c r="B355" s="1873" t="s">
        <v>23</v>
      </c>
      <c r="C355" s="3383" t="s">
        <v>879</v>
      </c>
      <c r="D355" s="4893"/>
      <c r="E355" s="6403" t="s">
        <v>32</v>
      </c>
      <c r="F355" s="7913" t="s">
        <v>880</v>
      </c>
      <c r="G355" s="9423" t="s">
        <v>27</v>
      </c>
      <c r="H355" s="10933">
        <v>7</v>
      </c>
      <c r="I355" s="12443" t="s">
        <v>16</v>
      </c>
      <c r="J355" t="s">
        <v>28</v>
      </c>
    </row>
    <row r="356" spans="1:10" outlineLevel="3">
      <c r="A356" s="364" t="s">
        <v>963</v>
      </c>
      <c r="B356" s="1874" t="s">
        <v>243</v>
      </c>
      <c r="C356" s="3384" t="s">
        <v>882</v>
      </c>
      <c r="D356" s="4894"/>
      <c r="E356" s="6404" t="s">
        <v>41</v>
      </c>
      <c r="F356" s="7914" t="s">
        <v>883</v>
      </c>
      <c r="G356" s="9424" t="s">
        <v>15</v>
      </c>
      <c r="H356" s="10934">
        <v>1</v>
      </c>
      <c r="I356" s="12444" t="s">
        <v>16</v>
      </c>
      <c r="J356" t="s">
        <v>28</v>
      </c>
    </row>
    <row r="357" spans="1:10" outlineLevel="3">
      <c r="A357" s="365" t="s">
        <v>964</v>
      </c>
      <c r="B357" s="1875" t="s">
        <v>708</v>
      </c>
      <c r="C357" s="3385" t="s">
        <v>943</v>
      </c>
      <c r="D357" s="4895"/>
      <c r="E357" s="6405" t="s">
        <v>41</v>
      </c>
      <c r="F357" s="7915" t="s">
        <v>944</v>
      </c>
      <c r="G357" s="9425" t="s">
        <v>15</v>
      </c>
      <c r="H357" s="10935">
        <v>1</v>
      </c>
      <c r="I357" s="12445" t="s">
        <v>16</v>
      </c>
      <c r="J357" t="s">
        <v>28</v>
      </c>
    </row>
    <row r="358" spans="1:10" outlineLevel="3">
      <c r="A358" s="366" t="s">
        <v>965</v>
      </c>
      <c r="B358" s="1876" t="s">
        <v>712</v>
      </c>
      <c r="C358" s="3386" t="s">
        <v>947</v>
      </c>
      <c r="D358" s="4896"/>
      <c r="E358" s="6406" t="s">
        <v>16</v>
      </c>
      <c r="F358" s="7916" t="s">
        <v>948</v>
      </c>
      <c r="G358" s="9426" t="s">
        <v>27</v>
      </c>
      <c r="H358" s="10936">
        <v>1</v>
      </c>
      <c r="I358" s="12446" t="s">
        <v>16</v>
      </c>
      <c r="J358" t="s">
        <v>28</v>
      </c>
    </row>
    <row r="359" spans="1:10" ht="15.75" outlineLevel="3">
      <c r="A359" s="367" t="s">
        <v>966</v>
      </c>
      <c r="B359" s="1877" t="s">
        <v>654</v>
      </c>
      <c r="C359" s="3387" t="s">
        <v>655</v>
      </c>
      <c r="D359" s="4897"/>
      <c r="E359" s="6407"/>
      <c r="F359" s="7917" t="s">
        <v>656</v>
      </c>
      <c r="G359" s="9427" t="s">
        <v>15</v>
      </c>
      <c r="H359" s="10937">
        <v>1</v>
      </c>
      <c r="I359" s="12447" t="s">
        <v>16</v>
      </c>
      <c r="J359" s="13600" t="str">
        <f>HYPERLINK("\\192.168.170.18\drawings\2-Basic Components\0000-342 - Pipe Holders\0000-342-021-- - Pipe holder foot L=200.pdf", "PDF")</f>
        <v>PDF</v>
      </c>
    </row>
    <row r="360" spans="1:10" outlineLevel="4">
      <c r="A360" s="368" t="s">
        <v>967</v>
      </c>
      <c r="B360" s="1878" t="s">
        <v>275</v>
      </c>
      <c r="C360" s="3388" t="s">
        <v>658</v>
      </c>
      <c r="D360" s="4898"/>
      <c r="E360" s="6408" t="s">
        <v>32</v>
      </c>
      <c r="F360" s="7918" t="s">
        <v>659</v>
      </c>
      <c r="G360" s="9428" t="s">
        <v>15</v>
      </c>
      <c r="H360" s="10938">
        <v>1</v>
      </c>
      <c r="I360" s="12448" t="s">
        <v>16</v>
      </c>
      <c r="J360" t="s">
        <v>28</v>
      </c>
    </row>
    <row r="361" spans="1:10" outlineLevel="4">
      <c r="A361" s="369" t="s">
        <v>968</v>
      </c>
      <c r="B361" s="1879" t="s">
        <v>661</v>
      </c>
      <c r="C361" s="3389" t="s">
        <v>662</v>
      </c>
      <c r="D361" s="4899"/>
      <c r="E361" s="6409" t="s">
        <v>32</v>
      </c>
      <c r="F361" s="7919" t="s">
        <v>663</v>
      </c>
      <c r="G361" s="9429" t="s">
        <v>15</v>
      </c>
      <c r="H361" s="10939">
        <v>1</v>
      </c>
      <c r="I361" s="12449" t="s">
        <v>16</v>
      </c>
      <c r="J361" t="s">
        <v>28</v>
      </c>
    </row>
    <row r="362" spans="1:10" outlineLevel="4">
      <c r="A362" s="370" t="s">
        <v>969</v>
      </c>
      <c r="B362" s="1880" t="s">
        <v>665</v>
      </c>
      <c r="C362" s="3390" t="s">
        <v>666</v>
      </c>
      <c r="D362" s="4900"/>
      <c r="E362" s="6410" t="s">
        <v>667</v>
      </c>
      <c r="F362" s="7920" t="s">
        <v>668</v>
      </c>
      <c r="G362" s="9430" t="s">
        <v>27</v>
      </c>
      <c r="H362" s="10940">
        <v>1</v>
      </c>
      <c r="I362" s="12450" t="s">
        <v>16</v>
      </c>
      <c r="J362" t="s">
        <v>28</v>
      </c>
    </row>
    <row r="363" spans="1:10" outlineLevel="4">
      <c r="A363" s="371" t="s">
        <v>970</v>
      </c>
      <c r="B363" s="1881" t="s">
        <v>670</v>
      </c>
      <c r="C363" s="3391" t="s">
        <v>671</v>
      </c>
      <c r="D363" s="4901"/>
      <c r="E363" s="6411" t="s">
        <v>667</v>
      </c>
      <c r="F363" s="7921" t="s">
        <v>672</v>
      </c>
      <c r="G363" s="9431" t="s">
        <v>27</v>
      </c>
      <c r="H363" s="10941">
        <v>1</v>
      </c>
      <c r="I363" s="12451" t="s">
        <v>16</v>
      </c>
      <c r="J363" t="s">
        <v>28</v>
      </c>
    </row>
    <row r="364" spans="1:10" outlineLevel="3">
      <c r="A364" s="372" t="s">
        <v>971</v>
      </c>
      <c r="B364" s="1882" t="s">
        <v>893</v>
      </c>
      <c r="C364" s="3392" t="s">
        <v>894</v>
      </c>
      <c r="D364" s="4902"/>
      <c r="E364" s="6412" t="s">
        <v>32</v>
      </c>
      <c r="F364" s="7922" t="s">
        <v>895</v>
      </c>
      <c r="G364" s="9432" t="s">
        <v>15</v>
      </c>
      <c r="H364" s="10942">
        <v>1</v>
      </c>
      <c r="I364" s="12452" t="s">
        <v>16</v>
      </c>
      <c r="J364" t="s">
        <v>28</v>
      </c>
    </row>
    <row r="365" spans="1:10" outlineLevel="1">
      <c r="A365" s="373" t="s">
        <v>972</v>
      </c>
      <c r="B365" s="1883" t="s">
        <v>973</v>
      </c>
      <c r="C365" s="3393" t="s">
        <v>87</v>
      </c>
      <c r="D365" s="4903" t="s">
        <v>13</v>
      </c>
      <c r="E365" s="6413"/>
      <c r="F365" s="7923" t="s">
        <v>974</v>
      </c>
      <c r="G365" s="9433" t="s">
        <v>15</v>
      </c>
      <c r="H365" s="10943">
        <v>1</v>
      </c>
      <c r="I365" s="12453" t="s">
        <v>16</v>
      </c>
      <c r="J365" t="s">
        <v>28</v>
      </c>
    </row>
    <row r="366" spans="1:10" outlineLevel="2">
      <c r="A366" s="374" t="s">
        <v>975</v>
      </c>
      <c r="B366" s="1884" t="s">
        <v>90</v>
      </c>
      <c r="C366" s="3394" t="s">
        <v>91</v>
      </c>
      <c r="D366" s="4904"/>
      <c r="E366" s="6414" t="s">
        <v>92</v>
      </c>
      <c r="F366" s="7924" t="s">
        <v>976</v>
      </c>
      <c r="G366" s="9434" t="s">
        <v>15</v>
      </c>
      <c r="H366" s="10944">
        <v>1</v>
      </c>
      <c r="I366" s="12454" t="s">
        <v>16</v>
      </c>
      <c r="J366" t="s">
        <v>28</v>
      </c>
    </row>
    <row r="367" spans="1:10" outlineLevel="2">
      <c r="A367" s="375" t="s">
        <v>977</v>
      </c>
      <c r="B367" s="1885" t="s">
        <v>95</v>
      </c>
      <c r="C367" s="3395" t="s">
        <v>96</v>
      </c>
      <c r="D367" s="4905"/>
      <c r="E367" s="6415" t="s">
        <v>97</v>
      </c>
      <c r="F367" s="7925" t="s">
        <v>978</v>
      </c>
      <c r="G367" s="9435" t="s">
        <v>15</v>
      </c>
      <c r="H367" s="10945">
        <v>1</v>
      </c>
      <c r="I367" s="12455" t="s">
        <v>16</v>
      </c>
      <c r="J367" t="s">
        <v>28</v>
      </c>
    </row>
    <row r="368" spans="1:10" outlineLevel="2">
      <c r="A368" s="376" t="s">
        <v>979</v>
      </c>
      <c r="B368" s="1886" t="s">
        <v>95</v>
      </c>
      <c r="C368" s="3396" t="s">
        <v>100</v>
      </c>
      <c r="D368" s="4906"/>
      <c r="E368" s="6416" t="s">
        <v>97</v>
      </c>
      <c r="F368" s="7926" t="s">
        <v>980</v>
      </c>
      <c r="G368" s="9436" t="s">
        <v>15</v>
      </c>
      <c r="H368" s="10946">
        <v>1</v>
      </c>
      <c r="I368" s="12456" t="s">
        <v>16</v>
      </c>
      <c r="J368" t="s">
        <v>28</v>
      </c>
    </row>
    <row r="369" spans="1:10" outlineLevel="2">
      <c r="A369" s="377" t="s">
        <v>981</v>
      </c>
      <c r="B369" s="1887" t="s">
        <v>81</v>
      </c>
      <c r="C369" s="3397" t="s">
        <v>82</v>
      </c>
      <c r="D369" s="4907"/>
      <c r="E369" s="6417" t="s">
        <v>83</v>
      </c>
      <c r="F369" s="7927" t="s">
        <v>84</v>
      </c>
      <c r="G369" s="9437" t="s">
        <v>27</v>
      </c>
      <c r="H369" s="10947">
        <v>3</v>
      </c>
      <c r="I369" s="12457"/>
      <c r="J369" t="s">
        <v>28</v>
      </c>
    </row>
    <row r="370" spans="1:10" outlineLevel="2">
      <c r="A370" s="378" t="s">
        <v>982</v>
      </c>
      <c r="B370" s="1888" t="s">
        <v>104</v>
      </c>
      <c r="C370" s="3398" t="s">
        <v>105</v>
      </c>
      <c r="D370" s="4908"/>
      <c r="E370" s="6418" t="s">
        <v>32</v>
      </c>
      <c r="F370" s="7928" t="s">
        <v>106</v>
      </c>
      <c r="G370" s="9438" t="s">
        <v>15</v>
      </c>
      <c r="H370" s="10948">
        <v>1</v>
      </c>
      <c r="I370" s="12458" t="s">
        <v>16</v>
      </c>
      <c r="J370" t="s">
        <v>28</v>
      </c>
    </row>
    <row r="371" spans="1:10" outlineLevel="2">
      <c r="A371" s="379" t="s">
        <v>983</v>
      </c>
      <c r="B371" s="1889" t="s">
        <v>108</v>
      </c>
      <c r="C371" s="3399" t="s">
        <v>109</v>
      </c>
      <c r="D371" s="4909"/>
      <c r="E371" s="6419" t="s">
        <v>83</v>
      </c>
      <c r="F371" s="7929" t="s">
        <v>110</v>
      </c>
      <c r="G371" s="9439" t="s">
        <v>27</v>
      </c>
      <c r="H371" s="10949">
        <v>1</v>
      </c>
      <c r="I371" s="12459"/>
      <c r="J371" t="s">
        <v>28</v>
      </c>
    </row>
    <row r="372" spans="1:10" outlineLevel="1">
      <c r="A372" s="380" t="s">
        <v>984</v>
      </c>
      <c r="B372" s="1890" t="s">
        <v>985</v>
      </c>
      <c r="C372" s="3400" t="s">
        <v>113</v>
      </c>
      <c r="D372" s="4910" t="s">
        <v>13</v>
      </c>
      <c r="E372" s="6420"/>
      <c r="F372" s="7930" t="s">
        <v>986</v>
      </c>
      <c r="G372" s="9440" t="s">
        <v>15</v>
      </c>
      <c r="H372" s="10950">
        <v>1</v>
      </c>
      <c r="I372" s="12460" t="s">
        <v>16</v>
      </c>
      <c r="J372" t="s">
        <v>28</v>
      </c>
    </row>
    <row r="373" spans="1:10" outlineLevel="2">
      <c r="A373" s="381" t="s">
        <v>987</v>
      </c>
      <c r="B373" s="1891" t="s">
        <v>95</v>
      </c>
      <c r="C373" s="3401" t="s">
        <v>116</v>
      </c>
      <c r="D373" s="4911"/>
      <c r="E373" s="6421" t="s">
        <v>97</v>
      </c>
      <c r="F373" s="7931" t="s">
        <v>988</v>
      </c>
      <c r="G373" s="9441" t="s">
        <v>15</v>
      </c>
      <c r="H373" s="10951">
        <v>1</v>
      </c>
      <c r="I373" s="12461" t="s">
        <v>16</v>
      </c>
      <c r="J373" t="s">
        <v>28</v>
      </c>
    </row>
    <row r="374" spans="1:10" outlineLevel="1">
      <c r="A374" s="382" t="s">
        <v>989</v>
      </c>
      <c r="B374" s="1892" t="s">
        <v>990</v>
      </c>
      <c r="C374" s="3402" t="s">
        <v>120</v>
      </c>
      <c r="D374" s="4912" t="s">
        <v>13</v>
      </c>
      <c r="E374" s="6422"/>
      <c r="F374" s="7932" t="s">
        <v>991</v>
      </c>
      <c r="G374" s="9442" t="s">
        <v>15</v>
      </c>
      <c r="H374" s="10952">
        <v>1</v>
      </c>
      <c r="I374" s="12462" t="s">
        <v>16</v>
      </c>
      <c r="J374" t="s">
        <v>28</v>
      </c>
    </row>
    <row r="375" spans="1:10" outlineLevel="2">
      <c r="A375" s="383" t="s">
        <v>992</v>
      </c>
      <c r="B375" s="1893" t="s">
        <v>95</v>
      </c>
      <c r="C375" s="3403" t="s">
        <v>123</v>
      </c>
      <c r="D375" s="4913"/>
      <c r="E375" s="6423" t="s">
        <v>97</v>
      </c>
      <c r="F375" s="7933" t="s">
        <v>993</v>
      </c>
      <c r="G375" s="9443" t="s">
        <v>15</v>
      </c>
      <c r="H375" s="10953">
        <v>1</v>
      </c>
      <c r="I375" s="12463" t="s">
        <v>16</v>
      </c>
      <c r="J375" t="s">
        <v>28</v>
      </c>
    </row>
    <row r="376" spans="1:10">
      <c r="A376" s="384" t="s">
        <v>994</v>
      </c>
      <c r="B376" s="1894" t="s">
        <v>995</v>
      </c>
      <c r="C376" s="3404" t="s">
        <v>12</v>
      </c>
      <c r="D376" s="4914" t="s">
        <v>13</v>
      </c>
      <c r="E376" s="6424"/>
      <c r="F376" s="7934" t="s">
        <v>996</v>
      </c>
      <c r="G376" s="9444" t="s">
        <v>15</v>
      </c>
      <c r="H376" s="10954">
        <v>1</v>
      </c>
      <c r="I376" s="12464" t="s">
        <v>16</v>
      </c>
      <c r="J376" t="s">
        <v>28</v>
      </c>
    </row>
    <row r="377" spans="1:10" outlineLevel="1">
      <c r="A377" s="385" t="s">
        <v>997</v>
      </c>
      <c r="B377" s="1895" t="s">
        <v>998</v>
      </c>
      <c r="C377" s="3405" t="s">
        <v>19</v>
      </c>
      <c r="D377" s="4915" t="s">
        <v>20</v>
      </c>
      <c r="E377" s="6425"/>
      <c r="F377" s="7935" t="s">
        <v>999</v>
      </c>
      <c r="G377" s="9445" t="s">
        <v>15</v>
      </c>
      <c r="H377" s="10955">
        <v>1</v>
      </c>
      <c r="I377" s="12465" t="s">
        <v>16</v>
      </c>
      <c r="J377" t="s">
        <v>28</v>
      </c>
    </row>
    <row r="378" spans="1:10" outlineLevel="2">
      <c r="A378" s="386" t="s">
        <v>1000</v>
      </c>
      <c r="B378" s="1896" t="s">
        <v>23</v>
      </c>
      <c r="C378" s="3406" t="s">
        <v>24</v>
      </c>
      <c r="D378" s="4916"/>
      <c r="E378" s="6426" t="s">
        <v>25</v>
      </c>
      <c r="F378" s="7936" t="s">
        <v>26</v>
      </c>
      <c r="G378" s="9446" t="s">
        <v>27</v>
      </c>
      <c r="H378" s="10956">
        <v>21</v>
      </c>
      <c r="I378" s="12466"/>
      <c r="J378" t="s">
        <v>28</v>
      </c>
    </row>
    <row r="379" spans="1:10" outlineLevel="2">
      <c r="A379" s="387" t="s">
        <v>1001</v>
      </c>
      <c r="B379" s="1897" t="s">
        <v>30</v>
      </c>
      <c r="C379" s="3407" t="s">
        <v>31</v>
      </c>
      <c r="D379" s="4917"/>
      <c r="E379" s="6427" t="s">
        <v>32</v>
      </c>
      <c r="F379" s="7937" t="s">
        <v>33</v>
      </c>
      <c r="G379" s="9447" t="s">
        <v>27</v>
      </c>
      <c r="H379" s="10957">
        <v>21</v>
      </c>
      <c r="I379" s="12467"/>
      <c r="J379" t="s">
        <v>28</v>
      </c>
    </row>
    <row r="380" spans="1:10" outlineLevel="2">
      <c r="A380" s="388" t="s">
        <v>1002</v>
      </c>
      <c r="B380" s="1898" t="s">
        <v>35</v>
      </c>
      <c r="C380" s="3408" t="s">
        <v>1003</v>
      </c>
      <c r="D380" s="4918"/>
      <c r="E380" s="6428" t="s">
        <v>25</v>
      </c>
      <c r="F380" s="7938" t="s">
        <v>1004</v>
      </c>
      <c r="G380" s="9448" t="s">
        <v>15</v>
      </c>
      <c r="H380" s="10958">
        <v>1</v>
      </c>
      <c r="I380" s="12468" t="s">
        <v>16</v>
      </c>
      <c r="J380" t="s">
        <v>28</v>
      </c>
    </row>
    <row r="381" spans="1:10" outlineLevel="2">
      <c r="A381" s="389" t="s">
        <v>1005</v>
      </c>
      <c r="B381" s="1899" t="s">
        <v>39</v>
      </c>
      <c r="C381" s="3409" t="s">
        <v>40</v>
      </c>
      <c r="D381" s="4919"/>
      <c r="E381" s="6429" t="s">
        <v>41</v>
      </c>
      <c r="F381" s="7939" t="s">
        <v>42</v>
      </c>
      <c r="G381" s="9449" t="s">
        <v>27</v>
      </c>
      <c r="H381" s="10959">
        <v>1</v>
      </c>
      <c r="I381" s="12469" t="s">
        <v>16</v>
      </c>
      <c r="J381" t="s">
        <v>28</v>
      </c>
    </row>
    <row r="382" spans="1:10" outlineLevel="2">
      <c r="A382" s="390" t="s">
        <v>1006</v>
      </c>
      <c r="B382" s="1900" t="s">
        <v>44</v>
      </c>
      <c r="C382" s="3410" t="s">
        <v>45</v>
      </c>
      <c r="D382" s="4920"/>
      <c r="E382" s="6430" t="s">
        <v>41</v>
      </c>
      <c r="F382" s="7940" t="s">
        <v>46</v>
      </c>
      <c r="G382" s="9450" t="s">
        <v>15</v>
      </c>
      <c r="H382" s="10960">
        <v>2</v>
      </c>
      <c r="I382" s="12470" t="s">
        <v>16</v>
      </c>
      <c r="J382" t="s">
        <v>28</v>
      </c>
    </row>
    <row r="383" spans="1:10" outlineLevel="2">
      <c r="A383" s="391" t="s">
        <v>1007</v>
      </c>
      <c r="B383" s="1901" t="s">
        <v>48</v>
      </c>
      <c r="C383" s="3411" t="s">
        <v>49</v>
      </c>
      <c r="D383" s="4921"/>
      <c r="E383" s="6431" t="s">
        <v>25</v>
      </c>
      <c r="F383" s="7941" t="s">
        <v>50</v>
      </c>
      <c r="G383" s="9451" t="s">
        <v>27</v>
      </c>
      <c r="H383" s="10961">
        <v>4</v>
      </c>
      <c r="I383" s="12471" t="s">
        <v>16</v>
      </c>
      <c r="J383" t="s">
        <v>28</v>
      </c>
    </row>
    <row r="384" spans="1:10" ht="15.75" outlineLevel="2">
      <c r="A384" s="392" t="s">
        <v>1008</v>
      </c>
      <c r="B384" s="1902" t="s">
        <v>52</v>
      </c>
      <c r="C384" s="3412" t="s">
        <v>53</v>
      </c>
      <c r="D384" s="4922"/>
      <c r="E384" s="6432" t="s">
        <v>32</v>
      </c>
      <c r="F384" s="7942" t="s">
        <v>54</v>
      </c>
      <c r="G384" s="9452" t="s">
        <v>15</v>
      </c>
      <c r="H384" s="10962">
        <v>5</v>
      </c>
      <c r="I384" s="12472" t="s">
        <v>16</v>
      </c>
      <c r="J384" s="13600" t="str">
        <f>HYPERLINK("\\192.168.170.18\drawings\2-Basic Components\0000-342 - Pipe Holders\0000-342-285-- - Top mounting-Pipe Holder DN250-Ø273.pdf", "PDF")</f>
        <v>PDF</v>
      </c>
    </row>
    <row r="385" spans="1:10" ht="15.75" outlineLevel="2">
      <c r="A385" s="393" t="s">
        <v>1009</v>
      </c>
      <c r="B385" s="1903" t="s">
        <v>56</v>
      </c>
      <c r="C385" s="3413" t="s">
        <v>57</v>
      </c>
      <c r="D385" s="4923"/>
      <c r="E385" s="6433" t="s">
        <v>32</v>
      </c>
      <c r="F385" s="7943" t="s">
        <v>58</v>
      </c>
      <c r="G385" s="9453" t="s">
        <v>15</v>
      </c>
      <c r="H385" s="10963">
        <v>8</v>
      </c>
      <c r="I385" s="12473" t="s">
        <v>16</v>
      </c>
      <c r="J385" s="13600" t="str">
        <f>HYPERLINK("\\192.168.170.18\drawings\2-Basic Components\0000-342 - Pipe Holders\0000-342-031-- - Pipe Holder DN250-Ø273.pdf", "PDF")</f>
        <v>PDF</v>
      </c>
    </row>
    <row r="386" spans="1:10" outlineLevel="2">
      <c r="A386" s="394" t="s">
        <v>1010</v>
      </c>
      <c r="B386" s="1904" t="s">
        <v>60</v>
      </c>
      <c r="C386" s="3414" t="s">
        <v>61</v>
      </c>
      <c r="D386" s="4924"/>
      <c r="E386" s="6434" t="s">
        <v>25</v>
      </c>
      <c r="F386" s="7944" t="s">
        <v>62</v>
      </c>
      <c r="G386" s="9454" t="s">
        <v>15</v>
      </c>
      <c r="H386" s="10964">
        <v>2</v>
      </c>
      <c r="I386" s="12474" t="s">
        <v>16</v>
      </c>
      <c r="J386" t="s">
        <v>28</v>
      </c>
    </row>
    <row r="387" spans="1:10" outlineLevel="2">
      <c r="A387" s="395" t="s">
        <v>1011</v>
      </c>
      <c r="B387" s="1905" t="s">
        <v>48</v>
      </c>
      <c r="C387" s="3415" t="s">
        <v>64</v>
      </c>
      <c r="D387" s="4925"/>
      <c r="E387" s="6435" t="s">
        <v>25</v>
      </c>
      <c r="F387" s="7945" t="s">
        <v>65</v>
      </c>
      <c r="G387" s="9455" t="s">
        <v>27</v>
      </c>
      <c r="H387" s="10965">
        <v>2</v>
      </c>
      <c r="I387" s="12475"/>
      <c r="J387" t="s">
        <v>28</v>
      </c>
    </row>
    <row r="388" spans="1:10" outlineLevel="2">
      <c r="A388" s="396" t="s">
        <v>1012</v>
      </c>
      <c r="B388" s="1906" t="s">
        <v>67</v>
      </c>
      <c r="C388" s="3416" t="s">
        <v>68</v>
      </c>
      <c r="D388" s="4926"/>
      <c r="E388" s="6436" t="s">
        <v>25</v>
      </c>
      <c r="F388" s="7946" t="s">
        <v>69</v>
      </c>
      <c r="G388" s="9456" t="s">
        <v>27</v>
      </c>
      <c r="H388" s="10966">
        <v>1</v>
      </c>
      <c r="I388" s="12476" t="s">
        <v>16</v>
      </c>
      <c r="J388" t="s">
        <v>28</v>
      </c>
    </row>
    <row r="389" spans="1:10" outlineLevel="2">
      <c r="A389" s="397" t="s">
        <v>1013</v>
      </c>
      <c r="B389" s="1907" t="s">
        <v>23</v>
      </c>
      <c r="C389" s="3417" t="s">
        <v>71</v>
      </c>
      <c r="D389" s="4927"/>
      <c r="E389" s="6437" t="s">
        <v>25</v>
      </c>
      <c r="F389" s="7947" t="s">
        <v>72</v>
      </c>
      <c r="G389" s="9457" t="s">
        <v>27</v>
      </c>
      <c r="H389" s="10967">
        <v>1</v>
      </c>
      <c r="I389" s="12477"/>
      <c r="J389" t="s">
        <v>28</v>
      </c>
    </row>
    <row r="390" spans="1:10" outlineLevel="2">
      <c r="A390" s="398" t="s">
        <v>1014</v>
      </c>
      <c r="B390" s="1908" t="s">
        <v>30</v>
      </c>
      <c r="C390" s="3418" t="s">
        <v>74</v>
      </c>
      <c r="D390" s="4928"/>
      <c r="E390" s="6438" t="s">
        <v>32</v>
      </c>
      <c r="F390" s="7948" t="s">
        <v>75</v>
      </c>
      <c r="G390" s="9458" t="s">
        <v>27</v>
      </c>
      <c r="H390" s="10968">
        <v>1</v>
      </c>
      <c r="I390" s="12478"/>
      <c r="J390" t="s">
        <v>28</v>
      </c>
    </row>
    <row r="391" spans="1:10" outlineLevel="2">
      <c r="A391" s="399" t="s">
        <v>1015</v>
      </c>
      <c r="B391" s="1909" t="s">
        <v>77</v>
      </c>
      <c r="C391" s="3419" t="s">
        <v>78</v>
      </c>
      <c r="D391" s="4929"/>
      <c r="E391" s="6439" t="s">
        <v>25</v>
      </c>
      <c r="F391" s="7949" t="s">
        <v>79</v>
      </c>
      <c r="G391" s="9459" t="s">
        <v>27</v>
      </c>
      <c r="H391" s="10969">
        <v>1</v>
      </c>
      <c r="I391" s="12479"/>
      <c r="J391" t="s">
        <v>28</v>
      </c>
    </row>
    <row r="392" spans="1:10" outlineLevel="2">
      <c r="A392" s="400" t="s">
        <v>1016</v>
      </c>
      <c r="B392" s="1910" t="s">
        <v>81</v>
      </c>
      <c r="C392" s="3420" t="s">
        <v>82</v>
      </c>
      <c r="D392" s="4930"/>
      <c r="E392" s="6440" t="s">
        <v>83</v>
      </c>
      <c r="F392" s="7950" t="s">
        <v>84</v>
      </c>
      <c r="G392" s="9460" t="s">
        <v>27</v>
      </c>
      <c r="H392" s="10970">
        <v>1</v>
      </c>
      <c r="I392" s="12480"/>
      <c r="J392" t="s">
        <v>28</v>
      </c>
    </row>
    <row r="393" spans="1:10" outlineLevel="1">
      <c r="A393" s="401" t="s">
        <v>1017</v>
      </c>
      <c r="B393" s="1911" t="s">
        <v>1018</v>
      </c>
      <c r="C393" s="3421" t="s">
        <v>87</v>
      </c>
      <c r="D393" s="4931" t="s">
        <v>13</v>
      </c>
      <c r="E393" s="6441"/>
      <c r="F393" s="7951" t="s">
        <v>1019</v>
      </c>
      <c r="G393" s="9461" t="s">
        <v>15</v>
      </c>
      <c r="H393" s="10971">
        <v>1</v>
      </c>
      <c r="I393" s="12481" t="s">
        <v>16</v>
      </c>
      <c r="J393" t="s">
        <v>28</v>
      </c>
    </row>
    <row r="394" spans="1:10" outlineLevel="2">
      <c r="A394" s="402" t="s">
        <v>1020</v>
      </c>
      <c r="B394" s="1912" t="s">
        <v>90</v>
      </c>
      <c r="C394" s="3422" t="s">
        <v>91</v>
      </c>
      <c r="D394" s="4932"/>
      <c r="E394" s="6442" t="s">
        <v>92</v>
      </c>
      <c r="F394" s="7952" t="s">
        <v>1021</v>
      </c>
      <c r="G394" s="9462" t="s">
        <v>15</v>
      </c>
      <c r="H394" s="10972">
        <v>1</v>
      </c>
      <c r="I394" s="12482" t="s">
        <v>16</v>
      </c>
      <c r="J394" t="s">
        <v>28</v>
      </c>
    </row>
    <row r="395" spans="1:10" outlineLevel="2">
      <c r="A395" s="403" t="s">
        <v>1022</v>
      </c>
      <c r="B395" s="1913" t="s">
        <v>95</v>
      </c>
      <c r="C395" s="3423" t="s">
        <v>1023</v>
      </c>
      <c r="D395" s="4933"/>
      <c r="E395" s="6443" t="s">
        <v>97</v>
      </c>
      <c r="F395" s="7953" t="s">
        <v>1024</v>
      </c>
      <c r="G395" s="9463" t="s">
        <v>15</v>
      </c>
      <c r="H395" s="10973">
        <v>1</v>
      </c>
      <c r="I395" s="12483" t="s">
        <v>16</v>
      </c>
      <c r="J395" t="s">
        <v>28</v>
      </c>
    </row>
    <row r="396" spans="1:10" outlineLevel="2">
      <c r="A396" s="404" t="s">
        <v>1025</v>
      </c>
      <c r="B396" s="1914" t="s">
        <v>95</v>
      </c>
      <c r="C396" s="3424" t="s">
        <v>100</v>
      </c>
      <c r="D396" s="4934"/>
      <c r="E396" s="6444" t="s">
        <v>97</v>
      </c>
      <c r="F396" s="7954" t="s">
        <v>1026</v>
      </c>
      <c r="G396" s="9464" t="s">
        <v>15</v>
      </c>
      <c r="H396" s="10974">
        <v>1</v>
      </c>
      <c r="I396" s="12484" t="s">
        <v>16</v>
      </c>
      <c r="J396" t="s">
        <v>28</v>
      </c>
    </row>
    <row r="397" spans="1:10" outlineLevel="2">
      <c r="A397" s="405" t="s">
        <v>1027</v>
      </c>
      <c r="B397" s="1915" t="s">
        <v>81</v>
      </c>
      <c r="C397" s="3425" t="s">
        <v>82</v>
      </c>
      <c r="D397" s="4935"/>
      <c r="E397" s="6445" t="s">
        <v>83</v>
      </c>
      <c r="F397" s="7955" t="s">
        <v>84</v>
      </c>
      <c r="G397" s="9465" t="s">
        <v>27</v>
      </c>
      <c r="H397" s="10975">
        <v>3</v>
      </c>
      <c r="I397" s="12485"/>
      <c r="J397" t="s">
        <v>28</v>
      </c>
    </row>
    <row r="398" spans="1:10" outlineLevel="2">
      <c r="A398" s="406" t="s">
        <v>1028</v>
      </c>
      <c r="B398" s="1916" t="s">
        <v>104</v>
      </c>
      <c r="C398" s="3426" t="s">
        <v>105</v>
      </c>
      <c r="D398" s="4936"/>
      <c r="E398" s="6446" t="s">
        <v>32</v>
      </c>
      <c r="F398" s="7956" t="s">
        <v>106</v>
      </c>
      <c r="G398" s="9466" t="s">
        <v>15</v>
      </c>
      <c r="H398" s="10976">
        <v>1</v>
      </c>
      <c r="I398" s="12486" t="s">
        <v>16</v>
      </c>
      <c r="J398" t="s">
        <v>28</v>
      </c>
    </row>
    <row r="399" spans="1:10" outlineLevel="2">
      <c r="A399" s="407" t="s">
        <v>1029</v>
      </c>
      <c r="B399" s="1917" t="s">
        <v>108</v>
      </c>
      <c r="C399" s="3427" t="s">
        <v>109</v>
      </c>
      <c r="D399" s="4937"/>
      <c r="E399" s="6447" t="s">
        <v>83</v>
      </c>
      <c r="F399" s="7957" t="s">
        <v>110</v>
      </c>
      <c r="G399" s="9467" t="s">
        <v>27</v>
      </c>
      <c r="H399" s="10977">
        <v>1</v>
      </c>
      <c r="I399" s="12487"/>
      <c r="J399" t="s">
        <v>28</v>
      </c>
    </row>
    <row r="400" spans="1:10" outlineLevel="1">
      <c r="A400" s="408" t="s">
        <v>1030</v>
      </c>
      <c r="B400" s="1918" t="s">
        <v>1031</v>
      </c>
      <c r="C400" s="3428" t="s">
        <v>113</v>
      </c>
      <c r="D400" s="4938" t="s">
        <v>13</v>
      </c>
      <c r="E400" s="6448"/>
      <c r="F400" s="7958" t="s">
        <v>1032</v>
      </c>
      <c r="G400" s="9468" t="s">
        <v>15</v>
      </c>
      <c r="H400" s="10978">
        <v>1</v>
      </c>
      <c r="I400" s="12488" t="s">
        <v>16</v>
      </c>
      <c r="J400" t="s">
        <v>28</v>
      </c>
    </row>
    <row r="401" spans="1:10" outlineLevel="2">
      <c r="A401" s="409" t="s">
        <v>1033</v>
      </c>
      <c r="B401" s="1919" t="s">
        <v>95</v>
      </c>
      <c r="C401" s="3429" t="s">
        <v>116</v>
      </c>
      <c r="D401" s="4939"/>
      <c r="E401" s="6449" t="s">
        <v>97</v>
      </c>
      <c r="F401" s="7959" t="s">
        <v>1034</v>
      </c>
      <c r="G401" s="9469" t="s">
        <v>15</v>
      </c>
      <c r="H401" s="10979">
        <v>1</v>
      </c>
      <c r="I401" s="12489" t="s">
        <v>16</v>
      </c>
      <c r="J401" t="s">
        <v>28</v>
      </c>
    </row>
    <row r="402" spans="1:10" outlineLevel="1">
      <c r="A402" s="410" t="s">
        <v>1035</v>
      </c>
      <c r="B402" s="1920" t="s">
        <v>1036</v>
      </c>
      <c r="C402" s="3430" t="s">
        <v>120</v>
      </c>
      <c r="D402" s="4940" t="s">
        <v>13</v>
      </c>
      <c r="E402" s="6450"/>
      <c r="F402" s="7960" t="s">
        <v>1037</v>
      </c>
      <c r="G402" s="9470" t="s">
        <v>15</v>
      </c>
      <c r="H402" s="10980">
        <v>1</v>
      </c>
      <c r="I402" s="12490" t="s">
        <v>16</v>
      </c>
      <c r="J402" t="s">
        <v>28</v>
      </c>
    </row>
    <row r="403" spans="1:10" outlineLevel="2">
      <c r="A403" s="411" t="s">
        <v>1038</v>
      </c>
      <c r="B403" s="1921" t="s">
        <v>95</v>
      </c>
      <c r="C403" s="3431" t="s">
        <v>123</v>
      </c>
      <c r="D403" s="4941"/>
      <c r="E403" s="6451" t="s">
        <v>97</v>
      </c>
      <c r="F403" s="7961" t="s">
        <v>1039</v>
      </c>
      <c r="G403" s="9471" t="s">
        <v>15</v>
      </c>
      <c r="H403" s="10981">
        <v>1</v>
      </c>
      <c r="I403" s="12491" t="s">
        <v>16</v>
      </c>
      <c r="J403" t="s">
        <v>28</v>
      </c>
    </row>
    <row r="404" spans="1:10" outlineLevel="1">
      <c r="A404" s="412" t="s">
        <v>1040</v>
      </c>
      <c r="B404" s="1922" t="s">
        <v>1041</v>
      </c>
      <c r="C404" s="3432" t="s">
        <v>152</v>
      </c>
      <c r="D404" s="4942" t="s">
        <v>13</v>
      </c>
      <c r="E404" s="6452" t="s">
        <v>153</v>
      </c>
      <c r="F404" s="7962" t="s">
        <v>1042</v>
      </c>
      <c r="G404" s="9472" t="s">
        <v>15</v>
      </c>
      <c r="H404" s="10982">
        <v>1</v>
      </c>
      <c r="I404" s="12492" t="s">
        <v>16</v>
      </c>
      <c r="J404" t="s">
        <v>28</v>
      </c>
    </row>
    <row r="405" spans="1:10" ht="15.75" outlineLevel="1">
      <c r="A405" s="413" t="s">
        <v>1043</v>
      </c>
      <c r="B405" s="1923" t="s">
        <v>1044</v>
      </c>
      <c r="C405" s="3433" t="s">
        <v>157</v>
      </c>
      <c r="D405" s="4943" t="s">
        <v>1045</v>
      </c>
      <c r="E405" s="6453"/>
      <c r="F405" s="7963" t="s">
        <v>1046</v>
      </c>
      <c r="G405" s="9473" t="s">
        <v>15</v>
      </c>
      <c r="H405" s="10983">
        <v>1</v>
      </c>
      <c r="I405" s="12493" t="s">
        <v>16</v>
      </c>
      <c r="J405" s="13600" t="str">
        <f>HYPERLINK("\\192.168.170.18\drawings\5-Projects\2500 - Aabenraa\Area 04 - Digester Area\Eqiupment\2500-615 Digester\2500-615-010-- - Digester - Assembly - 9500m³.pdf", "PDF")</f>
        <v>PDF</v>
      </c>
    </row>
    <row r="406" spans="1:10" ht="15.75" outlineLevel="2">
      <c r="A406" s="414" t="s">
        <v>1047</v>
      </c>
      <c r="B406" s="1924" t="s">
        <v>1048</v>
      </c>
      <c r="C406" s="3434" t="s">
        <v>161</v>
      </c>
      <c r="D406" s="4944" t="s">
        <v>1049</v>
      </c>
      <c r="E406" s="6454"/>
      <c r="F406" s="7964" t="s">
        <v>1050</v>
      </c>
      <c r="G406" s="9474" t="s">
        <v>15</v>
      </c>
      <c r="H406" s="10984">
        <v>1</v>
      </c>
      <c r="I406" s="12494" t="s">
        <v>16</v>
      </c>
      <c r="J406" s="13600" t="str">
        <f>HYPERLINK("\\192.168.170.18\drawings\5-Projects\2500 - Aabenraa\Area 04 - Digester Area\Eqiupment\2500-615 Digester\2500-615-910-A - Digester 9500m³.pdf", "PDF")</f>
        <v>PDF</v>
      </c>
    </row>
    <row r="407" spans="1:10" outlineLevel="3">
      <c r="A407" s="415" t="s">
        <v>1051</v>
      </c>
      <c r="B407" s="1925" t="s">
        <v>1052</v>
      </c>
      <c r="C407" s="3435" t="s">
        <v>166</v>
      </c>
      <c r="D407" s="4945"/>
      <c r="E407" s="6455" t="s">
        <v>32</v>
      </c>
      <c r="F407" s="7965" t="s">
        <v>1053</v>
      </c>
      <c r="G407" s="9475" t="s">
        <v>15</v>
      </c>
      <c r="H407" s="10985">
        <v>1</v>
      </c>
      <c r="I407" s="12495" t="s">
        <v>16</v>
      </c>
      <c r="J407" t="s">
        <v>28</v>
      </c>
    </row>
    <row r="408" spans="1:10" outlineLevel="3">
      <c r="A408" s="416" t="s">
        <v>1054</v>
      </c>
      <c r="B408" s="1926" t="s">
        <v>1055</v>
      </c>
      <c r="C408" s="3436" t="s">
        <v>170</v>
      </c>
      <c r="D408" s="4946"/>
      <c r="E408" s="6456" t="s">
        <v>32</v>
      </c>
      <c r="F408" s="7966" t="s">
        <v>1056</v>
      </c>
      <c r="G408" s="9476" t="s">
        <v>15</v>
      </c>
      <c r="H408" s="10986">
        <v>1</v>
      </c>
      <c r="I408" s="12496" t="s">
        <v>16</v>
      </c>
      <c r="J408" t="s">
        <v>28</v>
      </c>
    </row>
    <row r="409" spans="1:10" outlineLevel="3">
      <c r="A409" s="417" t="s">
        <v>1057</v>
      </c>
      <c r="B409" s="1927" t="s">
        <v>1058</v>
      </c>
      <c r="C409" s="3437" t="s">
        <v>174</v>
      </c>
      <c r="D409" s="4947"/>
      <c r="E409" s="6457" t="s">
        <v>41</v>
      </c>
      <c r="F409" s="7967" t="s">
        <v>1059</v>
      </c>
      <c r="G409" s="9477" t="s">
        <v>15</v>
      </c>
      <c r="H409" s="10987">
        <v>1</v>
      </c>
      <c r="I409" s="12497" t="s">
        <v>16</v>
      </c>
      <c r="J409" t="s">
        <v>28</v>
      </c>
    </row>
    <row r="410" spans="1:10" outlineLevel="3">
      <c r="A410" s="418" t="s">
        <v>1060</v>
      </c>
      <c r="B410" s="1928" t="s">
        <v>1061</v>
      </c>
      <c r="C410" s="3438" t="s">
        <v>178</v>
      </c>
      <c r="D410" s="4948"/>
      <c r="E410" s="6458" t="s">
        <v>32</v>
      </c>
      <c r="F410" s="7968" t="s">
        <v>1062</v>
      </c>
      <c r="G410" s="9478" t="s">
        <v>15</v>
      </c>
      <c r="H410" s="10988">
        <v>1</v>
      </c>
      <c r="I410" s="12498" t="s">
        <v>16</v>
      </c>
      <c r="J410" t="s">
        <v>28</v>
      </c>
    </row>
    <row r="411" spans="1:10" outlineLevel="3">
      <c r="A411" s="419" t="s">
        <v>1063</v>
      </c>
      <c r="B411" s="1929" t="s">
        <v>1064</v>
      </c>
      <c r="C411" s="3439"/>
      <c r="D411" s="4949"/>
      <c r="E411" s="6459" t="s">
        <v>182</v>
      </c>
      <c r="F411" s="7969" t="s">
        <v>1065</v>
      </c>
      <c r="G411" s="9479" t="s">
        <v>15</v>
      </c>
      <c r="H411" s="10989">
        <v>1</v>
      </c>
      <c r="I411" s="12499" t="s">
        <v>16</v>
      </c>
      <c r="J411" t="s">
        <v>28</v>
      </c>
    </row>
    <row r="412" spans="1:10" outlineLevel="3">
      <c r="A412" s="420" t="s">
        <v>1066</v>
      </c>
      <c r="B412" s="1930" t="s">
        <v>1067</v>
      </c>
      <c r="C412" s="3440" t="s">
        <v>186</v>
      </c>
      <c r="D412" s="4950"/>
      <c r="E412" s="6460" t="s">
        <v>32</v>
      </c>
      <c r="F412" s="7970" t="s">
        <v>1068</v>
      </c>
      <c r="G412" s="9480" t="s">
        <v>15</v>
      </c>
      <c r="H412" s="10990">
        <v>1</v>
      </c>
      <c r="I412" s="12500" t="s">
        <v>16</v>
      </c>
      <c r="J412" t="s">
        <v>28</v>
      </c>
    </row>
    <row r="413" spans="1:10" outlineLevel="2">
      <c r="A413" s="421" t="s">
        <v>1069</v>
      </c>
      <c r="B413" s="1931" t="s">
        <v>81</v>
      </c>
      <c r="C413" s="3441" t="s">
        <v>82</v>
      </c>
      <c r="D413" s="4951"/>
      <c r="E413" s="6461" t="s">
        <v>83</v>
      </c>
      <c r="F413" s="7971" t="s">
        <v>84</v>
      </c>
      <c r="G413" s="9481" t="s">
        <v>27</v>
      </c>
      <c r="H413" s="10991">
        <v>2</v>
      </c>
      <c r="I413" s="12501"/>
      <c r="J413" t="s">
        <v>28</v>
      </c>
    </row>
    <row r="414" spans="1:10" outlineLevel="2">
      <c r="A414" s="422" t="s">
        <v>1070</v>
      </c>
      <c r="B414" s="1932" t="s">
        <v>190</v>
      </c>
      <c r="C414" s="3442" t="s">
        <v>191</v>
      </c>
      <c r="D414" s="4952"/>
      <c r="E414" s="6462" t="s">
        <v>16</v>
      </c>
      <c r="F414" s="7972" t="s">
        <v>192</v>
      </c>
      <c r="G414" s="9482" t="s">
        <v>27</v>
      </c>
      <c r="H414" s="10992">
        <v>1</v>
      </c>
      <c r="I414" s="12502"/>
      <c r="J414" t="s">
        <v>28</v>
      </c>
    </row>
    <row r="415" spans="1:10" outlineLevel="2">
      <c r="A415" s="423" t="s">
        <v>1071</v>
      </c>
      <c r="B415" s="1933" t="s">
        <v>194</v>
      </c>
      <c r="C415" s="3443" t="s">
        <v>195</v>
      </c>
      <c r="D415" s="4953"/>
      <c r="E415" s="6463" t="s">
        <v>16</v>
      </c>
      <c r="F415" s="7973" t="s">
        <v>196</v>
      </c>
      <c r="G415" s="9483" t="s">
        <v>27</v>
      </c>
      <c r="H415" s="10993">
        <v>2</v>
      </c>
      <c r="I415" s="12503"/>
      <c r="J415" t="s">
        <v>28</v>
      </c>
    </row>
    <row r="416" spans="1:10" outlineLevel="2">
      <c r="A416" s="424" t="s">
        <v>1072</v>
      </c>
      <c r="B416" s="1934" t="s">
        <v>81</v>
      </c>
      <c r="C416" s="3444" t="s">
        <v>198</v>
      </c>
      <c r="D416" s="4954"/>
      <c r="E416" s="6464" t="s">
        <v>32</v>
      </c>
      <c r="F416" s="7974" t="s">
        <v>199</v>
      </c>
      <c r="G416" s="9484" t="s">
        <v>15</v>
      </c>
      <c r="H416" s="10994">
        <v>2</v>
      </c>
      <c r="I416" s="12504"/>
      <c r="J416" t="s">
        <v>28</v>
      </c>
    </row>
    <row r="417" spans="1:10" outlineLevel="2">
      <c r="A417" s="425" t="s">
        <v>1073</v>
      </c>
      <c r="B417" s="1935" t="s">
        <v>201</v>
      </c>
      <c r="C417" s="3445" t="s">
        <v>202</v>
      </c>
      <c r="D417" s="4955"/>
      <c r="E417" s="6465" t="s">
        <v>203</v>
      </c>
      <c r="F417" s="7975" t="s">
        <v>204</v>
      </c>
      <c r="G417" s="9485" t="s">
        <v>27</v>
      </c>
      <c r="H417" s="10995">
        <v>3</v>
      </c>
      <c r="I417" s="12505" t="s">
        <v>16</v>
      </c>
      <c r="J417" t="s">
        <v>28</v>
      </c>
    </row>
    <row r="418" spans="1:10" outlineLevel="2">
      <c r="A418" s="426" t="s">
        <v>1074</v>
      </c>
      <c r="B418" s="1936" t="s">
        <v>206</v>
      </c>
      <c r="C418" s="3446" t="s">
        <v>207</v>
      </c>
      <c r="D418" s="4956"/>
      <c r="E418" s="6466" t="s">
        <v>208</v>
      </c>
      <c r="F418" s="7976" t="s">
        <v>209</v>
      </c>
      <c r="G418" s="9486" t="s">
        <v>27</v>
      </c>
      <c r="H418" s="10996">
        <v>2</v>
      </c>
      <c r="I418" s="12506" t="s">
        <v>16</v>
      </c>
      <c r="J418" t="s">
        <v>28</v>
      </c>
    </row>
    <row r="419" spans="1:10" outlineLevel="2">
      <c r="A419" s="427" t="s">
        <v>1075</v>
      </c>
      <c r="B419" s="1937" t="s">
        <v>247</v>
      </c>
      <c r="C419" s="3447" t="s">
        <v>444</v>
      </c>
      <c r="D419" s="4957" t="s">
        <v>445</v>
      </c>
      <c r="E419" s="6467" t="s">
        <v>25</v>
      </c>
      <c r="F419" s="7977" t="s">
        <v>446</v>
      </c>
      <c r="G419" s="9487" t="s">
        <v>27</v>
      </c>
      <c r="H419" s="10997">
        <v>3</v>
      </c>
      <c r="I419" s="12507" t="s">
        <v>16</v>
      </c>
      <c r="J419" t="s">
        <v>28</v>
      </c>
    </row>
    <row r="420" spans="1:10" ht="15.75" outlineLevel="2">
      <c r="A420" s="428" t="s">
        <v>1076</v>
      </c>
      <c r="B420" s="1938" t="s">
        <v>211</v>
      </c>
      <c r="C420" s="3448" t="s">
        <v>212</v>
      </c>
      <c r="D420" s="4958"/>
      <c r="E420" s="6468" t="s">
        <v>32</v>
      </c>
      <c r="F420" s="7978" t="s">
        <v>213</v>
      </c>
      <c r="G420" s="9488" t="s">
        <v>15</v>
      </c>
      <c r="H420" s="10998">
        <v>2</v>
      </c>
      <c r="I420" s="12508" t="s">
        <v>16</v>
      </c>
      <c r="J420" s="13600" t="str">
        <f>HYPERLINK("\\192.168.170.18\drawings\2-Basic Components\0000-301 - Tank Connection\0000-301-038-A - TC- Flange DN40 - 1½'' L=200- BM.pdf", "PDF")</f>
        <v>PDF</v>
      </c>
    </row>
    <row r="421" spans="1:10" ht="15.75" outlineLevel="2">
      <c r="A421" s="429" t="s">
        <v>1077</v>
      </c>
      <c r="B421" s="1939" t="s">
        <v>215</v>
      </c>
      <c r="C421" s="3449" t="s">
        <v>216</v>
      </c>
      <c r="D421" s="4959"/>
      <c r="E421" s="6469" t="s">
        <v>32</v>
      </c>
      <c r="F421" s="7979" t="s">
        <v>217</v>
      </c>
      <c r="G421" s="9489" t="s">
        <v>15</v>
      </c>
      <c r="H421" s="10999">
        <v>3</v>
      </c>
      <c r="I421" s="12509" t="s">
        <v>16</v>
      </c>
      <c r="J421" s="13600" t="str">
        <f>HYPERLINK("\\192.168.170.18\drawings\2-Basic Components\0000-301 - Tank Connection\0000-301-037-- - TC- Socket DN15-½'' L=168- BM.pdf", "PDF")</f>
        <v>PDF</v>
      </c>
    </row>
    <row r="422" spans="1:10" ht="15.75" outlineLevel="2">
      <c r="A422" s="430" t="s">
        <v>1078</v>
      </c>
      <c r="B422" s="1940" t="s">
        <v>219</v>
      </c>
      <c r="C422" s="3450" t="s">
        <v>220</v>
      </c>
      <c r="D422" s="4960"/>
      <c r="E422" s="6470" t="s">
        <v>32</v>
      </c>
      <c r="F422" s="7980" t="s">
        <v>221</v>
      </c>
      <c r="G422" s="9490" t="s">
        <v>15</v>
      </c>
      <c r="H422" s="11000">
        <v>3</v>
      </c>
      <c r="I422" s="12510" t="s">
        <v>16</v>
      </c>
      <c r="J422" s="13600" t="str">
        <f>HYPERLINK("\\192.168.170.18\drawings\2-Basic Components\0000-301 - Tank Connection\0000-301-001-A - TC - Nipple DN15 - ½'' L=40- BG.pdf", "PDF")</f>
        <v>PDF</v>
      </c>
    </row>
    <row r="423" spans="1:10" ht="15.75" outlineLevel="2">
      <c r="A423" s="431" t="s">
        <v>1079</v>
      </c>
      <c r="B423" s="1941" t="s">
        <v>223</v>
      </c>
      <c r="C423" s="3451" t="s">
        <v>224</v>
      </c>
      <c r="D423" s="4961"/>
      <c r="E423" s="6471" t="s">
        <v>32</v>
      </c>
      <c r="F423" s="7981" t="s">
        <v>225</v>
      </c>
      <c r="G423" s="9491" t="s">
        <v>15</v>
      </c>
      <c r="H423" s="11001">
        <v>16</v>
      </c>
      <c r="I423" s="12511" t="s">
        <v>16</v>
      </c>
      <c r="J423" s="13600" t="str">
        <f>HYPERLINK("\\192.168.170.18\drawings\2-Basic Components\0000-342 - Pipe Holders\0000-342-022-- - Pipe holder foot L=400.pdf", "PDF")</f>
        <v>PDF</v>
      </c>
    </row>
    <row r="424" spans="1:10" outlineLevel="2">
      <c r="A424" s="432" t="s">
        <v>1080</v>
      </c>
      <c r="B424" s="1942" t="s">
        <v>227</v>
      </c>
      <c r="C424" s="3452" t="s">
        <v>228</v>
      </c>
      <c r="D424" s="4962"/>
      <c r="E424" s="6472" t="s">
        <v>32</v>
      </c>
      <c r="F424" s="7982" t="s">
        <v>229</v>
      </c>
      <c r="G424" s="9492" t="s">
        <v>15</v>
      </c>
      <c r="H424" s="11002">
        <v>1</v>
      </c>
      <c r="I424" s="12512" t="s">
        <v>16</v>
      </c>
      <c r="J424" t="s">
        <v>28</v>
      </c>
    </row>
    <row r="425" spans="1:10" outlineLevel="2">
      <c r="A425" s="433" t="s">
        <v>1081</v>
      </c>
      <c r="B425" s="1943" t="s">
        <v>227</v>
      </c>
      <c r="C425" s="3453" t="s">
        <v>231</v>
      </c>
      <c r="D425" s="4963"/>
      <c r="E425" s="6473" t="s">
        <v>32</v>
      </c>
      <c r="F425" s="7983" t="s">
        <v>232</v>
      </c>
      <c r="G425" s="9493" t="s">
        <v>15</v>
      </c>
      <c r="H425" s="11003">
        <v>1</v>
      </c>
      <c r="I425" s="12513" t="s">
        <v>16</v>
      </c>
      <c r="J425" t="s">
        <v>28</v>
      </c>
    </row>
    <row r="426" spans="1:10" ht="15.75" outlineLevel="2">
      <c r="A426" s="434" t="s">
        <v>1082</v>
      </c>
      <c r="B426" s="1944" t="s">
        <v>234</v>
      </c>
      <c r="C426" s="3454" t="s">
        <v>235</v>
      </c>
      <c r="D426" s="4964" t="s">
        <v>236</v>
      </c>
      <c r="E426" s="6474" t="s">
        <v>32</v>
      </c>
      <c r="F426" s="7984" t="s">
        <v>237</v>
      </c>
      <c r="G426" s="9494" t="s">
        <v>15</v>
      </c>
      <c r="H426" s="11004">
        <v>2</v>
      </c>
      <c r="I426" s="12514" t="s">
        <v>16</v>
      </c>
      <c r="J426" s="13600" t="str">
        <f>HYPERLINK("\\192.168.170.18\drawings\2-Basic Components\0000-310 - Sightglass\0000-310-005-A - Sightglass w.Wiper - DN200 PN0 - Welded.pdf", "PDF")</f>
        <v>PDF</v>
      </c>
    </row>
    <row r="427" spans="1:10" ht="15.75" outlineLevel="2">
      <c r="A427" s="435" t="s">
        <v>1083</v>
      </c>
      <c r="B427" s="1945" t="s">
        <v>239</v>
      </c>
      <c r="C427" s="3455" t="s">
        <v>240</v>
      </c>
      <c r="D427" s="4965"/>
      <c r="E427" s="6475" t="s">
        <v>32</v>
      </c>
      <c r="F427" s="7985" t="s">
        <v>241</v>
      </c>
      <c r="G427" s="9495" t="s">
        <v>15</v>
      </c>
      <c r="H427" s="11005">
        <v>52</v>
      </c>
      <c r="I427" s="12515" t="s">
        <v>16</v>
      </c>
      <c r="J427" s="13600" t="str">
        <f>HYPERLINK("\\192.168.170.18\drawings\2-Basic Components\0000-342 - Pipe Holders\0000-342-034-- - Pipe holder foot L=300.pdf", "PDF")</f>
        <v>PDF</v>
      </c>
    </row>
    <row r="428" spans="1:10" ht="15.75" outlineLevel="2">
      <c r="A428" s="436" t="s">
        <v>1084</v>
      </c>
      <c r="B428" s="1946" t="s">
        <v>251</v>
      </c>
      <c r="C428" s="3456" t="s">
        <v>252</v>
      </c>
      <c r="D428" s="4966" t="s">
        <v>253</v>
      </c>
      <c r="E428" s="6476" t="s">
        <v>32</v>
      </c>
      <c r="F428" s="7986" t="s">
        <v>254</v>
      </c>
      <c r="G428" s="9496" t="s">
        <v>15</v>
      </c>
      <c r="H428" s="11006">
        <v>1</v>
      </c>
      <c r="I428" s="12516" t="s">
        <v>16</v>
      </c>
      <c r="J428" s="13600" t="str">
        <f>HYPERLINK("\\192.168.170.18\drawings\2-Basic Components\0000-314 - Agitator\0000-314-504-A - Agitator Drive.pdf", "PDF")</f>
        <v>PDF</v>
      </c>
    </row>
    <row r="429" spans="1:10" ht="15.75" outlineLevel="2">
      <c r="A429" s="437" t="s">
        <v>1085</v>
      </c>
      <c r="B429" s="1947" t="s">
        <v>256</v>
      </c>
      <c r="C429" s="3457" t="s">
        <v>257</v>
      </c>
      <c r="D429" s="4967" t="s">
        <v>253</v>
      </c>
      <c r="E429" s="6477" t="s">
        <v>25</v>
      </c>
      <c r="F429" s="7987" t="s">
        <v>258</v>
      </c>
      <c r="G429" s="9497" t="s">
        <v>15</v>
      </c>
      <c r="H429" s="11007">
        <v>1</v>
      </c>
      <c r="I429" s="12517" t="s">
        <v>16</v>
      </c>
      <c r="J429" s="13600" t="str">
        <f>HYPERLINK("\\192.168.170.18\drawings\2-Basic Components\0000-314 - Agitator\0000-314-300-- - Agitator L=19152.pdf", "PDF")</f>
        <v>PDF</v>
      </c>
    </row>
    <row r="430" spans="1:10" outlineLevel="2">
      <c r="A430" s="438" t="s">
        <v>1086</v>
      </c>
      <c r="B430" s="1948" t="s">
        <v>260</v>
      </c>
      <c r="C430" s="3458" t="s">
        <v>261</v>
      </c>
      <c r="D430" s="4968"/>
      <c r="E430" s="6478" t="s">
        <v>41</v>
      </c>
      <c r="F430" s="7988" t="s">
        <v>262</v>
      </c>
      <c r="G430" s="9498" t="s">
        <v>15</v>
      </c>
      <c r="H430" s="11008">
        <v>1</v>
      </c>
      <c r="I430" s="12518" t="s">
        <v>16</v>
      </c>
      <c r="J430" t="s">
        <v>28</v>
      </c>
    </row>
    <row r="431" spans="1:10" ht="15.75" outlineLevel="2">
      <c r="A431" s="439" t="s">
        <v>1087</v>
      </c>
      <c r="B431" s="1949" t="s">
        <v>264</v>
      </c>
      <c r="C431" s="3459" t="s">
        <v>265</v>
      </c>
      <c r="D431" s="4969"/>
      <c r="E431" s="6479" t="s">
        <v>32</v>
      </c>
      <c r="F431" s="7989" t="s">
        <v>266</v>
      </c>
      <c r="G431" s="9499" t="s">
        <v>15</v>
      </c>
      <c r="H431" s="11009">
        <v>3</v>
      </c>
      <c r="I431" s="12519" t="s">
        <v>16</v>
      </c>
      <c r="J431" s="13600" t="str">
        <f>HYPERLINK("\\192.168.170.18\drawings\2-Basic Components\0000-301 - Tank Connection\0000-301-071-B - TC- Flange 15° DN50 PN10 L=170- BG.pdf", "PDF")</f>
        <v>PDF</v>
      </c>
    </row>
    <row r="432" spans="1:10" outlineLevel="2">
      <c r="A432" s="440" t="s">
        <v>1088</v>
      </c>
      <c r="B432" s="1950" t="s">
        <v>268</v>
      </c>
      <c r="C432" s="3460" t="s">
        <v>269</v>
      </c>
      <c r="D432" s="4970"/>
      <c r="E432" s="6480" t="s">
        <v>41</v>
      </c>
      <c r="F432" s="7990" t="s">
        <v>270</v>
      </c>
      <c r="G432" s="9500" t="s">
        <v>15</v>
      </c>
      <c r="H432" s="11010">
        <v>2</v>
      </c>
      <c r="I432" s="12520" t="s">
        <v>16</v>
      </c>
      <c r="J432" t="s">
        <v>28</v>
      </c>
    </row>
    <row r="433" spans="1:10" outlineLevel="2">
      <c r="A433" s="441" t="s">
        <v>1089</v>
      </c>
      <c r="B433" s="1951" t="s">
        <v>268</v>
      </c>
      <c r="C433" s="3461" t="s">
        <v>272</v>
      </c>
      <c r="D433" s="4971"/>
      <c r="E433" s="6481" t="s">
        <v>41</v>
      </c>
      <c r="F433" s="7991" t="s">
        <v>273</v>
      </c>
      <c r="G433" s="9501" t="s">
        <v>15</v>
      </c>
      <c r="H433" s="11011">
        <v>4</v>
      </c>
      <c r="I433" s="12521" t="s">
        <v>16</v>
      </c>
      <c r="J433" t="s">
        <v>28</v>
      </c>
    </row>
    <row r="434" spans="1:10" outlineLevel="2">
      <c r="A434" s="442" t="s">
        <v>1090</v>
      </c>
      <c r="B434" s="1952" t="s">
        <v>275</v>
      </c>
      <c r="C434" s="3462" t="s">
        <v>276</v>
      </c>
      <c r="D434" s="4972"/>
      <c r="E434" s="6482" t="s">
        <v>41</v>
      </c>
      <c r="F434" s="7992" t="s">
        <v>277</v>
      </c>
      <c r="G434" s="9502" t="s">
        <v>15</v>
      </c>
      <c r="H434" s="11012">
        <v>2</v>
      </c>
      <c r="I434" s="12522" t="s">
        <v>16</v>
      </c>
      <c r="J434" t="s">
        <v>28</v>
      </c>
    </row>
    <row r="435" spans="1:10" outlineLevel="2">
      <c r="A435" s="443" t="s">
        <v>1091</v>
      </c>
      <c r="B435" s="1953" t="s">
        <v>268</v>
      </c>
      <c r="C435" s="3463" t="s">
        <v>279</v>
      </c>
      <c r="D435" s="4973"/>
      <c r="E435" s="6483" t="s">
        <v>41</v>
      </c>
      <c r="F435" s="7993" t="s">
        <v>280</v>
      </c>
      <c r="G435" s="9503" t="s">
        <v>15</v>
      </c>
      <c r="H435" s="11013">
        <v>2</v>
      </c>
      <c r="I435" s="12523" t="s">
        <v>16</v>
      </c>
      <c r="J435" t="s">
        <v>28</v>
      </c>
    </row>
    <row r="436" spans="1:10" ht="15.75" outlineLevel="2">
      <c r="A436" s="444" t="s">
        <v>1092</v>
      </c>
      <c r="B436" s="1954" t="s">
        <v>282</v>
      </c>
      <c r="C436" s="3464" t="s">
        <v>283</v>
      </c>
      <c r="D436" s="4974"/>
      <c r="E436" s="6484" t="s">
        <v>25</v>
      </c>
      <c r="F436" s="7994" t="s">
        <v>284</v>
      </c>
      <c r="G436" s="9504" t="s">
        <v>15</v>
      </c>
      <c r="H436" s="11014">
        <v>1</v>
      </c>
      <c r="I436" s="12524" t="s">
        <v>16</v>
      </c>
      <c r="J436" s="13600" t="str">
        <f>HYPERLINK("\\192.168.170.18\drawings\2-Basic Components\0000-315 - Central Flange\0000-315-003-A - Trap DN500 - pressure = 35 mbar_vacuum = -3 mbar.pdf", "PDF")</f>
        <v>PDF</v>
      </c>
    </row>
    <row r="437" spans="1:10" ht="15.75" outlineLevel="2">
      <c r="A437" s="445" t="s">
        <v>1093</v>
      </c>
      <c r="B437" s="1955" t="s">
        <v>286</v>
      </c>
      <c r="C437" s="3465" t="s">
        <v>287</v>
      </c>
      <c r="D437" s="4975"/>
      <c r="E437" s="6485" t="s">
        <v>32</v>
      </c>
      <c r="F437" s="7995" t="s">
        <v>288</v>
      </c>
      <c r="G437" s="9505" t="s">
        <v>15</v>
      </c>
      <c r="H437" s="11015">
        <v>4</v>
      </c>
      <c r="I437" s="12525" t="s">
        <v>16</v>
      </c>
      <c r="J437" s="13600" t="str">
        <f>HYPERLINK("\\192.168.170.18\drawings\2-Basic Components\0000-301 - Tank Connection\0000-301-120-- - TC- Flange Elbow DN150 PN10 L=450 - BM.pdf", "PDF")</f>
        <v>PDF</v>
      </c>
    </row>
    <row r="438" spans="1:10" ht="15.75" outlineLevel="2">
      <c r="A438" s="446" t="s">
        <v>1094</v>
      </c>
      <c r="B438" s="1956" t="s">
        <v>290</v>
      </c>
      <c r="C438" s="3466" t="s">
        <v>291</v>
      </c>
      <c r="D438" s="4976"/>
      <c r="E438" s="6486" t="s">
        <v>32</v>
      </c>
      <c r="F438" s="7996" t="s">
        <v>292</v>
      </c>
      <c r="G438" s="9506" t="s">
        <v>15</v>
      </c>
      <c r="H438" s="11016">
        <v>1</v>
      </c>
      <c r="I438" s="12526"/>
      <c r="J438" s="13600" t="str">
        <f>HYPERLINK("\\192.168.170.18\drawings\2-Basic Components\0000-321 - Straight Connection\0000-321-106-- - Biomass - Straight Connection - DN100x6m.pdf", "PDF")</f>
        <v>PDF</v>
      </c>
    </row>
    <row r="439" spans="1:10" ht="15.75" outlineLevel="2">
      <c r="A439" s="447" t="s">
        <v>1095</v>
      </c>
      <c r="B439" s="1957" t="s">
        <v>294</v>
      </c>
      <c r="C439" s="3467" t="s">
        <v>295</v>
      </c>
      <c r="D439" s="4977"/>
      <c r="E439" s="6487" t="s">
        <v>32</v>
      </c>
      <c r="F439" s="7997" t="s">
        <v>296</v>
      </c>
      <c r="G439" s="9507" t="s">
        <v>15</v>
      </c>
      <c r="H439" s="11017">
        <v>4</v>
      </c>
      <c r="I439" s="12527"/>
      <c r="J439" s="13600" t="str">
        <f>HYPERLINK("\\192.168.170.18\drawings\2-Basic Components\0000-342 - Pipe Holders\0000-342-270-B - DN100 Pipeholder for bottom mounting.pdf", "PDF")</f>
        <v>PDF</v>
      </c>
    </row>
    <row r="440" spans="1:10" ht="15.75" outlineLevel="2">
      <c r="A440" s="448" t="s">
        <v>1096</v>
      </c>
      <c r="B440" s="1958" t="s">
        <v>298</v>
      </c>
      <c r="C440" s="3468" t="s">
        <v>299</v>
      </c>
      <c r="D440" s="4978"/>
      <c r="E440" s="6488" t="s">
        <v>32</v>
      </c>
      <c r="F440" s="7998" t="s">
        <v>300</v>
      </c>
      <c r="G440" s="9508" t="s">
        <v>15</v>
      </c>
      <c r="H440" s="11018">
        <v>2</v>
      </c>
      <c r="I440" s="12528" t="s">
        <v>16</v>
      </c>
      <c r="J440" s="13600" t="str">
        <f>HYPERLINK("\\192.168.170.18\drawings\2-Basic Components\0000-301 - Tank Connection\0000-301-119-- - TC- Flange DN150 PN10 L=330 - BM.pdf", "PDF")</f>
        <v>PDF</v>
      </c>
    </row>
    <row r="441" spans="1:10" ht="15.75" outlineLevel="2">
      <c r="A441" s="449" t="s">
        <v>1097</v>
      </c>
      <c r="B441" s="1959" t="s">
        <v>302</v>
      </c>
      <c r="C441" s="3469" t="s">
        <v>303</v>
      </c>
      <c r="D441" s="4979" t="s">
        <v>304</v>
      </c>
      <c r="E441" s="6489" t="s">
        <v>32</v>
      </c>
      <c r="F441" s="7999" t="s">
        <v>305</v>
      </c>
      <c r="G441" s="9509" t="s">
        <v>15</v>
      </c>
      <c r="H441" s="11019">
        <v>1</v>
      </c>
      <c r="I441" s="12529" t="s">
        <v>16</v>
      </c>
      <c r="J441" s="13600" t="str">
        <f>HYPERLINK("\\192.168.170.18\drawings\2-Basic Components\0000-321 - Straight Connection\0000-321-103-A - Outlet pipe DN100 - Biomass.pdf", "PDF")</f>
        <v>PDF</v>
      </c>
    </row>
    <row r="442" spans="1:10" ht="15.75" outlineLevel="2">
      <c r="A442" s="450" t="s">
        <v>1098</v>
      </c>
      <c r="B442" s="1960" t="s">
        <v>307</v>
      </c>
      <c r="C442" s="3470" t="s">
        <v>308</v>
      </c>
      <c r="D442" s="4980"/>
      <c r="E442" s="6490" t="s">
        <v>32</v>
      </c>
      <c r="F442" s="8000" t="s">
        <v>309</v>
      </c>
      <c r="G442" s="9510" t="s">
        <v>15</v>
      </c>
      <c r="H442" s="11020">
        <v>2</v>
      </c>
      <c r="I442" s="12530" t="s">
        <v>16</v>
      </c>
      <c r="J442" s="13600" t="str">
        <f>HYPERLINK("\\192.168.170.18\drawings\2-Basic Components\0000-301 - Tank Connection\0000-301-122-- - TC- Flange DN150 PN10 L=330 - BM.pdf", "PDF")</f>
        <v>PDF</v>
      </c>
    </row>
    <row r="443" spans="1:10" outlineLevel="2">
      <c r="A443" s="451" t="s">
        <v>1099</v>
      </c>
      <c r="B443" s="1961" t="s">
        <v>247</v>
      </c>
      <c r="C443" s="3471" t="s">
        <v>311</v>
      </c>
      <c r="D443" s="4981"/>
      <c r="E443" s="6491" t="s">
        <v>25</v>
      </c>
      <c r="F443" s="8001" t="s">
        <v>312</v>
      </c>
      <c r="G443" s="9511" t="s">
        <v>27</v>
      </c>
      <c r="H443" s="11021">
        <v>1</v>
      </c>
      <c r="I443" s="12531"/>
      <c r="J443" t="s">
        <v>28</v>
      </c>
    </row>
    <row r="444" spans="1:10" ht="15.75" outlineLevel="2">
      <c r="A444" s="452" t="s">
        <v>1100</v>
      </c>
      <c r="B444" s="1962" t="s">
        <v>314</v>
      </c>
      <c r="C444" s="3472" t="s">
        <v>315</v>
      </c>
      <c r="D444" s="4982"/>
      <c r="E444" s="6492" t="s">
        <v>32</v>
      </c>
      <c r="F444" s="8002" t="s">
        <v>316</v>
      </c>
      <c r="G444" s="9512" t="s">
        <v>15</v>
      </c>
      <c r="H444" s="11022">
        <v>1</v>
      </c>
      <c r="I444" s="12532" t="s">
        <v>16</v>
      </c>
      <c r="J444" s="13600" t="str">
        <f>HYPERLINK("\\192.168.170.18\drawings\2-Basic Components\0000-321 - Straight Connection\0000-321-109-- - Biomass - Straight Connection - DN100x6m.pdf", "PDF")</f>
        <v>PDF</v>
      </c>
    </row>
    <row r="445" spans="1:10" ht="15.75" outlineLevel="2">
      <c r="A445" s="453" t="s">
        <v>1101</v>
      </c>
      <c r="B445" s="1963" t="s">
        <v>318</v>
      </c>
      <c r="C445" s="3473" t="s">
        <v>319</v>
      </c>
      <c r="D445" s="4983"/>
      <c r="E445" s="6493" t="s">
        <v>32</v>
      </c>
      <c r="F445" s="8003" t="s">
        <v>320</v>
      </c>
      <c r="G445" s="9513" t="s">
        <v>15</v>
      </c>
      <c r="H445" s="11023">
        <v>4</v>
      </c>
      <c r="I445" s="12533" t="s">
        <v>16</v>
      </c>
      <c r="J445" s="13600" t="str">
        <f>HYPERLINK("\\192.168.170.18\drawings\2-Basic Components\0000-342 - Pipe Holders\0000-342-274-- - DN125 Pipeholder for bottom mounting.pdf", "PDF")</f>
        <v>PDF</v>
      </c>
    </row>
    <row r="446" spans="1:10" ht="15.75" outlineLevel="2">
      <c r="A446" s="454" t="s">
        <v>1102</v>
      </c>
      <c r="B446" s="1964" t="s">
        <v>322</v>
      </c>
      <c r="C446" s="3474" t="s">
        <v>323</v>
      </c>
      <c r="D446" s="4984"/>
      <c r="E446" s="6494" t="s">
        <v>32</v>
      </c>
      <c r="F446" s="8004" t="s">
        <v>324</v>
      </c>
      <c r="G446" s="9514" t="s">
        <v>15</v>
      </c>
      <c r="H446" s="11024">
        <v>3</v>
      </c>
      <c r="I446" s="12534" t="s">
        <v>16</v>
      </c>
      <c r="J446" s="13600" t="str">
        <f>HYPERLINK("\\192.168.170.18\drawings\2-Basic Components\0000-301 - Tank Connection\0000-301-123-- - TC- Flange Elbow DN200 PN10 L=450 - BM.pdf", "PDF")</f>
        <v>PDF</v>
      </c>
    </row>
    <row r="447" spans="1:10" ht="15.75" outlineLevel="2">
      <c r="A447" s="455" t="s">
        <v>1103</v>
      </c>
      <c r="B447" s="1965" t="s">
        <v>326</v>
      </c>
      <c r="C447" s="3475" t="s">
        <v>327</v>
      </c>
      <c r="D447" s="4985"/>
      <c r="E447" s="6495" t="s">
        <v>32</v>
      </c>
      <c r="F447" s="8005" t="s">
        <v>328</v>
      </c>
      <c r="G447" s="9515" t="s">
        <v>15</v>
      </c>
      <c r="H447" s="11025">
        <v>6</v>
      </c>
      <c r="I447" s="12535" t="s">
        <v>16</v>
      </c>
      <c r="J447" s="13600" t="str">
        <f>HYPERLINK("\\192.168.170.18\drawings\2-Basic Components\0000-301 - Tank Connection\0000-301-124-- - TC- Flange DN200 PN10 L=330 - BM.pdf", "PDF")</f>
        <v>PDF</v>
      </c>
    </row>
    <row r="448" spans="1:10" ht="15.75" outlineLevel="2">
      <c r="A448" s="456" t="s">
        <v>1104</v>
      </c>
      <c r="B448" s="1966" t="s">
        <v>330</v>
      </c>
      <c r="C448" s="3476" t="s">
        <v>331</v>
      </c>
      <c r="D448" s="4986"/>
      <c r="E448" s="6496" t="s">
        <v>32</v>
      </c>
      <c r="F448" s="8006" t="s">
        <v>332</v>
      </c>
      <c r="G448" s="9516" t="s">
        <v>15</v>
      </c>
      <c r="H448" s="11026">
        <v>3</v>
      </c>
      <c r="I448" s="12536" t="s">
        <v>16</v>
      </c>
      <c r="J448" s="13600" t="str">
        <f>HYPERLINK("\\192.168.170.18\drawings\2-Basic Components\0000-321 - Straight Connection\0000-321-157-- - Biomass - Straigth Connection - DN200x6m.pdf", "PDF")</f>
        <v>PDF</v>
      </c>
    </row>
    <row r="449" spans="1:10" outlineLevel="2">
      <c r="A449" s="457" t="s">
        <v>1105</v>
      </c>
      <c r="B449" s="1967" t="s">
        <v>334</v>
      </c>
      <c r="C449" s="3477" t="s">
        <v>335</v>
      </c>
      <c r="D449" s="4987"/>
      <c r="E449" s="6497" t="s">
        <v>32</v>
      </c>
      <c r="F449" s="8007" t="s">
        <v>336</v>
      </c>
      <c r="G449" s="9517" t="s">
        <v>15</v>
      </c>
      <c r="H449" s="11027">
        <v>12</v>
      </c>
      <c r="I449" s="12537" t="s">
        <v>16</v>
      </c>
      <c r="J449" t="s">
        <v>28</v>
      </c>
    </row>
    <row r="450" spans="1:10" ht="15.75" outlineLevel="2">
      <c r="A450" s="458" t="s">
        <v>1106</v>
      </c>
      <c r="B450" s="1968" t="s">
        <v>344</v>
      </c>
      <c r="C450" s="3478" t="s">
        <v>345</v>
      </c>
      <c r="D450" s="4988" t="s">
        <v>346</v>
      </c>
      <c r="E450" s="6498" t="s">
        <v>32</v>
      </c>
      <c r="F450" s="8008" t="s">
        <v>347</v>
      </c>
      <c r="G450" s="9518" t="s">
        <v>15</v>
      </c>
      <c r="H450" s="11028">
        <v>1</v>
      </c>
      <c r="I450" s="12538" t="s">
        <v>16</v>
      </c>
      <c r="J450" s="13600" t="str">
        <f>HYPERLINK("\\192.168.170.18\drawings\2-Basic Components\0000-315 - Central Flange\0000-315-005-A - Central flange 5200 - DN250 assembly.pdf", "PDF")</f>
        <v>PDF</v>
      </c>
    </row>
    <row r="451" spans="1:10" ht="15.75" outlineLevel="2">
      <c r="A451" s="459" t="s">
        <v>1107</v>
      </c>
      <c r="B451" s="1969" t="s">
        <v>349</v>
      </c>
      <c r="C451" s="3479" t="s">
        <v>350</v>
      </c>
      <c r="D451" s="4989" t="s">
        <v>304</v>
      </c>
      <c r="E451" s="6499" t="s">
        <v>32</v>
      </c>
      <c r="F451" s="8009" t="s">
        <v>351</v>
      </c>
      <c r="G451" s="9519" t="s">
        <v>15</v>
      </c>
      <c r="H451" s="11029">
        <v>3</v>
      </c>
      <c r="I451" s="12539" t="s">
        <v>16</v>
      </c>
      <c r="J451" s="13600" t="str">
        <f>HYPERLINK("\\192.168.170.18\drawings\2-Basic Components\0000-321 - Straight Connection\0000-321-158-A - Outlet Pipe DN200 - Biomass.pdf", "PDF")</f>
        <v>PDF</v>
      </c>
    </row>
    <row r="452" spans="1:10" ht="15.75" outlineLevel="2">
      <c r="A452" s="460" t="s">
        <v>1108</v>
      </c>
      <c r="B452" s="1970" t="s">
        <v>353</v>
      </c>
      <c r="C452" s="3480" t="s">
        <v>354</v>
      </c>
      <c r="D452" s="4990" t="s">
        <v>304</v>
      </c>
      <c r="E452" s="6500" t="s">
        <v>32</v>
      </c>
      <c r="F452" s="8010" t="s">
        <v>355</v>
      </c>
      <c r="G452" s="9520" t="s">
        <v>15</v>
      </c>
      <c r="H452" s="11030">
        <v>1</v>
      </c>
      <c r="I452" s="12540" t="s">
        <v>16</v>
      </c>
      <c r="J452" s="13600" t="str">
        <f>HYPERLINK("\\192.168.170.18\drawings\2-Basic Components\0000-321 - Straight Connection\0000-321-108-A - Outlet pipe DN125 - Biomass.pdf", "PDF")</f>
        <v>PDF</v>
      </c>
    </row>
    <row r="453" spans="1:10" outlineLevel="2">
      <c r="A453" s="461" t="s">
        <v>1109</v>
      </c>
      <c r="B453" s="1971" t="s">
        <v>357</v>
      </c>
      <c r="C453" s="3481" t="s">
        <v>358</v>
      </c>
      <c r="D453" s="4991" t="s">
        <v>359</v>
      </c>
      <c r="E453" s="6501" t="s">
        <v>32</v>
      </c>
      <c r="F453" s="8011" t="s">
        <v>360</v>
      </c>
      <c r="G453" s="9521" t="s">
        <v>15</v>
      </c>
      <c r="H453" s="11031">
        <v>2</v>
      </c>
      <c r="I453" s="12541" t="s">
        <v>16</v>
      </c>
      <c r="J453" t="s">
        <v>28</v>
      </c>
    </row>
    <row r="454" spans="1:10" outlineLevel="2">
      <c r="A454" s="462" t="s">
        <v>1110</v>
      </c>
      <c r="B454" s="1972" t="s">
        <v>357</v>
      </c>
      <c r="C454" s="3482" t="s">
        <v>362</v>
      </c>
      <c r="D454" s="4992" t="s">
        <v>363</v>
      </c>
      <c r="E454" s="6502" t="s">
        <v>128</v>
      </c>
      <c r="F454" s="8012" t="s">
        <v>364</v>
      </c>
      <c r="G454" s="9522" t="s">
        <v>15</v>
      </c>
      <c r="H454" s="11032">
        <v>2</v>
      </c>
      <c r="I454" s="12542" t="s">
        <v>16</v>
      </c>
      <c r="J454" t="s">
        <v>28</v>
      </c>
    </row>
    <row r="455" spans="1:10" outlineLevel="2">
      <c r="A455" s="463" t="s">
        <v>1111</v>
      </c>
      <c r="B455" s="1973" t="s">
        <v>357</v>
      </c>
      <c r="C455" s="3483" t="s">
        <v>366</v>
      </c>
      <c r="D455" s="4993" t="s">
        <v>367</v>
      </c>
      <c r="E455" s="6503" t="s">
        <v>32</v>
      </c>
      <c r="F455" s="8013" t="s">
        <v>368</v>
      </c>
      <c r="G455" s="9523" t="s">
        <v>15</v>
      </c>
      <c r="H455" s="11033">
        <v>4</v>
      </c>
      <c r="I455" s="12543" t="s">
        <v>16</v>
      </c>
      <c r="J455" t="s">
        <v>28</v>
      </c>
    </row>
    <row r="456" spans="1:10" outlineLevel="2">
      <c r="A456" s="464" t="s">
        <v>1112</v>
      </c>
      <c r="B456" s="1974" t="s">
        <v>357</v>
      </c>
      <c r="C456" s="3484" t="s">
        <v>370</v>
      </c>
      <c r="D456" s="4994"/>
      <c r="E456" s="6504" t="s">
        <v>32</v>
      </c>
      <c r="F456" s="8014" t="s">
        <v>371</v>
      </c>
      <c r="G456" s="9524" t="s">
        <v>15</v>
      </c>
      <c r="H456" s="11034">
        <v>2</v>
      </c>
      <c r="I456" s="12544" t="s">
        <v>16</v>
      </c>
      <c r="J456" t="s">
        <v>28</v>
      </c>
    </row>
    <row r="457" spans="1:10" outlineLevel="2">
      <c r="A457" s="465" t="s">
        <v>1113</v>
      </c>
      <c r="B457" s="1975" t="s">
        <v>357</v>
      </c>
      <c r="C457" s="3485" t="s">
        <v>373</v>
      </c>
      <c r="D457" s="4995"/>
      <c r="E457" s="6505" t="s">
        <v>32</v>
      </c>
      <c r="F457" s="8015" t="s">
        <v>374</v>
      </c>
      <c r="G457" s="9525" t="s">
        <v>15</v>
      </c>
      <c r="H457" s="11035">
        <v>4</v>
      </c>
      <c r="I457" s="12545" t="s">
        <v>16</v>
      </c>
      <c r="J457" t="s">
        <v>28</v>
      </c>
    </row>
    <row r="458" spans="1:10" outlineLevel="2">
      <c r="A458" s="466" t="s">
        <v>1114</v>
      </c>
      <c r="B458" s="1976" t="s">
        <v>247</v>
      </c>
      <c r="C458" s="3486" t="s">
        <v>311</v>
      </c>
      <c r="D458" s="4996"/>
      <c r="E458" s="6506" t="s">
        <v>83</v>
      </c>
      <c r="F458" s="8016" t="s">
        <v>376</v>
      </c>
      <c r="G458" s="9526" t="s">
        <v>27</v>
      </c>
      <c r="H458" s="11036">
        <v>4</v>
      </c>
      <c r="I458" s="12546"/>
      <c r="J458" t="s">
        <v>28</v>
      </c>
    </row>
    <row r="459" spans="1:10" outlineLevel="2">
      <c r="A459" s="467" t="s">
        <v>1115</v>
      </c>
      <c r="B459" s="1977" t="s">
        <v>247</v>
      </c>
      <c r="C459" s="3487" t="s">
        <v>248</v>
      </c>
      <c r="D459" s="4997"/>
      <c r="E459" s="6507" t="s">
        <v>32</v>
      </c>
      <c r="F459" s="8017" t="s">
        <v>249</v>
      </c>
      <c r="G459" s="9527" t="s">
        <v>27</v>
      </c>
      <c r="H459" s="11037">
        <v>2</v>
      </c>
      <c r="I459" s="12547"/>
      <c r="J459" t="s">
        <v>28</v>
      </c>
    </row>
    <row r="460" spans="1:10" outlineLevel="2">
      <c r="A460" s="468" t="s">
        <v>1116</v>
      </c>
      <c r="B460" s="1978" t="s">
        <v>247</v>
      </c>
      <c r="C460" s="3488" t="s">
        <v>378</v>
      </c>
      <c r="D460" s="4998"/>
      <c r="E460" s="6508" t="s">
        <v>32</v>
      </c>
      <c r="F460" s="8018" t="s">
        <v>379</v>
      </c>
      <c r="G460" s="9528" t="s">
        <v>27</v>
      </c>
      <c r="H460" s="11038">
        <v>2</v>
      </c>
      <c r="I460" s="12548"/>
      <c r="J460" t="s">
        <v>28</v>
      </c>
    </row>
    <row r="461" spans="1:10" outlineLevel="2">
      <c r="A461" s="469" t="s">
        <v>1117</v>
      </c>
      <c r="B461" s="1979" t="s">
        <v>357</v>
      </c>
      <c r="C461" s="3489" t="s">
        <v>381</v>
      </c>
      <c r="D461" s="4999" t="s">
        <v>382</v>
      </c>
      <c r="E461" s="6509" t="s">
        <v>32</v>
      </c>
      <c r="F461" s="8019" t="s">
        <v>383</v>
      </c>
      <c r="G461" s="9529" t="s">
        <v>15</v>
      </c>
      <c r="H461" s="11039">
        <v>2</v>
      </c>
      <c r="I461" s="12549" t="s">
        <v>16</v>
      </c>
      <c r="J461" t="s">
        <v>28</v>
      </c>
    </row>
    <row r="462" spans="1:10" outlineLevel="2">
      <c r="A462" s="470" t="s">
        <v>1118</v>
      </c>
      <c r="B462" s="1980" t="s">
        <v>247</v>
      </c>
      <c r="C462" s="3490" t="s">
        <v>385</v>
      </c>
      <c r="D462" s="5000" t="s">
        <v>386</v>
      </c>
      <c r="E462" s="6510" t="s">
        <v>25</v>
      </c>
      <c r="F462" s="8020" t="s">
        <v>387</v>
      </c>
      <c r="G462" s="9530" t="s">
        <v>27</v>
      </c>
      <c r="H462" s="11040">
        <v>2</v>
      </c>
      <c r="I462" s="12550" t="s">
        <v>16</v>
      </c>
      <c r="J462" t="s">
        <v>28</v>
      </c>
    </row>
    <row r="463" spans="1:10" outlineLevel="2">
      <c r="A463" s="471" t="s">
        <v>1119</v>
      </c>
      <c r="B463" s="1981" t="s">
        <v>1120</v>
      </c>
      <c r="C463" s="3491" t="s">
        <v>488</v>
      </c>
      <c r="D463" s="5001" t="s">
        <v>340</v>
      </c>
      <c r="E463" s="6511" t="s">
        <v>341</v>
      </c>
      <c r="F463" s="8021" t="s">
        <v>1121</v>
      </c>
      <c r="G463" s="9531" t="s">
        <v>15</v>
      </c>
      <c r="H463" s="11041">
        <v>1</v>
      </c>
      <c r="I463" s="12551" t="s">
        <v>16</v>
      </c>
      <c r="J463" t="s">
        <v>28</v>
      </c>
    </row>
    <row r="464" spans="1:10" outlineLevel="2">
      <c r="A464" s="472" t="s">
        <v>1122</v>
      </c>
      <c r="B464" s="1982" t="s">
        <v>247</v>
      </c>
      <c r="C464" s="3492" t="s">
        <v>389</v>
      </c>
      <c r="D464" s="5002"/>
      <c r="E464" s="6512" t="s">
        <v>83</v>
      </c>
      <c r="F464" s="8022" t="s">
        <v>390</v>
      </c>
      <c r="G464" s="9532" t="s">
        <v>27</v>
      </c>
      <c r="H464" s="11042">
        <v>2</v>
      </c>
      <c r="I464" s="12552"/>
      <c r="J464" t="s">
        <v>28</v>
      </c>
    </row>
    <row r="465" spans="1:10" outlineLevel="2">
      <c r="A465" s="473" t="s">
        <v>1123</v>
      </c>
      <c r="B465" s="1983" t="s">
        <v>243</v>
      </c>
      <c r="C465" s="3493" t="s">
        <v>392</v>
      </c>
      <c r="D465" s="5003"/>
      <c r="E465" s="6513" t="s">
        <v>32</v>
      </c>
      <c r="F465" s="8023" t="s">
        <v>393</v>
      </c>
      <c r="G465" s="9533" t="s">
        <v>15</v>
      </c>
      <c r="H465" s="11043">
        <v>2</v>
      </c>
      <c r="I465" s="12553" t="s">
        <v>16</v>
      </c>
      <c r="J465" t="s">
        <v>28</v>
      </c>
    </row>
    <row r="466" spans="1:10" outlineLevel="1">
      <c r="A466" s="474" t="s">
        <v>1124</v>
      </c>
      <c r="B466" s="1984" t="s">
        <v>1125</v>
      </c>
      <c r="C466" s="3494" t="s">
        <v>152</v>
      </c>
      <c r="D466" s="5004" t="s">
        <v>13</v>
      </c>
      <c r="E466" s="6514" t="s">
        <v>153</v>
      </c>
      <c r="F466" s="8024" t="s">
        <v>1126</v>
      </c>
      <c r="G466" s="9534" t="s">
        <v>15</v>
      </c>
      <c r="H466" s="11044">
        <v>1</v>
      </c>
      <c r="I466" s="12554" t="s">
        <v>16</v>
      </c>
      <c r="J466" t="s">
        <v>28</v>
      </c>
    </row>
    <row r="467" spans="1:10" outlineLevel="1">
      <c r="A467" s="475" t="s">
        <v>1127</v>
      </c>
      <c r="B467" s="1985" t="s">
        <v>402</v>
      </c>
      <c r="C467" s="3495" t="s">
        <v>403</v>
      </c>
      <c r="D467" s="5005" t="s">
        <v>13</v>
      </c>
      <c r="E467" s="6515" t="s">
        <v>153</v>
      </c>
      <c r="F467" s="8025" t="s">
        <v>404</v>
      </c>
      <c r="G467" s="9535" t="s">
        <v>15</v>
      </c>
      <c r="H467" s="11045">
        <v>1</v>
      </c>
      <c r="I467" s="12555" t="s">
        <v>16</v>
      </c>
      <c r="J467" t="s">
        <v>28</v>
      </c>
    </row>
    <row r="468" spans="1:10" ht="15.75" outlineLevel="1">
      <c r="A468" s="476" t="s">
        <v>1128</v>
      </c>
      <c r="B468" s="1986" t="s">
        <v>1129</v>
      </c>
      <c r="C468" s="3496" t="s">
        <v>157</v>
      </c>
      <c r="D468" s="5006" t="s">
        <v>1130</v>
      </c>
      <c r="E468" s="6516"/>
      <c r="F468" s="8026" t="s">
        <v>1131</v>
      </c>
      <c r="G468" s="9536" t="s">
        <v>15</v>
      </c>
      <c r="H468" s="11046">
        <v>1</v>
      </c>
      <c r="I468" s="12556" t="s">
        <v>16</v>
      </c>
      <c r="J468" s="13600" t="str">
        <f>HYPERLINK("\\192.168.170.18\drawings\5-Projects\2500 - Aabenraa\Area 04 - Digester Area\Eqiupment\2500-615 Digester\2500-615-009-- - Digester - Assembly - 9500m³.pdf", "PDF")</f>
        <v>PDF</v>
      </c>
    </row>
    <row r="469" spans="1:10" ht="15.75" outlineLevel="2">
      <c r="A469" s="477" t="s">
        <v>1132</v>
      </c>
      <c r="B469" s="1987" t="s">
        <v>1133</v>
      </c>
      <c r="C469" s="3497" t="s">
        <v>161</v>
      </c>
      <c r="D469" s="5007" t="s">
        <v>1134</v>
      </c>
      <c r="E469" s="6517"/>
      <c r="F469" s="8027" t="s">
        <v>1135</v>
      </c>
      <c r="G469" s="9537" t="s">
        <v>15</v>
      </c>
      <c r="H469" s="11047">
        <v>1</v>
      </c>
      <c r="I469" s="12557" t="s">
        <v>16</v>
      </c>
      <c r="J469" s="13600" t="str">
        <f>HYPERLINK("\\192.168.170.18\drawings\5-Projects\2500 - Aabenraa\Area 04 - Digester Area\Eqiupment\2500-615 Digester\2500-615-909-A - Digester 9500m³.pdf", "PDF")</f>
        <v>PDF</v>
      </c>
    </row>
    <row r="470" spans="1:10" outlineLevel="3">
      <c r="A470" s="478" t="s">
        <v>1136</v>
      </c>
      <c r="B470" s="1988" t="s">
        <v>1137</v>
      </c>
      <c r="C470" s="3498" t="s">
        <v>166</v>
      </c>
      <c r="D470" s="5008"/>
      <c r="E470" s="6518" t="s">
        <v>32</v>
      </c>
      <c r="F470" s="8028" t="s">
        <v>1138</v>
      </c>
      <c r="G470" s="9538" t="s">
        <v>15</v>
      </c>
      <c r="H470" s="11048">
        <v>1</v>
      </c>
      <c r="I470" s="12558" t="s">
        <v>16</v>
      </c>
      <c r="J470" t="s">
        <v>28</v>
      </c>
    </row>
    <row r="471" spans="1:10" outlineLevel="3">
      <c r="A471" s="479" t="s">
        <v>1139</v>
      </c>
      <c r="B471" s="1989" t="s">
        <v>1140</v>
      </c>
      <c r="C471" s="3499" t="s">
        <v>170</v>
      </c>
      <c r="D471" s="5009"/>
      <c r="E471" s="6519" t="s">
        <v>32</v>
      </c>
      <c r="F471" s="8029" t="s">
        <v>1141</v>
      </c>
      <c r="G471" s="9539" t="s">
        <v>15</v>
      </c>
      <c r="H471" s="11049">
        <v>1</v>
      </c>
      <c r="I471" s="12559" t="s">
        <v>16</v>
      </c>
      <c r="J471" t="s">
        <v>28</v>
      </c>
    </row>
    <row r="472" spans="1:10" outlineLevel="3">
      <c r="A472" s="480" t="s">
        <v>1142</v>
      </c>
      <c r="B472" s="1990" t="s">
        <v>1143</v>
      </c>
      <c r="C472" s="3500" t="s">
        <v>174</v>
      </c>
      <c r="D472" s="5010"/>
      <c r="E472" s="6520" t="s">
        <v>41</v>
      </c>
      <c r="F472" s="8030" t="s">
        <v>1144</v>
      </c>
      <c r="G472" s="9540" t="s">
        <v>15</v>
      </c>
      <c r="H472" s="11050">
        <v>1</v>
      </c>
      <c r="I472" s="12560" t="s">
        <v>16</v>
      </c>
      <c r="J472" t="s">
        <v>28</v>
      </c>
    </row>
    <row r="473" spans="1:10" outlineLevel="3">
      <c r="A473" s="481" t="s">
        <v>1145</v>
      </c>
      <c r="B473" s="1991" t="s">
        <v>1146</v>
      </c>
      <c r="C473" s="3501" t="s">
        <v>178</v>
      </c>
      <c r="D473" s="5011"/>
      <c r="E473" s="6521" t="s">
        <v>32</v>
      </c>
      <c r="F473" s="8031" t="s">
        <v>1147</v>
      </c>
      <c r="G473" s="9541" t="s">
        <v>15</v>
      </c>
      <c r="H473" s="11051">
        <v>1</v>
      </c>
      <c r="I473" s="12561" t="s">
        <v>16</v>
      </c>
      <c r="J473" t="s">
        <v>28</v>
      </c>
    </row>
    <row r="474" spans="1:10" outlineLevel="3">
      <c r="A474" s="482" t="s">
        <v>1148</v>
      </c>
      <c r="B474" s="1992" t="s">
        <v>1149</v>
      </c>
      <c r="C474" s="3502"/>
      <c r="D474" s="5012"/>
      <c r="E474" s="6522" t="s">
        <v>182</v>
      </c>
      <c r="F474" s="8032" t="s">
        <v>1150</v>
      </c>
      <c r="G474" s="9542" t="s">
        <v>15</v>
      </c>
      <c r="H474" s="11052">
        <v>1</v>
      </c>
      <c r="I474" s="12562" t="s">
        <v>16</v>
      </c>
      <c r="J474" t="s">
        <v>28</v>
      </c>
    </row>
    <row r="475" spans="1:10" outlineLevel="3">
      <c r="A475" s="483" t="s">
        <v>1151</v>
      </c>
      <c r="B475" s="1993" t="s">
        <v>1152</v>
      </c>
      <c r="C475" s="3503" t="s">
        <v>186</v>
      </c>
      <c r="D475" s="5013"/>
      <c r="E475" s="6523" t="s">
        <v>32</v>
      </c>
      <c r="F475" s="8033" t="s">
        <v>1153</v>
      </c>
      <c r="G475" s="9543" t="s">
        <v>15</v>
      </c>
      <c r="H475" s="11053">
        <v>1</v>
      </c>
      <c r="I475" s="12563" t="s">
        <v>16</v>
      </c>
      <c r="J475" t="s">
        <v>28</v>
      </c>
    </row>
    <row r="476" spans="1:10" outlineLevel="2">
      <c r="A476" s="484" t="s">
        <v>1154</v>
      </c>
      <c r="B476" s="1994" t="s">
        <v>81</v>
      </c>
      <c r="C476" s="3504" t="s">
        <v>82</v>
      </c>
      <c r="D476" s="5014"/>
      <c r="E476" s="6524" t="s">
        <v>83</v>
      </c>
      <c r="F476" s="8034" t="s">
        <v>84</v>
      </c>
      <c r="G476" s="9544" t="s">
        <v>27</v>
      </c>
      <c r="H476" s="11054">
        <v>2</v>
      </c>
      <c r="I476" s="12564"/>
      <c r="J476" t="s">
        <v>28</v>
      </c>
    </row>
    <row r="477" spans="1:10" outlineLevel="2">
      <c r="A477" s="485" t="s">
        <v>1155</v>
      </c>
      <c r="B477" s="1995" t="s">
        <v>190</v>
      </c>
      <c r="C477" s="3505" t="s">
        <v>191</v>
      </c>
      <c r="D477" s="5015"/>
      <c r="E477" s="6525" t="s">
        <v>16</v>
      </c>
      <c r="F477" s="8035" t="s">
        <v>192</v>
      </c>
      <c r="G477" s="9545" t="s">
        <v>27</v>
      </c>
      <c r="H477" s="11055">
        <v>1</v>
      </c>
      <c r="I477" s="12565"/>
      <c r="J477" t="s">
        <v>28</v>
      </c>
    </row>
    <row r="478" spans="1:10" outlineLevel="2">
      <c r="A478" s="486" t="s">
        <v>1156</v>
      </c>
      <c r="B478" s="1996" t="s">
        <v>194</v>
      </c>
      <c r="C478" s="3506" t="s">
        <v>195</v>
      </c>
      <c r="D478" s="5016"/>
      <c r="E478" s="6526" t="s">
        <v>16</v>
      </c>
      <c r="F478" s="8036" t="s">
        <v>196</v>
      </c>
      <c r="G478" s="9546" t="s">
        <v>27</v>
      </c>
      <c r="H478" s="11056">
        <v>2</v>
      </c>
      <c r="I478" s="12566"/>
      <c r="J478" t="s">
        <v>28</v>
      </c>
    </row>
    <row r="479" spans="1:10" outlineLevel="2">
      <c r="A479" s="487" t="s">
        <v>1157</v>
      </c>
      <c r="B479" s="1997" t="s">
        <v>81</v>
      </c>
      <c r="C479" s="3507" t="s">
        <v>198</v>
      </c>
      <c r="D479" s="5017"/>
      <c r="E479" s="6527" t="s">
        <v>32</v>
      </c>
      <c r="F479" s="8037" t="s">
        <v>199</v>
      </c>
      <c r="G479" s="9547" t="s">
        <v>15</v>
      </c>
      <c r="H479" s="11057">
        <v>2</v>
      </c>
      <c r="I479" s="12567"/>
      <c r="J479" t="s">
        <v>28</v>
      </c>
    </row>
    <row r="480" spans="1:10" outlineLevel="2">
      <c r="A480" s="488" t="s">
        <v>1158</v>
      </c>
      <c r="B480" s="1998" t="s">
        <v>201</v>
      </c>
      <c r="C480" s="3508" t="s">
        <v>202</v>
      </c>
      <c r="D480" s="5018"/>
      <c r="E480" s="6528" t="s">
        <v>203</v>
      </c>
      <c r="F480" s="8038" t="s">
        <v>204</v>
      </c>
      <c r="G480" s="9548" t="s">
        <v>27</v>
      </c>
      <c r="H480" s="11058">
        <v>3</v>
      </c>
      <c r="I480" s="12568" t="s">
        <v>16</v>
      </c>
      <c r="J480" t="s">
        <v>28</v>
      </c>
    </row>
    <row r="481" spans="1:10" outlineLevel="2">
      <c r="A481" s="489" t="s">
        <v>1159</v>
      </c>
      <c r="B481" s="1999" t="s">
        <v>206</v>
      </c>
      <c r="C481" s="3509" t="s">
        <v>207</v>
      </c>
      <c r="D481" s="5019"/>
      <c r="E481" s="6529" t="s">
        <v>208</v>
      </c>
      <c r="F481" s="8039" t="s">
        <v>209</v>
      </c>
      <c r="G481" s="9549" t="s">
        <v>27</v>
      </c>
      <c r="H481" s="11059">
        <v>2</v>
      </c>
      <c r="I481" s="12569" t="s">
        <v>16</v>
      </c>
      <c r="J481" t="s">
        <v>28</v>
      </c>
    </row>
    <row r="482" spans="1:10" outlineLevel="2">
      <c r="A482" s="490" t="s">
        <v>1160</v>
      </c>
      <c r="B482" s="2000" t="s">
        <v>247</v>
      </c>
      <c r="C482" s="3510" t="s">
        <v>444</v>
      </c>
      <c r="D482" s="5020" t="s">
        <v>445</v>
      </c>
      <c r="E482" s="6530" t="s">
        <v>25</v>
      </c>
      <c r="F482" s="8040" t="s">
        <v>446</v>
      </c>
      <c r="G482" s="9550" t="s">
        <v>27</v>
      </c>
      <c r="H482" s="11060">
        <v>3</v>
      </c>
      <c r="I482" s="12570" t="s">
        <v>16</v>
      </c>
      <c r="J482" t="s">
        <v>28</v>
      </c>
    </row>
    <row r="483" spans="1:10" ht="15.75" outlineLevel="2">
      <c r="A483" s="491" t="s">
        <v>1161</v>
      </c>
      <c r="B483" s="2001" t="s">
        <v>211</v>
      </c>
      <c r="C483" s="3511" t="s">
        <v>212</v>
      </c>
      <c r="D483" s="5021"/>
      <c r="E483" s="6531" t="s">
        <v>32</v>
      </c>
      <c r="F483" s="8041" t="s">
        <v>213</v>
      </c>
      <c r="G483" s="9551" t="s">
        <v>15</v>
      </c>
      <c r="H483" s="11061">
        <v>2</v>
      </c>
      <c r="I483" s="12571" t="s">
        <v>16</v>
      </c>
      <c r="J483" s="13600" t="str">
        <f>HYPERLINK("\\192.168.170.18\drawings\2-Basic Components\0000-301 - Tank Connection\0000-301-038-A - TC- Flange DN40 - 1½'' L=200- BM.pdf", "PDF")</f>
        <v>PDF</v>
      </c>
    </row>
    <row r="484" spans="1:10" ht="15.75" outlineLevel="2">
      <c r="A484" s="492" t="s">
        <v>1162</v>
      </c>
      <c r="B484" s="2002" t="s">
        <v>215</v>
      </c>
      <c r="C484" s="3512" t="s">
        <v>216</v>
      </c>
      <c r="D484" s="5022"/>
      <c r="E484" s="6532" t="s">
        <v>32</v>
      </c>
      <c r="F484" s="8042" t="s">
        <v>217</v>
      </c>
      <c r="G484" s="9552" t="s">
        <v>15</v>
      </c>
      <c r="H484" s="11062">
        <v>3</v>
      </c>
      <c r="I484" s="12572" t="s">
        <v>16</v>
      </c>
      <c r="J484" s="13600" t="str">
        <f>HYPERLINK("\\192.168.170.18\drawings\2-Basic Components\0000-301 - Tank Connection\0000-301-037-- - TC- Socket DN15-½'' L=168- BM.pdf", "PDF")</f>
        <v>PDF</v>
      </c>
    </row>
    <row r="485" spans="1:10" ht="15.75" outlineLevel="2">
      <c r="A485" s="493" t="s">
        <v>1163</v>
      </c>
      <c r="B485" s="2003" t="s">
        <v>219</v>
      </c>
      <c r="C485" s="3513" t="s">
        <v>220</v>
      </c>
      <c r="D485" s="5023"/>
      <c r="E485" s="6533" t="s">
        <v>32</v>
      </c>
      <c r="F485" s="8043" t="s">
        <v>221</v>
      </c>
      <c r="G485" s="9553" t="s">
        <v>15</v>
      </c>
      <c r="H485" s="11063">
        <v>3</v>
      </c>
      <c r="I485" s="12573" t="s">
        <v>16</v>
      </c>
      <c r="J485" s="13600" t="str">
        <f>HYPERLINK("\\192.168.170.18\drawings\2-Basic Components\0000-301 - Tank Connection\0000-301-001-A - TC - Nipple DN15 - ½'' L=40- BG.pdf", "PDF")</f>
        <v>PDF</v>
      </c>
    </row>
    <row r="486" spans="1:10" ht="15.75" outlineLevel="2">
      <c r="A486" s="494" t="s">
        <v>1164</v>
      </c>
      <c r="B486" s="2004" t="s">
        <v>223</v>
      </c>
      <c r="C486" s="3514" t="s">
        <v>224</v>
      </c>
      <c r="D486" s="5024"/>
      <c r="E486" s="6534" t="s">
        <v>32</v>
      </c>
      <c r="F486" s="8044" t="s">
        <v>225</v>
      </c>
      <c r="G486" s="9554" t="s">
        <v>15</v>
      </c>
      <c r="H486" s="11064">
        <v>17</v>
      </c>
      <c r="I486" s="12574" t="s">
        <v>16</v>
      </c>
      <c r="J486" s="13600" t="str">
        <f>HYPERLINK("\\192.168.170.18\drawings\2-Basic Components\0000-342 - Pipe Holders\0000-342-022-- - Pipe holder foot L=400.pdf", "PDF")</f>
        <v>PDF</v>
      </c>
    </row>
    <row r="487" spans="1:10" outlineLevel="2">
      <c r="A487" s="495" t="s">
        <v>1165</v>
      </c>
      <c r="B487" s="2005" t="s">
        <v>227</v>
      </c>
      <c r="C487" s="3515" t="s">
        <v>228</v>
      </c>
      <c r="D487" s="5025"/>
      <c r="E487" s="6535" t="s">
        <v>32</v>
      </c>
      <c r="F487" s="8045" t="s">
        <v>229</v>
      </c>
      <c r="G487" s="9555" t="s">
        <v>15</v>
      </c>
      <c r="H487" s="11065">
        <v>1</v>
      </c>
      <c r="I487" s="12575" t="s">
        <v>16</v>
      </c>
      <c r="J487" t="s">
        <v>28</v>
      </c>
    </row>
    <row r="488" spans="1:10" outlineLevel="2">
      <c r="A488" s="496" t="s">
        <v>1166</v>
      </c>
      <c r="B488" s="2006" t="s">
        <v>227</v>
      </c>
      <c r="C488" s="3516" t="s">
        <v>231</v>
      </c>
      <c r="D488" s="5026"/>
      <c r="E488" s="6536" t="s">
        <v>32</v>
      </c>
      <c r="F488" s="8046" t="s">
        <v>232</v>
      </c>
      <c r="G488" s="9556" t="s">
        <v>15</v>
      </c>
      <c r="H488" s="11066">
        <v>1</v>
      </c>
      <c r="I488" s="12576" t="s">
        <v>16</v>
      </c>
      <c r="J488" t="s">
        <v>28</v>
      </c>
    </row>
    <row r="489" spans="1:10" ht="15.75" outlineLevel="2">
      <c r="A489" s="497" t="s">
        <v>1167</v>
      </c>
      <c r="B489" s="2007" t="s">
        <v>234</v>
      </c>
      <c r="C489" s="3517" t="s">
        <v>235</v>
      </c>
      <c r="D489" s="5027" t="s">
        <v>236</v>
      </c>
      <c r="E489" s="6537" t="s">
        <v>32</v>
      </c>
      <c r="F489" s="8047" t="s">
        <v>237</v>
      </c>
      <c r="G489" s="9557" t="s">
        <v>15</v>
      </c>
      <c r="H489" s="11067">
        <v>2</v>
      </c>
      <c r="I489" s="12577" t="s">
        <v>16</v>
      </c>
      <c r="J489" s="13600" t="str">
        <f>HYPERLINK("\\192.168.170.18\drawings\2-Basic Components\0000-310 - Sightglass\0000-310-005-A - Sightglass w.Wiper - DN200 PN0 - Welded.pdf", "PDF")</f>
        <v>PDF</v>
      </c>
    </row>
    <row r="490" spans="1:10" ht="15.75" outlineLevel="2">
      <c r="A490" s="498" t="s">
        <v>1168</v>
      </c>
      <c r="B490" s="2008" t="s">
        <v>239</v>
      </c>
      <c r="C490" s="3518" t="s">
        <v>240</v>
      </c>
      <c r="D490" s="5028"/>
      <c r="E490" s="6538" t="s">
        <v>32</v>
      </c>
      <c r="F490" s="8048" t="s">
        <v>241</v>
      </c>
      <c r="G490" s="9558" t="s">
        <v>15</v>
      </c>
      <c r="H490" s="11068">
        <v>52</v>
      </c>
      <c r="I490" s="12578" t="s">
        <v>16</v>
      </c>
      <c r="J490" s="13600" t="str">
        <f>HYPERLINK("\\192.168.170.18\drawings\2-Basic Components\0000-342 - Pipe Holders\0000-342-034-- - Pipe holder foot L=300.pdf", "PDF")</f>
        <v>PDF</v>
      </c>
    </row>
    <row r="491" spans="1:10" ht="15.75" outlineLevel="2">
      <c r="A491" s="499" t="s">
        <v>1169</v>
      </c>
      <c r="B491" s="2009" t="s">
        <v>251</v>
      </c>
      <c r="C491" s="3519" t="s">
        <v>252</v>
      </c>
      <c r="D491" s="5029" t="s">
        <v>253</v>
      </c>
      <c r="E491" s="6539" t="s">
        <v>32</v>
      </c>
      <c r="F491" s="8049" t="s">
        <v>254</v>
      </c>
      <c r="G491" s="9559" t="s">
        <v>15</v>
      </c>
      <c r="H491" s="11069">
        <v>1</v>
      </c>
      <c r="I491" s="12579" t="s">
        <v>16</v>
      </c>
      <c r="J491" s="13600" t="str">
        <f>HYPERLINK("\\192.168.170.18\drawings\2-Basic Components\0000-314 - Agitator\0000-314-504-A - Agitator Drive.pdf", "PDF")</f>
        <v>PDF</v>
      </c>
    </row>
    <row r="492" spans="1:10" ht="15.75" outlineLevel="2">
      <c r="A492" s="500" t="s">
        <v>1170</v>
      </c>
      <c r="B492" s="2010" t="s">
        <v>256</v>
      </c>
      <c r="C492" s="3520" t="s">
        <v>257</v>
      </c>
      <c r="D492" s="5030" t="s">
        <v>253</v>
      </c>
      <c r="E492" s="6540" t="s">
        <v>25</v>
      </c>
      <c r="F492" s="8050" t="s">
        <v>258</v>
      </c>
      <c r="G492" s="9560" t="s">
        <v>15</v>
      </c>
      <c r="H492" s="11070">
        <v>1</v>
      </c>
      <c r="I492" s="12580" t="s">
        <v>16</v>
      </c>
      <c r="J492" s="13600" t="str">
        <f>HYPERLINK("\\192.168.170.18\drawings\2-Basic Components\0000-314 - Agitator\0000-314-300-- - Agitator L=19152.pdf", "PDF")</f>
        <v>PDF</v>
      </c>
    </row>
    <row r="493" spans="1:10" outlineLevel="2">
      <c r="A493" s="501" t="s">
        <v>1171</v>
      </c>
      <c r="B493" s="2011" t="s">
        <v>260</v>
      </c>
      <c r="C493" s="3521" t="s">
        <v>261</v>
      </c>
      <c r="D493" s="5031"/>
      <c r="E493" s="6541" t="s">
        <v>41</v>
      </c>
      <c r="F493" s="8051" t="s">
        <v>262</v>
      </c>
      <c r="G493" s="9561" t="s">
        <v>15</v>
      </c>
      <c r="H493" s="11071">
        <v>1</v>
      </c>
      <c r="I493" s="12581" t="s">
        <v>16</v>
      </c>
      <c r="J493" t="s">
        <v>28</v>
      </c>
    </row>
    <row r="494" spans="1:10" ht="15.75" outlineLevel="2">
      <c r="A494" s="502" t="s">
        <v>1172</v>
      </c>
      <c r="B494" s="2012" t="s">
        <v>264</v>
      </c>
      <c r="C494" s="3522" t="s">
        <v>265</v>
      </c>
      <c r="D494" s="5032"/>
      <c r="E494" s="6542" t="s">
        <v>32</v>
      </c>
      <c r="F494" s="8052" t="s">
        <v>266</v>
      </c>
      <c r="G494" s="9562" t="s">
        <v>15</v>
      </c>
      <c r="H494" s="11072">
        <v>3</v>
      </c>
      <c r="I494" s="12582" t="s">
        <v>16</v>
      </c>
      <c r="J494" s="13600" t="str">
        <f>HYPERLINK("\\192.168.170.18\drawings\2-Basic Components\0000-301 - Tank Connection\0000-301-071-B - TC- Flange 15° DN50 PN10 L=170- BG.pdf", "PDF")</f>
        <v>PDF</v>
      </c>
    </row>
    <row r="495" spans="1:10" outlineLevel="2">
      <c r="A495" s="503" t="s">
        <v>1173</v>
      </c>
      <c r="B495" s="2013" t="s">
        <v>357</v>
      </c>
      <c r="C495" s="3523" t="s">
        <v>358</v>
      </c>
      <c r="D495" s="5033" t="s">
        <v>359</v>
      </c>
      <c r="E495" s="6543" t="s">
        <v>32</v>
      </c>
      <c r="F495" s="8053" t="s">
        <v>360</v>
      </c>
      <c r="G495" s="9563" t="s">
        <v>15</v>
      </c>
      <c r="H495" s="11073">
        <v>2</v>
      </c>
      <c r="I495" s="12583" t="s">
        <v>16</v>
      </c>
      <c r="J495" t="s">
        <v>28</v>
      </c>
    </row>
    <row r="496" spans="1:10" outlineLevel="2">
      <c r="A496" s="504" t="s">
        <v>1174</v>
      </c>
      <c r="B496" s="2014" t="s">
        <v>357</v>
      </c>
      <c r="C496" s="3524" t="s">
        <v>362</v>
      </c>
      <c r="D496" s="5034" t="s">
        <v>363</v>
      </c>
      <c r="E496" s="6544" t="s">
        <v>128</v>
      </c>
      <c r="F496" s="8054" t="s">
        <v>364</v>
      </c>
      <c r="G496" s="9564" t="s">
        <v>15</v>
      </c>
      <c r="H496" s="11074">
        <v>2</v>
      </c>
      <c r="I496" s="12584" t="s">
        <v>16</v>
      </c>
      <c r="J496" t="s">
        <v>28</v>
      </c>
    </row>
    <row r="497" spans="1:10" outlineLevel="2">
      <c r="A497" s="505" t="s">
        <v>1175</v>
      </c>
      <c r="B497" s="2015" t="s">
        <v>357</v>
      </c>
      <c r="C497" s="3525" t="s">
        <v>366</v>
      </c>
      <c r="D497" s="5035" t="s">
        <v>367</v>
      </c>
      <c r="E497" s="6545" t="s">
        <v>32</v>
      </c>
      <c r="F497" s="8055" t="s">
        <v>368</v>
      </c>
      <c r="G497" s="9565" t="s">
        <v>15</v>
      </c>
      <c r="H497" s="11075">
        <v>4</v>
      </c>
      <c r="I497" s="12585" t="s">
        <v>16</v>
      </c>
      <c r="J497" t="s">
        <v>28</v>
      </c>
    </row>
    <row r="498" spans="1:10" outlineLevel="2">
      <c r="A498" s="506" t="s">
        <v>1176</v>
      </c>
      <c r="B498" s="2016" t="s">
        <v>357</v>
      </c>
      <c r="C498" s="3526" t="s">
        <v>370</v>
      </c>
      <c r="D498" s="5036"/>
      <c r="E498" s="6546" t="s">
        <v>32</v>
      </c>
      <c r="F498" s="8056" t="s">
        <v>371</v>
      </c>
      <c r="G498" s="9566" t="s">
        <v>15</v>
      </c>
      <c r="H498" s="11076">
        <v>2</v>
      </c>
      <c r="I498" s="12586" t="s">
        <v>16</v>
      </c>
      <c r="J498" t="s">
        <v>28</v>
      </c>
    </row>
    <row r="499" spans="1:10" outlineLevel="2">
      <c r="A499" s="507" t="s">
        <v>1177</v>
      </c>
      <c r="B499" s="2017" t="s">
        <v>357</v>
      </c>
      <c r="C499" s="3527" t="s">
        <v>373</v>
      </c>
      <c r="D499" s="5037"/>
      <c r="E499" s="6547" t="s">
        <v>32</v>
      </c>
      <c r="F499" s="8057" t="s">
        <v>374</v>
      </c>
      <c r="G499" s="9567" t="s">
        <v>15</v>
      </c>
      <c r="H499" s="11077">
        <v>4</v>
      </c>
      <c r="I499" s="12587" t="s">
        <v>16</v>
      </c>
      <c r="J499" t="s">
        <v>28</v>
      </c>
    </row>
    <row r="500" spans="1:10" outlineLevel="2">
      <c r="A500" s="508" t="s">
        <v>1178</v>
      </c>
      <c r="B500" s="2018" t="s">
        <v>247</v>
      </c>
      <c r="C500" s="3528" t="s">
        <v>311</v>
      </c>
      <c r="D500" s="5038"/>
      <c r="E500" s="6548" t="s">
        <v>83</v>
      </c>
      <c r="F500" s="8058" t="s">
        <v>376</v>
      </c>
      <c r="G500" s="9568" t="s">
        <v>27</v>
      </c>
      <c r="H500" s="11078">
        <v>4</v>
      </c>
      <c r="I500" s="12588"/>
      <c r="J500" t="s">
        <v>28</v>
      </c>
    </row>
    <row r="501" spans="1:10" outlineLevel="2">
      <c r="A501" s="509" t="s">
        <v>1179</v>
      </c>
      <c r="B501" s="2019" t="s">
        <v>247</v>
      </c>
      <c r="C501" s="3529" t="s">
        <v>248</v>
      </c>
      <c r="D501" s="5039"/>
      <c r="E501" s="6549" t="s">
        <v>32</v>
      </c>
      <c r="F501" s="8059" t="s">
        <v>249</v>
      </c>
      <c r="G501" s="9569" t="s">
        <v>27</v>
      </c>
      <c r="H501" s="11079">
        <v>2</v>
      </c>
      <c r="I501" s="12589"/>
      <c r="J501" t="s">
        <v>28</v>
      </c>
    </row>
    <row r="502" spans="1:10" outlineLevel="2">
      <c r="A502" s="510" t="s">
        <v>1180</v>
      </c>
      <c r="B502" s="2020" t="s">
        <v>247</v>
      </c>
      <c r="C502" s="3530" t="s">
        <v>378</v>
      </c>
      <c r="D502" s="5040"/>
      <c r="E502" s="6550" t="s">
        <v>32</v>
      </c>
      <c r="F502" s="8060" t="s">
        <v>379</v>
      </c>
      <c r="G502" s="9570" t="s">
        <v>27</v>
      </c>
      <c r="H502" s="11080">
        <v>2</v>
      </c>
      <c r="I502" s="12590"/>
      <c r="J502" t="s">
        <v>28</v>
      </c>
    </row>
    <row r="503" spans="1:10" outlineLevel="2">
      <c r="A503" s="511" t="s">
        <v>1181</v>
      </c>
      <c r="B503" s="2021" t="s">
        <v>357</v>
      </c>
      <c r="C503" s="3531" t="s">
        <v>381</v>
      </c>
      <c r="D503" s="5041" t="s">
        <v>382</v>
      </c>
      <c r="E503" s="6551" t="s">
        <v>32</v>
      </c>
      <c r="F503" s="8061" t="s">
        <v>383</v>
      </c>
      <c r="G503" s="9571" t="s">
        <v>15</v>
      </c>
      <c r="H503" s="11081">
        <v>2</v>
      </c>
      <c r="I503" s="12591" t="s">
        <v>16</v>
      </c>
      <c r="J503" t="s">
        <v>28</v>
      </c>
    </row>
    <row r="504" spans="1:10" outlineLevel="2">
      <c r="A504" s="512" t="s">
        <v>1182</v>
      </c>
      <c r="B504" s="2022" t="s">
        <v>247</v>
      </c>
      <c r="C504" s="3532" t="s">
        <v>385</v>
      </c>
      <c r="D504" s="5042" t="s">
        <v>386</v>
      </c>
      <c r="E504" s="6552" t="s">
        <v>25</v>
      </c>
      <c r="F504" s="8062" t="s">
        <v>387</v>
      </c>
      <c r="G504" s="9572" t="s">
        <v>27</v>
      </c>
      <c r="H504" s="11082">
        <v>2</v>
      </c>
      <c r="I504" s="12592" t="s">
        <v>16</v>
      </c>
      <c r="J504" t="s">
        <v>28</v>
      </c>
    </row>
    <row r="505" spans="1:10" outlineLevel="2">
      <c r="A505" s="513" t="s">
        <v>1183</v>
      </c>
      <c r="B505" s="2023" t="s">
        <v>268</v>
      </c>
      <c r="C505" s="3533" t="s">
        <v>269</v>
      </c>
      <c r="D505" s="5043"/>
      <c r="E505" s="6553" t="s">
        <v>41</v>
      </c>
      <c r="F505" s="8063" t="s">
        <v>270</v>
      </c>
      <c r="G505" s="9573" t="s">
        <v>15</v>
      </c>
      <c r="H505" s="11083">
        <v>2</v>
      </c>
      <c r="I505" s="12593" t="s">
        <v>16</v>
      </c>
      <c r="J505" t="s">
        <v>28</v>
      </c>
    </row>
    <row r="506" spans="1:10" outlineLevel="2">
      <c r="A506" s="514" t="s">
        <v>1184</v>
      </c>
      <c r="B506" s="2024" t="s">
        <v>268</v>
      </c>
      <c r="C506" s="3534" t="s">
        <v>272</v>
      </c>
      <c r="D506" s="5044"/>
      <c r="E506" s="6554" t="s">
        <v>41</v>
      </c>
      <c r="F506" s="8064" t="s">
        <v>273</v>
      </c>
      <c r="G506" s="9574" t="s">
        <v>15</v>
      </c>
      <c r="H506" s="11084">
        <v>4</v>
      </c>
      <c r="I506" s="12594" t="s">
        <v>16</v>
      </c>
      <c r="J506" t="s">
        <v>28</v>
      </c>
    </row>
    <row r="507" spans="1:10" outlineLevel="2">
      <c r="A507" s="515" t="s">
        <v>1185</v>
      </c>
      <c r="B507" s="2025" t="s">
        <v>275</v>
      </c>
      <c r="C507" s="3535" t="s">
        <v>276</v>
      </c>
      <c r="D507" s="5045"/>
      <c r="E507" s="6555" t="s">
        <v>41</v>
      </c>
      <c r="F507" s="8065" t="s">
        <v>277</v>
      </c>
      <c r="G507" s="9575" t="s">
        <v>15</v>
      </c>
      <c r="H507" s="11085">
        <v>2</v>
      </c>
      <c r="I507" s="12595" t="s">
        <v>16</v>
      </c>
      <c r="J507" t="s">
        <v>28</v>
      </c>
    </row>
    <row r="508" spans="1:10" outlineLevel="2">
      <c r="A508" s="516" t="s">
        <v>1186</v>
      </c>
      <c r="B508" s="2026" t="s">
        <v>268</v>
      </c>
      <c r="C508" s="3536" t="s">
        <v>279</v>
      </c>
      <c r="D508" s="5046"/>
      <c r="E508" s="6556" t="s">
        <v>41</v>
      </c>
      <c r="F508" s="8066" t="s">
        <v>280</v>
      </c>
      <c r="G508" s="9576" t="s">
        <v>15</v>
      </c>
      <c r="H508" s="11086">
        <v>2</v>
      </c>
      <c r="I508" s="12596" t="s">
        <v>16</v>
      </c>
      <c r="J508" t="s">
        <v>28</v>
      </c>
    </row>
    <row r="509" spans="1:10" ht="15.75" outlineLevel="2">
      <c r="A509" s="517" t="s">
        <v>1187</v>
      </c>
      <c r="B509" s="2027" t="s">
        <v>282</v>
      </c>
      <c r="C509" s="3537" t="s">
        <v>283</v>
      </c>
      <c r="D509" s="5047"/>
      <c r="E509" s="6557" t="s">
        <v>25</v>
      </c>
      <c r="F509" s="8067" t="s">
        <v>284</v>
      </c>
      <c r="G509" s="9577" t="s">
        <v>15</v>
      </c>
      <c r="H509" s="11087">
        <v>1</v>
      </c>
      <c r="I509" s="12597" t="s">
        <v>16</v>
      </c>
      <c r="J509" s="13600" t="str">
        <f>HYPERLINK("\\192.168.170.18\drawings\2-Basic Components\0000-315 - Central Flange\0000-315-003-A - Trap DN500 - pressure = 35 mbar_vacuum = -3 mbar.pdf", "PDF")</f>
        <v>PDF</v>
      </c>
    </row>
    <row r="510" spans="1:10" ht="15.75" outlineLevel="2">
      <c r="A510" s="518" t="s">
        <v>1188</v>
      </c>
      <c r="B510" s="2028" t="s">
        <v>286</v>
      </c>
      <c r="C510" s="3538" t="s">
        <v>287</v>
      </c>
      <c r="D510" s="5048"/>
      <c r="E510" s="6558" t="s">
        <v>32</v>
      </c>
      <c r="F510" s="8068" t="s">
        <v>288</v>
      </c>
      <c r="G510" s="9578" t="s">
        <v>15</v>
      </c>
      <c r="H510" s="11088">
        <v>4</v>
      </c>
      <c r="I510" s="12598" t="s">
        <v>16</v>
      </c>
      <c r="J510" s="13600" t="str">
        <f>HYPERLINK("\\192.168.170.18\drawings\2-Basic Components\0000-301 - Tank Connection\0000-301-120-- - TC- Flange Elbow DN150 PN10 L=450 - BM.pdf", "PDF")</f>
        <v>PDF</v>
      </c>
    </row>
    <row r="511" spans="1:10" ht="15.75" outlineLevel="2">
      <c r="A511" s="519" t="s">
        <v>1189</v>
      </c>
      <c r="B511" s="2029" t="s">
        <v>290</v>
      </c>
      <c r="C511" s="3539" t="s">
        <v>291</v>
      </c>
      <c r="D511" s="5049"/>
      <c r="E511" s="6559" t="s">
        <v>32</v>
      </c>
      <c r="F511" s="8069" t="s">
        <v>292</v>
      </c>
      <c r="G511" s="9579" t="s">
        <v>15</v>
      </c>
      <c r="H511" s="11089">
        <v>1</v>
      </c>
      <c r="I511" s="12599"/>
      <c r="J511" s="13600" t="str">
        <f>HYPERLINK("\\192.168.170.18\drawings\2-Basic Components\0000-321 - Straight Connection\0000-321-106-- - Biomass - Straight Connection - DN100x6m.pdf", "PDF")</f>
        <v>PDF</v>
      </c>
    </row>
    <row r="512" spans="1:10" ht="15.75" outlineLevel="2">
      <c r="A512" s="520" t="s">
        <v>1190</v>
      </c>
      <c r="B512" s="2030" t="s">
        <v>294</v>
      </c>
      <c r="C512" s="3540" t="s">
        <v>295</v>
      </c>
      <c r="D512" s="5050"/>
      <c r="E512" s="6560" t="s">
        <v>32</v>
      </c>
      <c r="F512" s="8070" t="s">
        <v>296</v>
      </c>
      <c r="G512" s="9580" t="s">
        <v>15</v>
      </c>
      <c r="H512" s="11090">
        <v>4</v>
      </c>
      <c r="I512" s="12600"/>
      <c r="J512" s="13600" t="str">
        <f>HYPERLINK("\\192.168.170.18\drawings\2-Basic Components\0000-342 - Pipe Holders\0000-342-270-B - DN100 Pipeholder for bottom mounting.pdf", "PDF")</f>
        <v>PDF</v>
      </c>
    </row>
    <row r="513" spans="1:10" ht="15.75" outlineLevel="2">
      <c r="A513" s="521" t="s">
        <v>1191</v>
      </c>
      <c r="B513" s="2031" t="s">
        <v>298</v>
      </c>
      <c r="C513" s="3541" t="s">
        <v>299</v>
      </c>
      <c r="D513" s="5051"/>
      <c r="E513" s="6561" t="s">
        <v>32</v>
      </c>
      <c r="F513" s="8071" t="s">
        <v>300</v>
      </c>
      <c r="G513" s="9581" t="s">
        <v>15</v>
      </c>
      <c r="H513" s="11091">
        <v>2</v>
      </c>
      <c r="I513" s="12601" t="s">
        <v>16</v>
      </c>
      <c r="J513" s="13600" t="str">
        <f>HYPERLINK("\\192.168.170.18\drawings\2-Basic Components\0000-301 - Tank Connection\0000-301-119-- - TC- Flange DN150 PN10 L=330 - BM.pdf", "PDF")</f>
        <v>PDF</v>
      </c>
    </row>
    <row r="514" spans="1:10" ht="15.75" outlineLevel="2">
      <c r="A514" s="522" t="s">
        <v>1192</v>
      </c>
      <c r="B514" s="2032" t="s">
        <v>302</v>
      </c>
      <c r="C514" s="3542" t="s">
        <v>303</v>
      </c>
      <c r="D514" s="5052" t="s">
        <v>304</v>
      </c>
      <c r="E514" s="6562" t="s">
        <v>32</v>
      </c>
      <c r="F514" s="8072" t="s">
        <v>305</v>
      </c>
      <c r="G514" s="9582" t="s">
        <v>15</v>
      </c>
      <c r="H514" s="11092">
        <v>1</v>
      </c>
      <c r="I514" s="12602" t="s">
        <v>16</v>
      </c>
      <c r="J514" s="13600" t="str">
        <f>HYPERLINK("\\192.168.170.18\drawings\2-Basic Components\0000-321 - Straight Connection\0000-321-103-A - Outlet pipe DN100 - Biomass.pdf", "PDF")</f>
        <v>PDF</v>
      </c>
    </row>
    <row r="515" spans="1:10" ht="15.75" outlineLevel="2">
      <c r="A515" s="523" t="s">
        <v>1193</v>
      </c>
      <c r="B515" s="2033" t="s">
        <v>307</v>
      </c>
      <c r="C515" s="3543" t="s">
        <v>308</v>
      </c>
      <c r="D515" s="5053"/>
      <c r="E515" s="6563" t="s">
        <v>32</v>
      </c>
      <c r="F515" s="8073" t="s">
        <v>309</v>
      </c>
      <c r="G515" s="9583" t="s">
        <v>15</v>
      </c>
      <c r="H515" s="11093">
        <v>2</v>
      </c>
      <c r="I515" s="12603" t="s">
        <v>16</v>
      </c>
      <c r="J515" s="13600" t="str">
        <f>HYPERLINK("\\192.168.170.18\drawings\2-Basic Components\0000-301 - Tank Connection\0000-301-122-- - TC- Flange DN150 PN10 L=330 - BM.pdf", "PDF")</f>
        <v>PDF</v>
      </c>
    </row>
    <row r="516" spans="1:10" outlineLevel="2">
      <c r="A516" s="524" t="s">
        <v>1194</v>
      </c>
      <c r="B516" s="2034" t="s">
        <v>247</v>
      </c>
      <c r="C516" s="3544" t="s">
        <v>311</v>
      </c>
      <c r="D516" s="5054"/>
      <c r="E516" s="6564" t="s">
        <v>25</v>
      </c>
      <c r="F516" s="8074" t="s">
        <v>312</v>
      </c>
      <c r="G516" s="9584" t="s">
        <v>27</v>
      </c>
      <c r="H516" s="11094">
        <v>1</v>
      </c>
      <c r="I516" s="12604"/>
      <c r="J516" t="s">
        <v>28</v>
      </c>
    </row>
    <row r="517" spans="1:10" ht="15.75" outlineLevel="2">
      <c r="A517" s="525" t="s">
        <v>1195</v>
      </c>
      <c r="B517" s="2035" t="s">
        <v>314</v>
      </c>
      <c r="C517" s="3545" t="s">
        <v>315</v>
      </c>
      <c r="D517" s="5055"/>
      <c r="E517" s="6565" t="s">
        <v>32</v>
      </c>
      <c r="F517" s="8075" t="s">
        <v>316</v>
      </c>
      <c r="G517" s="9585" t="s">
        <v>15</v>
      </c>
      <c r="H517" s="11095">
        <v>1</v>
      </c>
      <c r="I517" s="12605" t="s">
        <v>16</v>
      </c>
      <c r="J517" s="13600" t="str">
        <f>HYPERLINK("\\192.168.170.18\drawings\2-Basic Components\0000-321 - Straight Connection\0000-321-109-- - Biomass - Straight Connection - DN100x6m.pdf", "PDF")</f>
        <v>PDF</v>
      </c>
    </row>
    <row r="518" spans="1:10" ht="15.75" outlineLevel="2">
      <c r="A518" s="526" t="s">
        <v>1196</v>
      </c>
      <c r="B518" s="2036" t="s">
        <v>318</v>
      </c>
      <c r="C518" s="3546" t="s">
        <v>319</v>
      </c>
      <c r="D518" s="5056"/>
      <c r="E518" s="6566" t="s">
        <v>32</v>
      </c>
      <c r="F518" s="8076" t="s">
        <v>320</v>
      </c>
      <c r="G518" s="9586" t="s">
        <v>15</v>
      </c>
      <c r="H518" s="11096">
        <v>4</v>
      </c>
      <c r="I518" s="12606" t="s">
        <v>16</v>
      </c>
      <c r="J518" s="13600" t="str">
        <f>HYPERLINK("\\192.168.170.18\drawings\2-Basic Components\0000-342 - Pipe Holders\0000-342-274-- - DN125 Pipeholder for bottom mounting.pdf", "PDF")</f>
        <v>PDF</v>
      </c>
    </row>
    <row r="519" spans="1:10" ht="15.75" outlineLevel="2">
      <c r="A519" s="527" t="s">
        <v>1197</v>
      </c>
      <c r="B519" s="2037" t="s">
        <v>322</v>
      </c>
      <c r="C519" s="3547" t="s">
        <v>323</v>
      </c>
      <c r="D519" s="5057"/>
      <c r="E519" s="6567" t="s">
        <v>32</v>
      </c>
      <c r="F519" s="8077" t="s">
        <v>324</v>
      </c>
      <c r="G519" s="9587" t="s">
        <v>15</v>
      </c>
      <c r="H519" s="11097">
        <v>3</v>
      </c>
      <c r="I519" s="12607" t="s">
        <v>16</v>
      </c>
      <c r="J519" s="13600" t="str">
        <f>HYPERLINK("\\192.168.170.18\drawings\2-Basic Components\0000-301 - Tank Connection\0000-301-123-- - TC- Flange Elbow DN200 PN10 L=450 - BM.pdf", "PDF")</f>
        <v>PDF</v>
      </c>
    </row>
    <row r="520" spans="1:10" ht="15.75" outlineLevel="2">
      <c r="A520" s="528" t="s">
        <v>1198</v>
      </c>
      <c r="B520" s="2038" t="s">
        <v>326</v>
      </c>
      <c r="C520" s="3548" t="s">
        <v>327</v>
      </c>
      <c r="D520" s="5058"/>
      <c r="E520" s="6568" t="s">
        <v>32</v>
      </c>
      <c r="F520" s="8078" t="s">
        <v>328</v>
      </c>
      <c r="G520" s="9588" t="s">
        <v>15</v>
      </c>
      <c r="H520" s="11098">
        <v>6</v>
      </c>
      <c r="I520" s="12608" t="s">
        <v>16</v>
      </c>
      <c r="J520" s="13600" t="str">
        <f>HYPERLINK("\\192.168.170.18\drawings\2-Basic Components\0000-301 - Tank Connection\0000-301-124-- - TC- Flange DN200 PN10 L=330 - BM.pdf", "PDF")</f>
        <v>PDF</v>
      </c>
    </row>
    <row r="521" spans="1:10" ht="15.75" outlineLevel="2">
      <c r="A521" s="529" t="s">
        <v>1199</v>
      </c>
      <c r="B521" s="2039" t="s">
        <v>330</v>
      </c>
      <c r="C521" s="3549" t="s">
        <v>331</v>
      </c>
      <c r="D521" s="5059"/>
      <c r="E521" s="6569" t="s">
        <v>32</v>
      </c>
      <c r="F521" s="8079" t="s">
        <v>332</v>
      </c>
      <c r="G521" s="9589" t="s">
        <v>15</v>
      </c>
      <c r="H521" s="11099">
        <v>3</v>
      </c>
      <c r="I521" s="12609" t="s">
        <v>16</v>
      </c>
      <c r="J521" s="13600" t="str">
        <f>HYPERLINK("\\192.168.170.18\drawings\2-Basic Components\0000-321 - Straight Connection\0000-321-157-- - Biomass - Straigth Connection - DN200x6m.pdf", "PDF")</f>
        <v>PDF</v>
      </c>
    </row>
    <row r="522" spans="1:10" outlineLevel="2">
      <c r="A522" s="530" t="s">
        <v>1200</v>
      </c>
      <c r="B522" s="2040" t="s">
        <v>334</v>
      </c>
      <c r="C522" s="3550" t="s">
        <v>335</v>
      </c>
      <c r="D522" s="5060"/>
      <c r="E522" s="6570" t="s">
        <v>32</v>
      </c>
      <c r="F522" s="8080" t="s">
        <v>336</v>
      </c>
      <c r="G522" s="9590" t="s">
        <v>15</v>
      </c>
      <c r="H522" s="11100">
        <v>12</v>
      </c>
      <c r="I522" s="12610" t="s">
        <v>16</v>
      </c>
      <c r="J522" t="s">
        <v>28</v>
      </c>
    </row>
    <row r="523" spans="1:10" ht="15.75" outlineLevel="2">
      <c r="A523" s="531" t="s">
        <v>1201</v>
      </c>
      <c r="B523" s="2041" t="s">
        <v>344</v>
      </c>
      <c r="C523" s="3551" t="s">
        <v>345</v>
      </c>
      <c r="D523" s="5061" t="s">
        <v>346</v>
      </c>
      <c r="E523" s="6571" t="s">
        <v>32</v>
      </c>
      <c r="F523" s="8081" t="s">
        <v>347</v>
      </c>
      <c r="G523" s="9591" t="s">
        <v>15</v>
      </c>
      <c r="H523" s="11101">
        <v>1</v>
      </c>
      <c r="I523" s="12611" t="s">
        <v>16</v>
      </c>
      <c r="J523" s="13600" t="str">
        <f>HYPERLINK("\\192.168.170.18\drawings\2-Basic Components\0000-315 - Central Flange\0000-315-005-A - Central flange 5200 - DN250 assembly.pdf", "PDF")</f>
        <v>PDF</v>
      </c>
    </row>
    <row r="524" spans="1:10" ht="15.75" outlineLevel="2">
      <c r="A524" s="532" t="s">
        <v>1202</v>
      </c>
      <c r="B524" s="2042" t="s">
        <v>349</v>
      </c>
      <c r="C524" s="3552" t="s">
        <v>350</v>
      </c>
      <c r="D524" s="5062" t="s">
        <v>304</v>
      </c>
      <c r="E524" s="6572" t="s">
        <v>32</v>
      </c>
      <c r="F524" s="8082" t="s">
        <v>351</v>
      </c>
      <c r="G524" s="9592" t="s">
        <v>15</v>
      </c>
      <c r="H524" s="11102">
        <v>3</v>
      </c>
      <c r="I524" s="12612" t="s">
        <v>16</v>
      </c>
      <c r="J524" s="13600" t="str">
        <f>HYPERLINK("\\192.168.170.18\drawings\2-Basic Components\0000-321 - Straight Connection\0000-321-158-A - Outlet Pipe DN200 - Biomass.pdf", "PDF")</f>
        <v>PDF</v>
      </c>
    </row>
    <row r="525" spans="1:10" ht="15.75" outlineLevel="2">
      <c r="A525" s="533" t="s">
        <v>1203</v>
      </c>
      <c r="B525" s="2043" t="s">
        <v>353</v>
      </c>
      <c r="C525" s="3553" t="s">
        <v>354</v>
      </c>
      <c r="D525" s="5063" t="s">
        <v>304</v>
      </c>
      <c r="E525" s="6573" t="s">
        <v>32</v>
      </c>
      <c r="F525" s="8083" t="s">
        <v>355</v>
      </c>
      <c r="G525" s="9593" t="s">
        <v>15</v>
      </c>
      <c r="H525" s="11103">
        <v>1</v>
      </c>
      <c r="I525" s="12613" t="s">
        <v>16</v>
      </c>
      <c r="J525" s="13600" t="str">
        <f>HYPERLINK("\\192.168.170.18\drawings\2-Basic Components\0000-321 - Straight Connection\0000-321-108-A - Outlet pipe DN125 - Biomass.pdf", "PDF")</f>
        <v>PDF</v>
      </c>
    </row>
    <row r="526" spans="1:10" outlineLevel="2">
      <c r="A526" s="534" t="s">
        <v>1204</v>
      </c>
      <c r="B526" s="2044" t="s">
        <v>1205</v>
      </c>
      <c r="C526" s="3554" t="s">
        <v>488</v>
      </c>
      <c r="D526" s="5064" t="s">
        <v>340</v>
      </c>
      <c r="E526" s="6574" t="s">
        <v>341</v>
      </c>
      <c r="F526" s="8084" t="s">
        <v>1206</v>
      </c>
      <c r="G526" s="9594" t="s">
        <v>15</v>
      </c>
      <c r="H526" s="11104">
        <v>1</v>
      </c>
      <c r="I526" s="12614" t="s">
        <v>16</v>
      </c>
      <c r="J526" t="s">
        <v>28</v>
      </c>
    </row>
    <row r="527" spans="1:10" outlineLevel="2">
      <c r="A527" s="535" t="s">
        <v>1207</v>
      </c>
      <c r="B527" s="2045" t="s">
        <v>247</v>
      </c>
      <c r="C527" s="3555" t="s">
        <v>389</v>
      </c>
      <c r="D527" s="5065"/>
      <c r="E527" s="6575" t="s">
        <v>83</v>
      </c>
      <c r="F527" s="8085" t="s">
        <v>390</v>
      </c>
      <c r="G527" s="9595" t="s">
        <v>27</v>
      </c>
      <c r="H527" s="11105">
        <v>2</v>
      </c>
      <c r="I527" s="12615"/>
      <c r="J527" t="s">
        <v>28</v>
      </c>
    </row>
    <row r="528" spans="1:10" outlineLevel="2">
      <c r="A528" s="536" t="s">
        <v>1208</v>
      </c>
      <c r="B528" s="2046" t="s">
        <v>243</v>
      </c>
      <c r="C528" s="3556" t="s">
        <v>392</v>
      </c>
      <c r="D528" s="5066"/>
      <c r="E528" s="6576" t="s">
        <v>32</v>
      </c>
      <c r="F528" s="8086" t="s">
        <v>393</v>
      </c>
      <c r="G528" s="9596" t="s">
        <v>15</v>
      </c>
      <c r="H528" s="11106">
        <v>2</v>
      </c>
      <c r="I528" s="12616" t="s">
        <v>16</v>
      </c>
      <c r="J528" t="s">
        <v>28</v>
      </c>
    </row>
    <row r="529" spans="1:10" outlineLevel="1">
      <c r="A529" s="537" t="s">
        <v>1209</v>
      </c>
      <c r="B529" s="2047" t="s">
        <v>1210</v>
      </c>
      <c r="C529" s="3557" t="s">
        <v>498</v>
      </c>
      <c r="D529" s="5067" t="s">
        <v>13</v>
      </c>
      <c r="E529" s="6577" t="s">
        <v>153</v>
      </c>
      <c r="F529" s="8087" t="s">
        <v>1211</v>
      </c>
      <c r="G529" s="9597" t="s">
        <v>15</v>
      </c>
      <c r="H529" s="11107">
        <v>1</v>
      </c>
      <c r="I529" s="12617" t="s">
        <v>16</v>
      </c>
      <c r="J529" t="s">
        <v>28</v>
      </c>
    </row>
    <row r="530" spans="1:10" outlineLevel="1">
      <c r="A530" s="538" t="s">
        <v>1212</v>
      </c>
      <c r="B530" s="2048" t="s">
        <v>501</v>
      </c>
      <c r="C530" s="3558" t="s">
        <v>502</v>
      </c>
      <c r="D530" s="5068"/>
      <c r="E530" s="6578" t="s">
        <v>41</v>
      </c>
      <c r="F530" s="8088" t="s">
        <v>503</v>
      </c>
      <c r="G530" s="9598" t="s">
        <v>15</v>
      </c>
      <c r="H530" s="11108">
        <v>2</v>
      </c>
      <c r="I530" s="12618" t="s">
        <v>16</v>
      </c>
      <c r="J530" t="s">
        <v>28</v>
      </c>
    </row>
    <row r="531" spans="1:10" outlineLevel="1">
      <c r="A531" s="539" t="s">
        <v>1213</v>
      </c>
      <c r="B531" s="2049" t="s">
        <v>501</v>
      </c>
      <c r="C531" s="3559" t="s">
        <v>505</v>
      </c>
      <c r="D531" s="5069"/>
      <c r="E531" s="6579" t="s">
        <v>41</v>
      </c>
      <c r="F531" s="8089" t="s">
        <v>506</v>
      </c>
      <c r="G531" s="9599" t="s">
        <v>15</v>
      </c>
      <c r="H531" s="11109">
        <v>1</v>
      </c>
      <c r="I531" s="12619" t="s">
        <v>16</v>
      </c>
      <c r="J531" t="s">
        <v>28</v>
      </c>
    </row>
    <row r="532" spans="1:10" outlineLevel="1">
      <c r="A532" s="540" t="s">
        <v>1214</v>
      </c>
      <c r="B532" s="2050" t="s">
        <v>508</v>
      </c>
      <c r="C532" s="3560"/>
      <c r="D532" s="5070"/>
      <c r="E532" s="6580" t="s">
        <v>32</v>
      </c>
      <c r="F532" s="8090" t="s">
        <v>509</v>
      </c>
      <c r="G532" s="9600" t="s">
        <v>15</v>
      </c>
      <c r="H532" s="11110">
        <v>1</v>
      </c>
      <c r="I532" s="12620" t="s">
        <v>16</v>
      </c>
      <c r="J532" t="s">
        <v>28</v>
      </c>
    </row>
    <row r="533" spans="1:10" outlineLevel="1">
      <c r="A533" s="541" t="s">
        <v>1215</v>
      </c>
      <c r="B533" s="2051" t="s">
        <v>515</v>
      </c>
      <c r="C533" s="3561"/>
      <c r="D533" s="5071"/>
      <c r="E533" s="6581" t="s">
        <v>32</v>
      </c>
      <c r="F533" s="8091" t="s">
        <v>516</v>
      </c>
      <c r="G533" s="9601" t="s">
        <v>15</v>
      </c>
      <c r="H533" s="11111">
        <v>1</v>
      </c>
      <c r="I533" s="12621" t="s">
        <v>16</v>
      </c>
      <c r="J533" t="s">
        <v>28</v>
      </c>
    </row>
    <row r="534" spans="1:10" outlineLevel="1">
      <c r="A534" s="542" t="s">
        <v>1216</v>
      </c>
      <c r="B534" s="2052" t="s">
        <v>511</v>
      </c>
      <c r="C534" s="3562"/>
      <c r="D534" s="5072"/>
      <c r="E534" s="6582" t="s">
        <v>512</v>
      </c>
      <c r="F534" s="8092" t="s">
        <v>513</v>
      </c>
      <c r="G534" s="9602" t="s">
        <v>15</v>
      </c>
      <c r="H534" s="11112">
        <v>1</v>
      </c>
      <c r="I534" s="12622" t="s">
        <v>16</v>
      </c>
      <c r="J534" t="s">
        <v>28</v>
      </c>
    </row>
    <row r="535" spans="1:10" outlineLevel="1">
      <c r="A535" s="543" t="s">
        <v>1217</v>
      </c>
      <c r="B535" s="2053" t="s">
        <v>1218</v>
      </c>
      <c r="C535" s="3563"/>
      <c r="D535" s="5073"/>
      <c r="E535" s="6583"/>
      <c r="F535" s="8093" t="s">
        <v>1219</v>
      </c>
      <c r="G535" s="9603" t="s">
        <v>15</v>
      </c>
      <c r="H535" s="11113">
        <v>1</v>
      </c>
      <c r="I535" s="12623"/>
      <c r="J535" t="s">
        <v>28</v>
      </c>
    </row>
    <row r="536" spans="1:10" outlineLevel="2">
      <c r="A536" s="544" t="s">
        <v>1220</v>
      </c>
      <c r="B536" s="2054" t="s">
        <v>525</v>
      </c>
      <c r="C536" s="3564" t="s">
        <v>526</v>
      </c>
      <c r="D536" s="5074"/>
      <c r="E536" s="6584" t="s">
        <v>208</v>
      </c>
      <c r="F536" s="8094" t="s">
        <v>527</v>
      </c>
      <c r="G536" s="9604" t="s">
        <v>27</v>
      </c>
      <c r="H536" s="11114">
        <v>4</v>
      </c>
      <c r="I536" s="12624"/>
      <c r="J536" t="s">
        <v>28</v>
      </c>
    </row>
    <row r="537" spans="1:10" outlineLevel="2">
      <c r="A537" s="545" t="s">
        <v>1221</v>
      </c>
      <c r="B537" s="2055" t="s">
        <v>81</v>
      </c>
      <c r="C537" s="3565" t="s">
        <v>529</v>
      </c>
      <c r="D537" s="5075"/>
      <c r="E537" s="6585" t="s">
        <v>97</v>
      </c>
      <c r="F537" s="8095" t="s">
        <v>530</v>
      </c>
      <c r="G537" s="9605" t="s">
        <v>15</v>
      </c>
      <c r="H537" s="11115">
        <v>4</v>
      </c>
      <c r="I537" s="12625"/>
      <c r="J537" t="s">
        <v>28</v>
      </c>
    </row>
    <row r="538" spans="1:10" outlineLevel="2">
      <c r="A538" s="546" t="s">
        <v>1222</v>
      </c>
      <c r="B538" s="2056" t="s">
        <v>532</v>
      </c>
      <c r="C538" s="3566" t="s">
        <v>533</v>
      </c>
      <c r="D538" s="5076"/>
      <c r="E538" s="6586" t="s">
        <v>16</v>
      </c>
      <c r="F538" s="8096" t="s">
        <v>534</v>
      </c>
      <c r="G538" s="9606" t="s">
        <v>27</v>
      </c>
      <c r="H538" s="11116">
        <v>4</v>
      </c>
      <c r="I538" s="12626"/>
      <c r="J538" t="s">
        <v>28</v>
      </c>
    </row>
    <row r="539" spans="1:10" outlineLevel="2">
      <c r="A539" s="547" t="s">
        <v>1223</v>
      </c>
      <c r="B539" s="2057" t="s">
        <v>536</v>
      </c>
      <c r="C539" s="3567" t="s">
        <v>537</v>
      </c>
      <c r="D539" s="5077"/>
      <c r="E539" s="6587" t="s">
        <v>208</v>
      </c>
      <c r="F539" s="8097" t="s">
        <v>538</v>
      </c>
      <c r="G539" s="9607" t="s">
        <v>27</v>
      </c>
      <c r="H539" s="11117">
        <v>4</v>
      </c>
      <c r="I539" s="12627" t="s">
        <v>16</v>
      </c>
      <c r="J539" t="s">
        <v>28</v>
      </c>
    </row>
    <row r="540" spans="1:10" ht="15.75" outlineLevel="2">
      <c r="A540" s="548" t="s">
        <v>1224</v>
      </c>
      <c r="B540" s="2058" t="s">
        <v>1225</v>
      </c>
      <c r="C540" s="3568" t="s">
        <v>1226</v>
      </c>
      <c r="D540" s="5078"/>
      <c r="E540" s="6588" t="s">
        <v>32</v>
      </c>
      <c r="F540" s="8098" t="s">
        <v>1227</v>
      </c>
      <c r="G540" s="9608" t="s">
        <v>15</v>
      </c>
      <c r="H540" s="11118">
        <v>1</v>
      </c>
      <c r="I540" s="12628"/>
      <c r="J540" s="13600" t="str">
        <f>HYPERLINK("\\192.168.170.18\drawings\2-Basic Components\0000-316 - Heat-Exchangers\0000-316-010-- - 4 HEX Water-Biomass Ver. 01.pdf", "PDF")</f>
        <v>PDF</v>
      </c>
    </row>
    <row r="541" spans="1:10" outlineLevel="1">
      <c r="A541" s="549" t="s">
        <v>1228</v>
      </c>
      <c r="B541" s="2059" t="s">
        <v>1229</v>
      </c>
      <c r="C541" s="3569" t="s">
        <v>19</v>
      </c>
      <c r="D541" s="5079" t="s">
        <v>571</v>
      </c>
      <c r="E541" s="6589"/>
      <c r="F541" s="8099" t="s">
        <v>1230</v>
      </c>
      <c r="G541" s="9609" t="s">
        <v>15</v>
      </c>
      <c r="H541" s="11119">
        <v>1</v>
      </c>
      <c r="I541" s="12629" t="s">
        <v>16</v>
      </c>
      <c r="J541" t="s">
        <v>28</v>
      </c>
    </row>
    <row r="542" spans="1:10" outlineLevel="2">
      <c r="A542" s="550" t="s">
        <v>1231</v>
      </c>
      <c r="B542" s="2060" t="s">
        <v>23</v>
      </c>
      <c r="C542" s="3570" t="s">
        <v>24</v>
      </c>
      <c r="D542" s="5080"/>
      <c r="E542" s="6590" t="s">
        <v>25</v>
      </c>
      <c r="F542" s="8100" t="s">
        <v>26</v>
      </c>
      <c r="G542" s="9610" t="s">
        <v>27</v>
      </c>
      <c r="H542" s="11120">
        <v>17</v>
      </c>
      <c r="I542" s="12630"/>
      <c r="J542" t="s">
        <v>28</v>
      </c>
    </row>
    <row r="543" spans="1:10" outlineLevel="2">
      <c r="A543" s="551" t="s">
        <v>1232</v>
      </c>
      <c r="B543" s="2061" t="s">
        <v>30</v>
      </c>
      <c r="C543" s="3571" t="s">
        <v>31</v>
      </c>
      <c r="D543" s="5081"/>
      <c r="E543" s="6591" t="s">
        <v>32</v>
      </c>
      <c r="F543" s="8101" t="s">
        <v>33</v>
      </c>
      <c r="G543" s="9611" t="s">
        <v>27</v>
      </c>
      <c r="H543" s="11121">
        <v>17</v>
      </c>
      <c r="I543" s="12631"/>
      <c r="J543" t="s">
        <v>28</v>
      </c>
    </row>
    <row r="544" spans="1:10" outlineLevel="2">
      <c r="A544" s="552" t="s">
        <v>1233</v>
      </c>
      <c r="B544" s="2062" t="s">
        <v>35</v>
      </c>
      <c r="C544" s="3572" t="s">
        <v>1234</v>
      </c>
      <c r="D544" s="5082"/>
      <c r="E544" s="6592" t="s">
        <v>25</v>
      </c>
      <c r="F544" s="8102" t="s">
        <v>1235</v>
      </c>
      <c r="G544" s="9612" t="s">
        <v>15</v>
      </c>
      <c r="H544" s="11122">
        <v>1</v>
      </c>
      <c r="I544" s="12632" t="s">
        <v>16</v>
      </c>
      <c r="J544" t="s">
        <v>28</v>
      </c>
    </row>
    <row r="545" spans="1:10" outlineLevel="2">
      <c r="A545" s="553" t="s">
        <v>1236</v>
      </c>
      <c r="B545" s="2063" t="s">
        <v>39</v>
      </c>
      <c r="C545" s="3573" t="s">
        <v>40</v>
      </c>
      <c r="D545" s="5083"/>
      <c r="E545" s="6593" t="s">
        <v>41</v>
      </c>
      <c r="F545" s="8103" t="s">
        <v>42</v>
      </c>
      <c r="G545" s="9613" t="s">
        <v>27</v>
      </c>
      <c r="H545" s="11123">
        <v>1</v>
      </c>
      <c r="I545" s="12633" t="s">
        <v>16</v>
      </c>
      <c r="J545" t="s">
        <v>28</v>
      </c>
    </row>
    <row r="546" spans="1:10" outlineLevel="2">
      <c r="A546" s="554" t="s">
        <v>1237</v>
      </c>
      <c r="B546" s="2064" t="s">
        <v>44</v>
      </c>
      <c r="C546" s="3574" t="s">
        <v>45</v>
      </c>
      <c r="D546" s="5084"/>
      <c r="E546" s="6594" t="s">
        <v>41</v>
      </c>
      <c r="F546" s="8104" t="s">
        <v>46</v>
      </c>
      <c r="G546" s="9614" t="s">
        <v>15</v>
      </c>
      <c r="H546" s="11124">
        <v>2</v>
      </c>
      <c r="I546" s="12634" t="s">
        <v>16</v>
      </c>
      <c r="J546" t="s">
        <v>28</v>
      </c>
    </row>
    <row r="547" spans="1:10" outlineLevel="2">
      <c r="A547" s="555" t="s">
        <v>1238</v>
      </c>
      <c r="B547" s="2065" t="s">
        <v>48</v>
      </c>
      <c r="C547" s="3575" t="s">
        <v>49</v>
      </c>
      <c r="D547" s="5085"/>
      <c r="E547" s="6595" t="s">
        <v>25</v>
      </c>
      <c r="F547" s="8105" t="s">
        <v>50</v>
      </c>
      <c r="G547" s="9615" t="s">
        <v>27</v>
      </c>
      <c r="H547" s="11125">
        <v>2</v>
      </c>
      <c r="I547" s="12635" t="s">
        <v>16</v>
      </c>
      <c r="J547" t="s">
        <v>28</v>
      </c>
    </row>
    <row r="548" spans="1:10" ht="15.75" outlineLevel="2">
      <c r="A548" s="556" t="s">
        <v>1239</v>
      </c>
      <c r="B548" s="2066" t="s">
        <v>52</v>
      </c>
      <c r="C548" s="3576" t="s">
        <v>53</v>
      </c>
      <c r="D548" s="5086"/>
      <c r="E548" s="6596" t="s">
        <v>32</v>
      </c>
      <c r="F548" s="8106" t="s">
        <v>54</v>
      </c>
      <c r="G548" s="9616" t="s">
        <v>15</v>
      </c>
      <c r="H548" s="11126">
        <v>5</v>
      </c>
      <c r="I548" s="12636" t="s">
        <v>16</v>
      </c>
      <c r="J548" s="13600" t="str">
        <f>HYPERLINK("\\192.168.170.18\drawings\2-Basic Components\0000-342 - Pipe Holders\0000-342-285-- - Top mounting-Pipe Holder DN250-Ø273.pdf", "PDF")</f>
        <v>PDF</v>
      </c>
    </row>
    <row r="549" spans="1:10" ht="15.75" outlineLevel="2">
      <c r="A549" s="557" t="s">
        <v>1240</v>
      </c>
      <c r="B549" s="2067" t="s">
        <v>56</v>
      </c>
      <c r="C549" s="3577" t="s">
        <v>57</v>
      </c>
      <c r="D549" s="5087"/>
      <c r="E549" s="6597" t="s">
        <v>32</v>
      </c>
      <c r="F549" s="8107" t="s">
        <v>58</v>
      </c>
      <c r="G549" s="9617" t="s">
        <v>15</v>
      </c>
      <c r="H549" s="11127">
        <v>8</v>
      </c>
      <c r="I549" s="12637" t="s">
        <v>16</v>
      </c>
      <c r="J549" s="13600" t="str">
        <f>HYPERLINK("\\192.168.170.18\drawings\2-Basic Components\0000-342 - Pipe Holders\0000-342-031-- - Pipe Holder DN250-Ø273.pdf", "PDF")</f>
        <v>PDF</v>
      </c>
    </row>
    <row r="550" spans="1:10" outlineLevel="2">
      <c r="A550" s="558" t="s">
        <v>1241</v>
      </c>
      <c r="B550" s="2068" t="s">
        <v>60</v>
      </c>
      <c r="C550" s="3578" t="s">
        <v>61</v>
      </c>
      <c r="D550" s="5088"/>
      <c r="E550" s="6598" t="s">
        <v>25</v>
      </c>
      <c r="F550" s="8108" t="s">
        <v>62</v>
      </c>
      <c r="G550" s="9618" t="s">
        <v>15</v>
      </c>
      <c r="H550" s="11128">
        <v>2</v>
      </c>
      <c r="I550" s="12638" t="s">
        <v>16</v>
      </c>
      <c r="J550" t="s">
        <v>28</v>
      </c>
    </row>
    <row r="551" spans="1:10" outlineLevel="2">
      <c r="A551" s="559" t="s">
        <v>1242</v>
      </c>
      <c r="B551" s="2069" t="s">
        <v>48</v>
      </c>
      <c r="C551" s="3579" t="s">
        <v>64</v>
      </c>
      <c r="D551" s="5089"/>
      <c r="E551" s="6599" t="s">
        <v>25</v>
      </c>
      <c r="F551" s="8109" t="s">
        <v>65</v>
      </c>
      <c r="G551" s="9619" t="s">
        <v>27</v>
      </c>
      <c r="H551" s="11129">
        <v>2</v>
      </c>
      <c r="I551" s="12639"/>
      <c r="J551" t="s">
        <v>28</v>
      </c>
    </row>
    <row r="552" spans="1:10" outlineLevel="2">
      <c r="A552" s="560" t="s">
        <v>1243</v>
      </c>
      <c r="B552" s="2070" t="s">
        <v>67</v>
      </c>
      <c r="C552" s="3580" t="s">
        <v>68</v>
      </c>
      <c r="D552" s="5090"/>
      <c r="E552" s="6600" t="s">
        <v>25</v>
      </c>
      <c r="F552" s="8110" t="s">
        <v>69</v>
      </c>
      <c r="G552" s="9620" t="s">
        <v>27</v>
      </c>
      <c r="H552" s="11130">
        <v>1</v>
      </c>
      <c r="I552" s="12640" t="s">
        <v>16</v>
      </c>
      <c r="J552" t="s">
        <v>28</v>
      </c>
    </row>
    <row r="553" spans="1:10" outlineLevel="2">
      <c r="A553" s="561" t="s">
        <v>1244</v>
      </c>
      <c r="B553" s="2071" t="s">
        <v>23</v>
      </c>
      <c r="C553" s="3581" t="s">
        <v>71</v>
      </c>
      <c r="D553" s="5091"/>
      <c r="E553" s="6601" t="s">
        <v>25</v>
      </c>
      <c r="F553" s="8111" t="s">
        <v>72</v>
      </c>
      <c r="G553" s="9621" t="s">
        <v>27</v>
      </c>
      <c r="H553" s="11131">
        <v>1</v>
      </c>
      <c r="I553" s="12641"/>
      <c r="J553" t="s">
        <v>28</v>
      </c>
    </row>
    <row r="554" spans="1:10" outlineLevel="2">
      <c r="A554" s="562" t="s">
        <v>1245</v>
      </c>
      <c r="B554" s="2072" t="s">
        <v>30</v>
      </c>
      <c r="C554" s="3582" t="s">
        <v>74</v>
      </c>
      <c r="D554" s="5092"/>
      <c r="E554" s="6602" t="s">
        <v>32</v>
      </c>
      <c r="F554" s="8112" t="s">
        <v>75</v>
      </c>
      <c r="G554" s="9622" t="s">
        <v>27</v>
      </c>
      <c r="H554" s="11132">
        <v>1</v>
      </c>
      <c r="I554" s="12642"/>
      <c r="J554" t="s">
        <v>28</v>
      </c>
    </row>
    <row r="555" spans="1:10" outlineLevel="2">
      <c r="A555" s="563" t="s">
        <v>1246</v>
      </c>
      <c r="B555" s="2073" t="s">
        <v>77</v>
      </c>
      <c r="C555" s="3583" t="s">
        <v>78</v>
      </c>
      <c r="D555" s="5093"/>
      <c r="E555" s="6603" t="s">
        <v>25</v>
      </c>
      <c r="F555" s="8113" t="s">
        <v>79</v>
      </c>
      <c r="G555" s="9623" t="s">
        <v>27</v>
      </c>
      <c r="H555" s="11133">
        <v>1</v>
      </c>
      <c r="I555" s="12643"/>
      <c r="J555" t="s">
        <v>28</v>
      </c>
    </row>
    <row r="556" spans="1:10" outlineLevel="2">
      <c r="A556" s="564" t="s">
        <v>1247</v>
      </c>
      <c r="B556" s="2074" t="s">
        <v>81</v>
      </c>
      <c r="C556" s="3584" t="s">
        <v>82</v>
      </c>
      <c r="D556" s="5094"/>
      <c r="E556" s="6604" t="s">
        <v>83</v>
      </c>
      <c r="F556" s="8114" t="s">
        <v>84</v>
      </c>
      <c r="G556" s="9624" t="s">
        <v>27</v>
      </c>
      <c r="H556" s="11134">
        <v>1</v>
      </c>
      <c r="I556" s="12644"/>
      <c r="J556" t="s">
        <v>28</v>
      </c>
    </row>
    <row r="557" spans="1:10" outlineLevel="1">
      <c r="A557" s="565" t="s">
        <v>1248</v>
      </c>
      <c r="B557" s="2075" t="s">
        <v>1249</v>
      </c>
      <c r="C557" s="3585"/>
      <c r="D557" s="5095"/>
      <c r="E557" s="6605"/>
      <c r="F557" s="8115" t="s">
        <v>1250</v>
      </c>
      <c r="G557" s="9625" t="s">
        <v>15</v>
      </c>
      <c r="H557" s="11135">
        <v>1</v>
      </c>
      <c r="I557" s="12645" t="s">
        <v>16</v>
      </c>
      <c r="J557" t="s">
        <v>28</v>
      </c>
    </row>
    <row r="558" spans="1:10" outlineLevel="2">
      <c r="A558" s="566" t="s">
        <v>1251</v>
      </c>
      <c r="B558" s="2076" t="s">
        <v>1252</v>
      </c>
      <c r="C558" s="3586" t="s">
        <v>595</v>
      </c>
      <c r="D558" s="5096" t="s">
        <v>13</v>
      </c>
      <c r="E558" s="6606"/>
      <c r="F558" s="8116" t="s">
        <v>1253</v>
      </c>
      <c r="G558" s="9626" t="s">
        <v>15</v>
      </c>
      <c r="H558" s="11136">
        <v>1</v>
      </c>
      <c r="I558" s="12646" t="s">
        <v>16</v>
      </c>
      <c r="J558" t="s">
        <v>28</v>
      </c>
    </row>
    <row r="559" spans="1:10" outlineLevel="3">
      <c r="A559" s="567" t="s">
        <v>1254</v>
      </c>
      <c r="B559" s="2077" t="s">
        <v>598</v>
      </c>
      <c r="C559" s="3587" t="s">
        <v>1255</v>
      </c>
      <c r="D559" s="5097"/>
      <c r="E559" s="6607" t="s">
        <v>600</v>
      </c>
      <c r="F559" s="8117" t="s">
        <v>1256</v>
      </c>
      <c r="G559" s="9627" t="s">
        <v>15</v>
      </c>
      <c r="H559" s="11137">
        <v>1</v>
      </c>
      <c r="I559" s="12647" t="s">
        <v>16</v>
      </c>
      <c r="J559" t="s">
        <v>28</v>
      </c>
    </row>
    <row r="560" spans="1:10" outlineLevel="3">
      <c r="A560" s="568" t="s">
        <v>1257</v>
      </c>
      <c r="B560" s="2078" t="s">
        <v>603</v>
      </c>
      <c r="C560" s="3588" t="s">
        <v>604</v>
      </c>
      <c r="D560" s="5098"/>
      <c r="E560" s="6608" t="s">
        <v>32</v>
      </c>
      <c r="F560" s="8118" t="s">
        <v>605</v>
      </c>
      <c r="G560" s="9628" t="s">
        <v>27</v>
      </c>
      <c r="H560" s="11138">
        <v>4</v>
      </c>
      <c r="I560" s="12648"/>
      <c r="J560" t="s">
        <v>28</v>
      </c>
    </row>
    <row r="561" spans="1:10" outlineLevel="3">
      <c r="A561" s="569" t="s">
        <v>1258</v>
      </c>
      <c r="B561" s="2079" t="s">
        <v>30</v>
      </c>
      <c r="C561" s="3589" t="s">
        <v>607</v>
      </c>
      <c r="D561" s="5099"/>
      <c r="E561" s="6609" t="s">
        <v>32</v>
      </c>
      <c r="F561" s="8119" t="s">
        <v>608</v>
      </c>
      <c r="G561" s="9629" t="s">
        <v>27</v>
      </c>
      <c r="H561" s="11139">
        <v>4</v>
      </c>
      <c r="I561" s="12649"/>
      <c r="J561" t="s">
        <v>28</v>
      </c>
    </row>
    <row r="562" spans="1:10" outlineLevel="3">
      <c r="A562" s="570" t="s">
        <v>1259</v>
      </c>
      <c r="B562" s="2080" t="s">
        <v>23</v>
      </c>
      <c r="C562" s="3590" t="s">
        <v>610</v>
      </c>
      <c r="D562" s="5100"/>
      <c r="E562" s="6610" t="s">
        <v>32</v>
      </c>
      <c r="F562" s="8120" t="s">
        <v>611</v>
      </c>
      <c r="G562" s="9630" t="s">
        <v>27</v>
      </c>
      <c r="H562" s="11140">
        <v>4</v>
      </c>
      <c r="I562" s="12650"/>
      <c r="J562" t="s">
        <v>28</v>
      </c>
    </row>
    <row r="563" spans="1:10" outlineLevel="3">
      <c r="A563" s="571" t="s">
        <v>1260</v>
      </c>
      <c r="B563" s="2081" t="s">
        <v>23</v>
      </c>
      <c r="C563" s="3591" t="s">
        <v>613</v>
      </c>
      <c r="D563" s="5101"/>
      <c r="E563" s="6611" t="s">
        <v>32</v>
      </c>
      <c r="F563" s="8121" t="s">
        <v>614</v>
      </c>
      <c r="G563" s="9631" t="s">
        <v>27</v>
      </c>
      <c r="H563" s="11141">
        <v>8</v>
      </c>
      <c r="I563" s="12651"/>
      <c r="J563" t="s">
        <v>28</v>
      </c>
    </row>
    <row r="564" spans="1:10" outlineLevel="3">
      <c r="A564" s="572" t="s">
        <v>1261</v>
      </c>
      <c r="B564" s="2082" t="s">
        <v>30</v>
      </c>
      <c r="C564" s="3592" t="s">
        <v>616</v>
      </c>
      <c r="D564" s="5102"/>
      <c r="E564" s="6612" t="s">
        <v>32</v>
      </c>
      <c r="F564" s="8122" t="s">
        <v>617</v>
      </c>
      <c r="G564" s="9632" t="s">
        <v>27</v>
      </c>
      <c r="H564" s="11142">
        <v>8</v>
      </c>
      <c r="I564" s="12652"/>
      <c r="J564" t="s">
        <v>28</v>
      </c>
    </row>
    <row r="565" spans="1:10" outlineLevel="3">
      <c r="A565" s="573" t="s">
        <v>1262</v>
      </c>
      <c r="B565" s="2083" t="s">
        <v>619</v>
      </c>
      <c r="C565" s="3593" t="s">
        <v>620</v>
      </c>
      <c r="D565" s="5103"/>
      <c r="E565" s="6613" t="s">
        <v>16</v>
      </c>
      <c r="F565" s="8123" t="s">
        <v>621</v>
      </c>
      <c r="G565" s="9633" t="s">
        <v>27</v>
      </c>
      <c r="H565" s="11143">
        <v>1</v>
      </c>
      <c r="I565" s="12653"/>
      <c r="J565" t="s">
        <v>28</v>
      </c>
    </row>
    <row r="566" spans="1:10" outlineLevel="3">
      <c r="A566" s="574" t="s">
        <v>1263</v>
      </c>
      <c r="B566" s="2084" t="s">
        <v>623</v>
      </c>
      <c r="C566" s="3594" t="s">
        <v>624</v>
      </c>
      <c r="D566" s="5104"/>
      <c r="E566" s="6614" t="s">
        <v>16</v>
      </c>
      <c r="F566" s="8124" t="s">
        <v>625</v>
      </c>
      <c r="G566" s="9634" t="s">
        <v>27</v>
      </c>
      <c r="H566" s="11144">
        <v>3</v>
      </c>
      <c r="I566" s="12654"/>
      <c r="J566" t="s">
        <v>28</v>
      </c>
    </row>
    <row r="567" spans="1:10" outlineLevel="3">
      <c r="A567" s="575" t="s">
        <v>1264</v>
      </c>
      <c r="B567" s="2085" t="s">
        <v>77</v>
      </c>
      <c r="C567" s="3595" t="s">
        <v>641</v>
      </c>
      <c r="D567" s="5105"/>
      <c r="E567" s="6615" t="s">
        <v>25</v>
      </c>
      <c r="F567" s="8125" t="s">
        <v>642</v>
      </c>
      <c r="G567" s="9635" t="s">
        <v>27</v>
      </c>
      <c r="H567" s="11145">
        <v>1</v>
      </c>
      <c r="I567" s="12655"/>
      <c r="J567" t="s">
        <v>28</v>
      </c>
    </row>
    <row r="568" spans="1:10" outlineLevel="3">
      <c r="A568" s="576" t="s">
        <v>1265</v>
      </c>
      <c r="B568" s="2086" t="s">
        <v>627</v>
      </c>
      <c r="C568" s="3596" t="s">
        <v>628</v>
      </c>
      <c r="D568" s="5106"/>
      <c r="E568" s="6616" t="s">
        <v>25</v>
      </c>
      <c r="F568" s="8126" t="s">
        <v>629</v>
      </c>
      <c r="G568" s="9636" t="s">
        <v>27</v>
      </c>
      <c r="H568" s="11146">
        <v>1</v>
      </c>
      <c r="I568" s="12656"/>
      <c r="J568" t="s">
        <v>28</v>
      </c>
    </row>
    <row r="569" spans="1:10" outlineLevel="3">
      <c r="A569" s="577" t="s">
        <v>1266</v>
      </c>
      <c r="B569" s="2087" t="s">
        <v>631</v>
      </c>
      <c r="C569" s="3597" t="s">
        <v>632</v>
      </c>
      <c r="D569" s="5107"/>
      <c r="E569" s="6617" t="s">
        <v>16</v>
      </c>
      <c r="F569" s="8127" t="s">
        <v>633</v>
      </c>
      <c r="G569" s="9637" t="s">
        <v>27</v>
      </c>
      <c r="H569" s="11147">
        <v>1</v>
      </c>
      <c r="I569" s="12657" t="s">
        <v>16</v>
      </c>
      <c r="J569" t="s">
        <v>28</v>
      </c>
    </row>
    <row r="570" spans="1:10" outlineLevel="3">
      <c r="A570" s="578" t="s">
        <v>1267</v>
      </c>
      <c r="B570" s="2088" t="s">
        <v>48</v>
      </c>
      <c r="C570" s="3598" t="s">
        <v>635</v>
      </c>
      <c r="D570" s="5108"/>
      <c r="E570" s="6618" t="s">
        <v>25</v>
      </c>
      <c r="F570" s="8128" t="s">
        <v>636</v>
      </c>
      <c r="G570" s="9638" t="s">
        <v>27</v>
      </c>
      <c r="H570" s="11148">
        <v>2</v>
      </c>
      <c r="I570" s="12658"/>
      <c r="J570" t="s">
        <v>28</v>
      </c>
    </row>
    <row r="571" spans="1:10" outlineLevel="3">
      <c r="A571" s="579" t="s">
        <v>1268</v>
      </c>
      <c r="B571" s="2089" t="s">
        <v>48</v>
      </c>
      <c r="C571" s="3599" t="s">
        <v>638</v>
      </c>
      <c r="D571" s="5109"/>
      <c r="E571" s="6619" t="s">
        <v>32</v>
      </c>
      <c r="F571" s="8129" t="s">
        <v>639</v>
      </c>
      <c r="G571" s="9639" t="s">
        <v>27</v>
      </c>
      <c r="H571" s="11149">
        <v>8</v>
      </c>
      <c r="I571" s="12659"/>
      <c r="J571" t="s">
        <v>28</v>
      </c>
    </row>
    <row r="572" spans="1:10" outlineLevel="3">
      <c r="A572" s="580" t="s">
        <v>1269</v>
      </c>
      <c r="B572" s="2090" t="s">
        <v>627</v>
      </c>
      <c r="C572" s="3600" t="s">
        <v>648</v>
      </c>
      <c r="D572" s="5110"/>
      <c r="E572" s="6620" t="s">
        <v>25</v>
      </c>
      <c r="F572" s="8130" t="s">
        <v>649</v>
      </c>
      <c r="G572" s="9640" t="s">
        <v>27</v>
      </c>
      <c r="H572" s="11150">
        <v>2</v>
      </c>
      <c r="I572" s="12660"/>
      <c r="J572" t="s">
        <v>28</v>
      </c>
    </row>
    <row r="573" spans="1:10" outlineLevel="3">
      <c r="A573" s="581" t="s">
        <v>1270</v>
      </c>
      <c r="B573" s="2091" t="s">
        <v>644</v>
      </c>
      <c r="C573" s="3601" t="s">
        <v>645</v>
      </c>
      <c r="D573" s="5111"/>
      <c r="E573" s="6621" t="s">
        <v>16</v>
      </c>
      <c r="F573" s="8131" t="s">
        <v>646</v>
      </c>
      <c r="G573" s="9641" t="s">
        <v>27</v>
      </c>
      <c r="H573" s="11151">
        <v>2</v>
      </c>
      <c r="I573" s="12661"/>
      <c r="J573" t="s">
        <v>28</v>
      </c>
    </row>
    <row r="574" spans="1:10" outlineLevel="3">
      <c r="A574" s="582" t="s">
        <v>1271</v>
      </c>
      <c r="B574" s="2092" t="s">
        <v>77</v>
      </c>
      <c r="C574" s="3602" t="s">
        <v>651</v>
      </c>
      <c r="D574" s="5112"/>
      <c r="E574" s="6622" t="s">
        <v>25</v>
      </c>
      <c r="F574" s="8132" t="s">
        <v>652</v>
      </c>
      <c r="G574" s="9642" t="s">
        <v>27</v>
      </c>
      <c r="H574" s="11152">
        <v>2</v>
      </c>
      <c r="I574" s="12662" t="s">
        <v>16</v>
      </c>
      <c r="J574" t="s">
        <v>28</v>
      </c>
    </row>
    <row r="575" spans="1:10" ht="15.75" outlineLevel="3">
      <c r="A575" s="583" t="s">
        <v>1272</v>
      </c>
      <c r="B575" s="2093" t="s">
        <v>654</v>
      </c>
      <c r="C575" s="3603" t="s">
        <v>655</v>
      </c>
      <c r="D575" s="5113"/>
      <c r="E575" s="6623"/>
      <c r="F575" s="8133" t="s">
        <v>656</v>
      </c>
      <c r="G575" s="9643" t="s">
        <v>15</v>
      </c>
      <c r="H575" s="11153">
        <v>3</v>
      </c>
      <c r="I575" s="12663" t="s">
        <v>16</v>
      </c>
      <c r="J575" s="13600" t="str">
        <f>HYPERLINK("\\192.168.170.18\drawings\2-Basic Components\0000-342 - Pipe Holders\0000-342-021-- - Pipe holder foot L=200.pdf", "PDF")</f>
        <v>PDF</v>
      </c>
    </row>
    <row r="576" spans="1:10" outlineLevel="4">
      <c r="A576" s="584" t="s">
        <v>1273</v>
      </c>
      <c r="B576" s="2094" t="s">
        <v>275</v>
      </c>
      <c r="C576" s="3604" t="s">
        <v>658</v>
      </c>
      <c r="D576" s="5114"/>
      <c r="E576" s="6624" t="s">
        <v>32</v>
      </c>
      <c r="F576" s="8134" t="s">
        <v>659</v>
      </c>
      <c r="G576" s="9644" t="s">
        <v>15</v>
      </c>
      <c r="H576" s="11154">
        <v>1</v>
      </c>
      <c r="I576" s="12664" t="s">
        <v>16</v>
      </c>
      <c r="J576" t="s">
        <v>28</v>
      </c>
    </row>
    <row r="577" spans="1:10" outlineLevel="4">
      <c r="A577" s="585" t="s">
        <v>1274</v>
      </c>
      <c r="B577" s="2095" t="s">
        <v>661</v>
      </c>
      <c r="C577" s="3605" t="s">
        <v>662</v>
      </c>
      <c r="D577" s="5115"/>
      <c r="E577" s="6625" t="s">
        <v>32</v>
      </c>
      <c r="F577" s="8135" t="s">
        <v>663</v>
      </c>
      <c r="G577" s="9645" t="s">
        <v>15</v>
      </c>
      <c r="H577" s="11155">
        <v>1</v>
      </c>
      <c r="I577" s="12665" t="s">
        <v>16</v>
      </c>
      <c r="J577" t="s">
        <v>28</v>
      </c>
    </row>
    <row r="578" spans="1:10" outlineLevel="4">
      <c r="A578" s="586" t="s">
        <v>1275</v>
      </c>
      <c r="B578" s="2096" t="s">
        <v>665</v>
      </c>
      <c r="C578" s="3606" t="s">
        <v>666</v>
      </c>
      <c r="D578" s="5116"/>
      <c r="E578" s="6626" t="s">
        <v>667</v>
      </c>
      <c r="F578" s="8136" t="s">
        <v>668</v>
      </c>
      <c r="G578" s="9646" t="s">
        <v>27</v>
      </c>
      <c r="H578" s="11156">
        <v>1</v>
      </c>
      <c r="I578" s="12666" t="s">
        <v>16</v>
      </c>
      <c r="J578" t="s">
        <v>28</v>
      </c>
    </row>
    <row r="579" spans="1:10" outlineLevel="4">
      <c r="A579" s="587" t="s">
        <v>1276</v>
      </c>
      <c r="B579" s="2097" t="s">
        <v>670</v>
      </c>
      <c r="C579" s="3607" t="s">
        <v>671</v>
      </c>
      <c r="D579" s="5117"/>
      <c r="E579" s="6627" t="s">
        <v>667</v>
      </c>
      <c r="F579" s="8137" t="s">
        <v>672</v>
      </c>
      <c r="G579" s="9647" t="s">
        <v>27</v>
      </c>
      <c r="H579" s="11157">
        <v>1</v>
      </c>
      <c r="I579" s="12667" t="s">
        <v>16</v>
      </c>
      <c r="J579" t="s">
        <v>28</v>
      </c>
    </row>
    <row r="580" spans="1:10" outlineLevel="3">
      <c r="A580" s="588" t="s">
        <v>1277</v>
      </c>
      <c r="B580" s="2098" t="s">
        <v>674</v>
      </c>
      <c r="C580" s="3608" t="s">
        <v>675</v>
      </c>
      <c r="D580" s="5118"/>
      <c r="E580" s="6628" t="s">
        <v>32</v>
      </c>
      <c r="F580" s="8138" t="s">
        <v>676</v>
      </c>
      <c r="G580" s="9648" t="s">
        <v>15</v>
      </c>
      <c r="H580" s="11158">
        <v>3</v>
      </c>
      <c r="I580" s="12668" t="s">
        <v>16</v>
      </c>
      <c r="J580" t="s">
        <v>28</v>
      </c>
    </row>
    <row r="581" spans="1:10" outlineLevel="2">
      <c r="A581" s="589" t="s">
        <v>1278</v>
      </c>
      <c r="B581" s="2099" t="s">
        <v>1279</v>
      </c>
      <c r="C581" s="3609" t="s">
        <v>595</v>
      </c>
      <c r="D581" s="5119" t="s">
        <v>13</v>
      </c>
      <c r="E581" s="6629"/>
      <c r="F581" s="8139" t="s">
        <v>1280</v>
      </c>
      <c r="G581" s="9649" t="s">
        <v>15</v>
      </c>
      <c r="H581" s="11159">
        <v>1</v>
      </c>
      <c r="I581" s="12669" t="s">
        <v>16</v>
      </c>
      <c r="J581" t="s">
        <v>28</v>
      </c>
    </row>
    <row r="582" spans="1:10" outlineLevel="3">
      <c r="A582" s="590" t="s">
        <v>1281</v>
      </c>
      <c r="B582" s="2100" t="s">
        <v>35</v>
      </c>
      <c r="C582" s="3610" t="s">
        <v>1282</v>
      </c>
      <c r="D582" s="5120"/>
      <c r="E582" s="6630" t="s">
        <v>32</v>
      </c>
      <c r="F582" s="8140" t="s">
        <v>1283</v>
      </c>
      <c r="G582" s="9650" t="s">
        <v>15</v>
      </c>
      <c r="H582" s="11160">
        <v>1</v>
      </c>
      <c r="I582" s="12670" t="s">
        <v>16</v>
      </c>
      <c r="J582" t="s">
        <v>28</v>
      </c>
    </row>
    <row r="583" spans="1:10" outlineLevel="3">
      <c r="A583" s="591" t="s">
        <v>1284</v>
      </c>
      <c r="B583" s="2101" t="s">
        <v>23</v>
      </c>
      <c r="C583" s="3611" t="s">
        <v>610</v>
      </c>
      <c r="D583" s="5121"/>
      <c r="E583" s="6631" t="s">
        <v>32</v>
      </c>
      <c r="F583" s="8141" t="s">
        <v>611</v>
      </c>
      <c r="G583" s="9651" t="s">
        <v>27</v>
      </c>
      <c r="H583" s="11161">
        <v>30</v>
      </c>
      <c r="I583" s="12671"/>
      <c r="J583" t="s">
        <v>28</v>
      </c>
    </row>
    <row r="584" spans="1:10" outlineLevel="3">
      <c r="A584" s="592" t="s">
        <v>1285</v>
      </c>
      <c r="B584" s="2102" t="s">
        <v>30</v>
      </c>
      <c r="C584" s="3612" t="s">
        <v>607</v>
      </c>
      <c r="D584" s="5122"/>
      <c r="E584" s="6632" t="s">
        <v>32</v>
      </c>
      <c r="F584" s="8142" t="s">
        <v>608</v>
      </c>
      <c r="G584" s="9652" t="s">
        <v>27</v>
      </c>
      <c r="H584" s="11162">
        <v>30</v>
      </c>
      <c r="I584" s="12672"/>
      <c r="J584" t="s">
        <v>28</v>
      </c>
    </row>
    <row r="585" spans="1:10" outlineLevel="3">
      <c r="A585" s="593" t="s">
        <v>1286</v>
      </c>
      <c r="B585" s="2103" t="s">
        <v>708</v>
      </c>
      <c r="C585" s="3613" t="s">
        <v>709</v>
      </c>
      <c r="D585" s="5123"/>
      <c r="E585" s="6633" t="s">
        <v>16</v>
      </c>
      <c r="F585" s="8143" t="s">
        <v>710</v>
      </c>
      <c r="G585" s="9653" t="s">
        <v>15</v>
      </c>
      <c r="H585" s="11163">
        <v>4</v>
      </c>
      <c r="I585" s="12673"/>
      <c r="J585" t="s">
        <v>28</v>
      </c>
    </row>
    <row r="586" spans="1:10" outlineLevel="3">
      <c r="A586" s="594" t="s">
        <v>1287</v>
      </c>
      <c r="B586" s="2104" t="s">
        <v>243</v>
      </c>
      <c r="C586" s="3614" t="s">
        <v>690</v>
      </c>
      <c r="D586" s="5124"/>
      <c r="E586" s="6634" t="s">
        <v>16</v>
      </c>
      <c r="F586" s="8144" t="s">
        <v>691</v>
      </c>
      <c r="G586" s="9654" t="s">
        <v>15</v>
      </c>
      <c r="H586" s="11164">
        <v>7</v>
      </c>
      <c r="I586" s="12674"/>
      <c r="J586" t="s">
        <v>28</v>
      </c>
    </row>
    <row r="587" spans="1:10" ht="15.75" outlineLevel="3">
      <c r="A587" s="595" t="s">
        <v>1288</v>
      </c>
      <c r="B587" s="2105" t="s">
        <v>721</v>
      </c>
      <c r="C587" s="3615" t="s">
        <v>722</v>
      </c>
      <c r="D587" s="5125"/>
      <c r="E587" s="6635" t="s">
        <v>32</v>
      </c>
      <c r="F587" s="8145" t="s">
        <v>723</v>
      </c>
      <c r="G587" s="9655" t="s">
        <v>15</v>
      </c>
      <c r="H587" s="11165">
        <v>2</v>
      </c>
      <c r="I587" s="12675" t="s">
        <v>16</v>
      </c>
      <c r="J587" s="13600" t="str">
        <f>HYPERLINK("\\192.168.170.18\drawings\2-Basic Components\0000-342 - Pipe Holders\0000-342-028-- - Pipe Holder DN100-Ø114,3.pdf", "PDF")</f>
        <v>PDF</v>
      </c>
    </row>
    <row r="588" spans="1:10" outlineLevel="3">
      <c r="A588" s="596" t="s">
        <v>1289</v>
      </c>
      <c r="B588" s="2106" t="s">
        <v>48</v>
      </c>
      <c r="C588" s="3616" t="s">
        <v>701</v>
      </c>
      <c r="D588" s="5126"/>
      <c r="E588" s="6636" t="s">
        <v>32</v>
      </c>
      <c r="F588" s="8146" t="s">
        <v>702</v>
      </c>
      <c r="G588" s="9656" t="s">
        <v>27</v>
      </c>
      <c r="H588" s="11166">
        <v>10</v>
      </c>
      <c r="I588" s="12676"/>
      <c r="J588" t="s">
        <v>28</v>
      </c>
    </row>
    <row r="589" spans="1:10" outlineLevel="3">
      <c r="A589" s="597" t="s">
        <v>1290</v>
      </c>
      <c r="B589" s="2107" t="s">
        <v>48</v>
      </c>
      <c r="C589" s="3617" t="s">
        <v>698</v>
      </c>
      <c r="D589" s="5127"/>
      <c r="E589" s="6637" t="s">
        <v>32</v>
      </c>
      <c r="F589" s="8147" t="s">
        <v>699</v>
      </c>
      <c r="G589" s="9657" t="s">
        <v>27</v>
      </c>
      <c r="H589" s="11167">
        <v>4</v>
      </c>
      <c r="I589" s="12677"/>
      <c r="J589" t="s">
        <v>28</v>
      </c>
    </row>
    <row r="590" spans="1:10" outlineLevel="3">
      <c r="A590" s="598" t="s">
        <v>1291</v>
      </c>
      <c r="B590" s="2108" t="s">
        <v>704</v>
      </c>
      <c r="C590" s="3618" t="s">
        <v>705</v>
      </c>
      <c r="D590" s="5128"/>
      <c r="E590" s="6638" t="s">
        <v>32</v>
      </c>
      <c r="F590" s="8148" t="s">
        <v>706</v>
      </c>
      <c r="G590" s="9658" t="s">
        <v>27</v>
      </c>
      <c r="H590" s="11168">
        <v>2</v>
      </c>
      <c r="I590" s="12678"/>
      <c r="J590" t="s">
        <v>28</v>
      </c>
    </row>
    <row r="591" spans="1:10" outlineLevel="3">
      <c r="A591" s="599" t="s">
        <v>1292</v>
      </c>
      <c r="B591" s="2109" t="s">
        <v>712</v>
      </c>
      <c r="C591" s="3619" t="s">
        <v>713</v>
      </c>
      <c r="D591" s="5129"/>
      <c r="E591" s="6639" t="s">
        <v>16</v>
      </c>
      <c r="F591" s="8149" t="s">
        <v>714</v>
      </c>
      <c r="G591" s="9659" t="s">
        <v>27</v>
      </c>
      <c r="H591" s="11169">
        <v>4</v>
      </c>
      <c r="I591" s="12679"/>
      <c r="J591" t="s">
        <v>28</v>
      </c>
    </row>
    <row r="592" spans="1:10" ht="15.75" outlineLevel="3">
      <c r="A592" s="600" t="s">
        <v>1293</v>
      </c>
      <c r="B592" s="2110" t="s">
        <v>654</v>
      </c>
      <c r="C592" s="3620" t="s">
        <v>655</v>
      </c>
      <c r="D592" s="5130"/>
      <c r="E592" s="6640"/>
      <c r="F592" s="8150" t="s">
        <v>656</v>
      </c>
      <c r="G592" s="9660" t="s">
        <v>15</v>
      </c>
      <c r="H592" s="11170">
        <v>6</v>
      </c>
      <c r="I592" s="12680" t="s">
        <v>16</v>
      </c>
      <c r="J592" s="13600" t="str">
        <f>HYPERLINK("\\192.168.170.18\drawings\2-Basic Components\0000-342 - Pipe Holders\0000-342-021-- - Pipe holder foot L=200.pdf", "PDF")</f>
        <v>PDF</v>
      </c>
    </row>
    <row r="593" spans="1:10" outlineLevel="4">
      <c r="A593" s="601" t="s">
        <v>1294</v>
      </c>
      <c r="B593" s="2111" t="s">
        <v>275</v>
      </c>
      <c r="C593" s="3621" t="s">
        <v>658</v>
      </c>
      <c r="D593" s="5131"/>
      <c r="E593" s="6641" t="s">
        <v>32</v>
      </c>
      <c r="F593" s="8151" t="s">
        <v>659</v>
      </c>
      <c r="G593" s="9661" t="s">
        <v>15</v>
      </c>
      <c r="H593" s="11171">
        <v>1</v>
      </c>
      <c r="I593" s="12681" t="s">
        <v>16</v>
      </c>
      <c r="J593" t="s">
        <v>28</v>
      </c>
    </row>
    <row r="594" spans="1:10" outlineLevel="4">
      <c r="A594" s="602" t="s">
        <v>1295</v>
      </c>
      <c r="B594" s="2112" t="s">
        <v>661</v>
      </c>
      <c r="C594" s="3622" t="s">
        <v>662</v>
      </c>
      <c r="D594" s="5132"/>
      <c r="E594" s="6642" t="s">
        <v>32</v>
      </c>
      <c r="F594" s="8152" t="s">
        <v>663</v>
      </c>
      <c r="G594" s="9662" t="s">
        <v>15</v>
      </c>
      <c r="H594" s="11172">
        <v>1</v>
      </c>
      <c r="I594" s="12682" t="s">
        <v>16</v>
      </c>
      <c r="J594" t="s">
        <v>28</v>
      </c>
    </row>
    <row r="595" spans="1:10" outlineLevel="4">
      <c r="A595" s="603" t="s">
        <v>1296</v>
      </c>
      <c r="B595" s="2113" t="s">
        <v>665</v>
      </c>
      <c r="C595" s="3623" t="s">
        <v>666</v>
      </c>
      <c r="D595" s="5133"/>
      <c r="E595" s="6643" t="s">
        <v>667</v>
      </c>
      <c r="F595" s="8153" t="s">
        <v>668</v>
      </c>
      <c r="G595" s="9663" t="s">
        <v>27</v>
      </c>
      <c r="H595" s="11173">
        <v>1</v>
      </c>
      <c r="I595" s="12683" t="s">
        <v>16</v>
      </c>
      <c r="J595" t="s">
        <v>28</v>
      </c>
    </row>
    <row r="596" spans="1:10" outlineLevel="4">
      <c r="A596" s="604" t="s">
        <v>1297</v>
      </c>
      <c r="B596" s="2114" t="s">
        <v>670</v>
      </c>
      <c r="C596" s="3624" t="s">
        <v>671</v>
      </c>
      <c r="D596" s="5134"/>
      <c r="E596" s="6644" t="s">
        <v>667</v>
      </c>
      <c r="F596" s="8154" t="s">
        <v>672</v>
      </c>
      <c r="G596" s="9664" t="s">
        <v>27</v>
      </c>
      <c r="H596" s="11174">
        <v>1</v>
      </c>
      <c r="I596" s="12684" t="s">
        <v>16</v>
      </c>
      <c r="J596" t="s">
        <v>28</v>
      </c>
    </row>
    <row r="597" spans="1:10" ht="15.75" outlineLevel="3">
      <c r="A597" s="605" t="s">
        <v>1298</v>
      </c>
      <c r="B597" s="2115" t="s">
        <v>829</v>
      </c>
      <c r="C597" s="3625" t="s">
        <v>830</v>
      </c>
      <c r="D597" s="5135"/>
      <c r="E597" s="6645"/>
      <c r="F597" s="8155" t="s">
        <v>831</v>
      </c>
      <c r="G597" s="9665" t="s">
        <v>832</v>
      </c>
      <c r="H597" s="11175">
        <v>6</v>
      </c>
      <c r="I597" s="12685" t="s">
        <v>16</v>
      </c>
      <c r="J597" s="13600" t="str">
        <f>HYPERLINK("\\192.168.170.18\drawings\2-Basic Components\0000-342 - Pipe Holders\0000-342-027-- - Pipe Holder DN100-Ø114.pdf", "PDF")</f>
        <v>PDF</v>
      </c>
    </row>
    <row r="598" spans="1:10" outlineLevel="4">
      <c r="A598" s="606" t="s">
        <v>1299</v>
      </c>
      <c r="B598" s="2116" t="s">
        <v>661</v>
      </c>
      <c r="C598" s="3626" t="s">
        <v>834</v>
      </c>
      <c r="D598" s="5136"/>
      <c r="E598" s="6646" t="s">
        <v>32</v>
      </c>
      <c r="F598" s="8156" t="s">
        <v>835</v>
      </c>
      <c r="G598" s="9666" t="s">
        <v>832</v>
      </c>
      <c r="H598" s="11176">
        <v>1</v>
      </c>
      <c r="I598" s="12686" t="s">
        <v>16</v>
      </c>
      <c r="J598" t="s">
        <v>28</v>
      </c>
    </row>
    <row r="599" spans="1:10" outlineLevel="4">
      <c r="A599" s="607" t="s">
        <v>1300</v>
      </c>
      <c r="B599" s="2117" t="s">
        <v>797</v>
      </c>
      <c r="C599" s="3627" t="s">
        <v>798</v>
      </c>
      <c r="D599" s="5137"/>
      <c r="E599" s="6647" t="s">
        <v>32</v>
      </c>
      <c r="F599" s="8157" t="s">
        <v>799</v>
      </c>
      <c r="G599" s="9667" t="s">
        <v>15</v>
      </c>
      <c r="H599" s="11177">
        <v>2</v>
      </c>
      <c r="I599" s="12687"/>
      <c r="J599" t="s">
        <v>28</v>
      </c>
    </row>
    <row r="600" spans="1:10" outlineLevel="4">
      <c r="A600" s="608" t="s">
        <v>1301</v>
      </c>
      <c r="B600" s="2118" t="s">
        <v>779</v>
      </c>
      <c r="C600" s="3628" t="s">
        <v>806</v>
      </c>
      <c r="D600" s="5138"/>
      <c r="E600" s="6648" t="s">
        <v>667</v>
      </c>
      <c r="F600" s="8158" t="s">
        <v>807</v>
      </c>
      <c r="G600" s="9668" t="s">
        <v>27</v>
      </c>
      <c r="H600" s="11178">
        <v>4</v>
      </c>
      <c r="I600" s="12688"/>
      <c r="J600" t="s">
        <v>28</v>
      </c>
    </row>
    <row r="601" spans="1:10" outlineLevel="4">
      <c r="A601" s="609" t="s">
        <v>1302</v>
      </c>
      <c r="B601" s="2119" t="s">
        <v>665</v>
      </c>
      <c r="C601" s="3629" t="s">
        <v>666</v>
      </c>
      <c r="D601" s="5139"/>
      <c r="E601" s="6649" t="s">
        <v>667</v>
      </c>
      <c r="F601" s="8159" t="s">
        <v>668</v>
      </c>
      <c r="G601" s="9669" t="s">
        <v>27</v>
      </c>
      <c r="H601" s="11179">
        <v>2</v>
      </c>
      <c r="I601" s="12689" t="s">
        <v>16</v>
      </c>
      <c r="J601" t="s">
        <v>28</v>
      </c>
    </row>
    <row r="602" spans="1:10" outlineLevel="4">
      <c r="A602" s="610" t="s">
        <v>1303</v>
      </c>
      <c r="B602" s="2120" t="s">
        <v>670</v>
      </c>
      <c r="C602" s="3630" t="s">
        <v>809</v>
      </c>
      <c r="D602" s="5140"/>
      <c r="E602" s="6650" t="s">
        <v>667</v>
      </c>
      <c r="F602" s="8160" t="s">
        <v>810</v>
      </c>
      <c r="G602" s="9670" t="s">
        <v>27</v>
      </c>
      <c r="H602" s="11180">
        <v>2</v>
      </c>
      <c r="I602" s="12690" t="s">
        <v>16</v>
      </c>
      <c r="J602" t="s">
        <v>28</v>
      </c>
    </row>
    <row r="603" spans="1:10" outlineLevel="3">
      <c r="A603" s="611" t="s">
        <v>1304</v>
      </c>
      <c r="B603" s="2121" t="s">
        <v>194</v>
      </c>
      <c r="C603" s="3631" t="s">
        <v>195</v>
      </c>
      <c r="D603" s="5141"/>
      <c r="E603" s="6651" t="s">
        <v>16</v>
      </c>
      <c r="F603" s="8161" t="s">
        <v>196</v>
      </c>
      <c r="G603" s="9671" t="s">
        <v>27</v>
      </c>
      <c r="H603" s="11181">
        <v>1</v>
      </c>
      <c r="I603" s="12691"/>
      <c r="J603" t="s">
        <v>28</v>
      </c>
    </row>
    <row r="604" spans="1:10" outlineLevel="3">
      <c r="A604" s="612" t="s">
        <v>1305</v>
      </c>
      <c r="B604" s="2122" t="s">
        <v>627</v>
      </c>
      <c r="C604" s="3632" t="s">
        <v>726</v>
      </c>
      <c r="D604" s="5142"/>
      <c r="E604" s="6652" t="s">
        <v>25</v>
      </c>
      <c r="F604" s="8162" t="s">
        <v>727</v>
      </c>
      <c r="G604" s="9672" t="s">
        <v>27</v>
      </c>
      <c r="H604" s="11182">
        <v>1</v>
      </c>
      <c r="I604" s="12692"/>
      <c r="J604" t="s">
        <v>28</v>
      </c>
    </row>
    <row r="605" spans="1:10" outlineLevel="3">
      <c r="A605" s="613" t="s">
        <v>1306</v>
      </c>
      <c r="B605" s="2123" t="s">
        <v>77</v>
      </c>
      <c r="C605" s="3633" t="s">
        <v>729</v>
      </c>
      <c r="D605" s="5143"/>
      <c r="E605" s="6653" t="s">
        <v>25</v>
      </c>
      <c r="F605" s="8163" t="s">
        <v>730</v>
      </c>
      <c r="G605" s="9673" t="s">
        <v>27</v>
      </c>
      <c r="H605" s="11183">
        <v>1</v>
      </c>
      <c r="I605" s="12693"/>
      <c r="J605" t="s">
        <v>28</v>
      </c>
    </row>
    <row r="606" spans="1:10" outlineLevel="3">
      <c r="A606" s="614" t="s">
        <v>1307</v>
      </c>
      <c r="B606" s="2124" t="s">
        <v>77</v>
      </c>
      <c r="C606" s="3634" t="s">
        <v>734</v>
      </c>
      <c r="D606" s="5144"/>
      <c r="E606" s="6654" t="s">
        <v>25</v>
      </c>
      <c r="F606" s="8164" t="s">
        <v>735</v>
      </c>
      <c r="G606" s="9674" t="s">
        <v>27</v>
      </c>
      <c r="H606" s="11184">
        <v>1</v>
      </c>
      <c r="I606" s="12694"/>
      <c r="J606" t="s">
        <v>28</v>
      </c>
    </row>
    <row r="607" spans="1:10" outlineLevel="3">
      <c r="A607" s="615" t="s">
        <v>1308</v>
      </c>
      <c r="B607" s="2125" t="s">
        <v>627</v>
      </c>
      <c r="C607" s="3635" t="s">
        <v>628</v>
      </c>
      <c r="D607" s="5145"/>
      <c r="E607" s="6655" t="s">
        <v>25</v>
      </c>
      <c r="F607" s="8165" t="s">
        <v>629</v>
      </c>
      <c r="G607" s="9675" t="s">
        <v>27</v>
      </c>
      <c r="H607" s="11185">
        <v>1</v>
      </c>
      <c r="I607" s="12695"/>
      <c r="J607" t="s">
        <v>28</v>
      </c>
    </row>
    <row r="608" spans="1:10" outlineLevel="3">
      <c r="A608" s="616" t="s">
        <v>1309</v>
      </c>
      <c r="B608" s="2126" t="s">
        <v>631</v>
      </c>
      <c r="C608" s="3636" t="s">
        <v>632</v>
      </c>
      <c r="D608" s="5146"/>
      <c r="E608" s="6656" t="s">
        <v>16</v>
      </c>
      <c r="F608" s="8166" t="s">
        <v>633</v>
      </c>
      <c r="G608" s="9676" t="s">
        <v>27</v>
      </c>
      <c r="H608" s="11186">
        <v>1</v>
      </c>
      <c r="I608" s="12696" t="s">
        <v>16</v>
      </c>
      <c r="J608" t="s">
        <v>28</v>
      </c>
    </row>
    <row r="609" spans="1:10" outlineLevel="3">
      <c r="A609" s="617" t="s">
        <v>1310</v>
      </c>
      <c r="B609" s="2127" t="s">
        <v>737</v>
      </c>
      <c r="C609" s="3637" t="s">
        <v>738</v>
      </c>
      <c r="D609" s="5147"/>
      <c r="E609" s="6657"/>
      <c r="F609" s="8167" t="s">
        <v>739</v>
      </c>
      <c r="G609" s="9677" t="s">
        <v>15</v>
      </c>
      <c r="H609" s="11187">
        <v>2</v>
      </c>
      <c r="I609" s="12697"/>
      <c r="J609" t="s">
        <v>28</v>
      </c>
    </row>
    <row r="610" spans="1:10" outlineLevel="4">
      <c r="A610" s="618" t="s">
        <v>1311</v>
      </c>
      <c r="B610" s="2128" t="s">
        <v>741</v>
      </c>
      <c r="C610" s="3638" t="s">
        <v>742</v>
      </c>
      <c r="D610" s="5148" t="s">
        <v>743</v>
      </c>
      <c r="E610" s="6658" t="s">
        <v>744</v>
      </c>
      <c r="F610" s="8168" t="s">
        <v>745</v>
      </c>
      <c r="G610" s="9678" t="s">
        <v>15</v>
      </c>
      <c r="H610" s="11188">
        <v>1</v>
      </c>
      <c r="I610" s="12698" t="s">
        <v>16</v>
      </c>
      <c r="J610" t="s">
        <v>28</v>
      </c>
    </row>
    <row r="611" spans="1:10" outlineLevel="4">
      <c r="A611" s="619" t="s">
        <v>1312</v>
      </c>
      <c r="B611" s="2129" t="s">
        <v>747</v>
      </c>
      <c r="C611" s="3639" t="s">
        <v>748</v>
      </c>
      <c r="D611" s="5149" t="s">
        <v>749</v>
      </c>
      <c r="E611" s="6659" t="s">
        <v>744</v>
      </c>
      <c r="F611" s="8169" t="s">
        <v>750</v>
      </c>
      <c r="G611" s="9679" t="s">
        <v>15</v>
      </c>
      <c r="H611" s="11189" t="s">
        <v>751</v>
      </c>
      <c r="I611" s="12699"/>
      <c r="J611" t="s">
        <v>28</v>
      </c>
    </row>
    <row r="612" spans="1:10" outlineLevel="4">
      <c r="A612" s="620" t="s">
        <v>1313</v>
      </c>
      <c r="B612" s="2130" t="s">
        <v>661</v>
      </c>
      <c r="C612" s="3640" t="s">
        <v>753</v>
      </c>
      <c r="D612" s="5150" t="s">
        <v>754</v>
      </c>
      <c r="E612" s="6660" t="s">
        <v>32</v>
      </c>
      <c r="F612" s="8170" t="s">
        <v>755</v>
      </c>
      <c r="G612" s="9680" t="s">
        <v>15</v>
      </c>
      <c r="H612" s="11190">
        <v>1</v>
      </c>
      <c r="I612" s="12700" t="s">
        <v>16</v>
      </c>
      <c r="J612" t="s">
        <v>28</v>
      </c>
    </row>
    <row r="613" spans="1:10" outlineLevel="3">
      <c r="A613" s="621" t="s">
        <v>1314</v>
      </c>
      <c r="B613" s="2131" t="s">
        <v>764</v>
      </c>
      <c r="C613" s="3641" t="s">
        <v>765</v>
      </c>
      <c r="D613" s="5151"/>
      <c r="E613" s="6661"/>
      <c r="F613" s="8171" t="s">
        <v>766</v>
      </c>
      <c r="G613" s="9681" t="s">
        <v>15</v>
      </c>
      <c r="H613" s="11191">
        <v>4</v>
      </c>
      <c r="I613" s="12701" t="s">
        <v>16</v>
      </c>
      <c r="J613" t="s">
        <v>28</v>
      </c>
    </row>
    <row r="614" spans="1:10" outlineLevel="4">
      <c r="A614" s="622" t="s">
        <v>1315</v>
      </c>
      <c r="B614" s="2132" t="s">
        <v>768</v>
      </c>
      <c r="C614" s="3642"/>
      <c r="D614" s="5152"/>
      <c r="E614" s="6662"/>
      <c r="F614" s="8172" t="s">
        <v>769</v>
      </c>
      <c r="G614" s="9682" t="s">
        <v>15</v>
      </c>
      <c r="H614" s="11192">
        <v>2</v>
      </c>
      <c r="I614" s="12702"/>
      <c r="J614" t="s">
        <v>28</v>
      </c>
    </row>
    <row r="615" spans="1:10" outlineLevel="5">
      <c r="A615" s="623" t="s">
        <v>1316</v>
      </c>
      <c r="B615" s="2133" t="s">
        <v>741</v>
      </c>
      <c r="C615" s="3643" t="s">
        <v>771</v>
      </c>
      <c r="D615" s="5153" t="s">
        <v>772</v>
      </c>
      <c r="E615" s="6663" t="s">
        <v>341</v>
      </c>
      <c r="F615" s="8173" t="s">
        <v>773</v>
      </c>
      <c r="G615" s="9683" t="s">
        <v>15</v>
      </c>
      <c r="H615" s="11193" t="s">
        <v>774</v>
      </c>
      <c r="I615" s="12703"/>
      <c r="J615" t="s">
        <v>28</v>
      </c>
    </row>
    <row r="616" spans="1:10" outlineLevel="5">
      <c r="A616" s="624" t="s">
        <v>1317</v>
      </c>
      <c r="B616" s="2134" t="s">
        <v>741</v>
      </c>
      <c r="C616" s="3644" t="s">
        <v>776</v>
      </c>
      <c r="D616" s="5154"/>
      <c r="E616" s="6664" t="s">
        <v>341</v>
      </c>
      <c r="F616" s="8174" t="s">
        <v>777</v>
      </c>
      <c r="G616" s="9684" t="s">
        <v>15</v>
      </c>
      <c r="H616" s="11194">
        <v>1</v>
      </c>
      <c r="I616" s="12704"/>
      <c r="J616" t="s">
        <v>28</v>
      </c>
    </row>
    <row r="617" spans="1:10" outlineLevel="4">
      <c r="A617" s="625" t="s">
        <v>1318</v>
      </c>
      <c r="B617" s="2135" t="s">
        <v>779</v>
      </c>
      <c r="C617" s="3645" t="s">
        <v>780</v>
      </c>
      <c r="D617" s="5155" t="s">
        <v>780</v>
      </c>
      <c r="E617" s="6665" t="s">
        <v>341</v>
      </c>
      <c r="F617" s="8175" t="s">
        <v>781</v>
      </c>
      <c r="G617" s="9685" t="s">
        <v>27</v>
      </c>
      <c r="H617" s="11195">
        <v>8</v>
      </c>
      <c r="I617" s="12705"/>
      <c r="J617" t="s">
        <v>28</v>
      </c>
    </row>
    <row r="618" spans="1:10" outlineLevel="4">
      <c r="A618" s="626" t="s">
        <v>1319</v>
      </c>
      <c r="B618" s="2136" t="s">
        <v>665</v>
      </c>
      <c r="C618" s="3646" t="s">
        <v>783</v>
      </c>
      <c r="D618" s="5156" t="s">
        <v>784</v>
      </c>
      <c r="E618" s="6666" t="s">
        <v>341</v>
      </c>
      <c r="F618" s="8176" t="s">
        <v>785</v>
      </c>
      <c r="G618" s="9686" t="s">
        <v>27</v>
      </c>
      <c r="H618" s="11196">
        <v>8</v>
      </c>
      <c r="I618" s="12706"/>
      <c r="J618" t="s">
        <v>28</v>
      </c>
    </row>
    <row r="619" spans="1:10" outlineLevel="4">
      <c r="A619" s="627" t="s">
        <v>1320</v>
      </c>
      <c r="B619" s="2137" t="s">
        <v>787</v>
      </c>
      <c r="C619" s="3647" t="s">
        <v>788</v>
      </c>
      <c r="D619" s="5157" t="s">
        <v>789</v>
      </c>
      <c r="E619" s="6667" t="s">
        <v>341</v>
      </c>
      <c r="F619" s="8177" t="s">
        <v>790</v>
      </c>
      <c r="G619" s="9687" t="s">
        <v>27</v>
      </c>
      <c r="H619" s="11197">
        <v>4</v>
      </c>
      <c r="I619" s="12707"/>
      <c r="J619" t="s">
        <v>28</v>
      </c>
    </row>
    <row r="620" spans="1:10" outlineLevel="3">
      <c r="A620" s="628" t="s">
        <v>1321</v>
      </c>
      <c r="B620" s="2138" t="s">
        <v>792</v>
      </c>
      <c r="C620" s="3648" t="s">
        <v>793</v>
      </c>
      <c r="D620" s="5158" t="s">
        <v>794</v>
      </c>
      <c r="E620" s="6668"/>
      <c r="F620" s="8178" t="s">
        <v>795</v>
      </c>
      <c r="G620" s="9688" t="s">
        <v>15</v>
      </c>
      <c r="H620" s="11198">
        <v>4</v>
      </c>
      <c r="I620" s="12708"/>
      <c r="J620" t="s">
        <v>28</v>
      </c>
    </row>
    <row r="621" spans="1:10" outlineLevel="4">
      <c r="A621" s="629" t="s">
        <v>1322</v>
      </c>
      <c r="B621" s="2139" t="s">
        <v>797</v>
      </c>
      <c r="C621" s="3649" t="s">
        <v>798</v>
      </c>
      <c r="D621" s="5159"/>
      <c r="E621" s="6669" t="s">
        <v>32</v>
      </c>
      <c r="F621" s="8179" t="s">
        <v>799</v>
      </c>
      <c r="G621" s="9689" t="s">
        <v>15</v>
      </c>
      <c r="H621" s="11199">
        <v>2</v>
      </c>
      <c r="I621" s="12709"/>
      <c r="J621" t="s">
        <v>28</v>
      </c>
    </row>
    <row r="622" spans="1:10" outlineLevel="4">
      <c r="A622" s="630" t="s">
        <v>1323</v>
      </c>
      <c r="B622" s="2140" t="s">
        <v>787</v>
      </c>
      <c r="C622" s="3650" t="s">
        <v>801</v>
      </c>
      <c r="D622" s="5160" t="s">
        <v>802</v>
      </c>
      <c r="E622" s="6670" t="s">
        <v>32</v>
      </c>
      <c r="F622" s="8180" t="s">
        <v>803</v>
      </c>
      <c r="G622" s="9690" t="s">
        <v>27</v>
      </c>
      <c r="H622" s="11200">
        <v>1</v>
      </c>
      <c r="I622" s="12710"/>
      <c r="J622" t="s">
        <v>28</v>
      </c>
    </row>
    <row r="623" spans="1:10" outlineLevel="4">
      <c r="A623" s="631" t="s">
        <v>1324</v>
      </c>
      <c r="B623" s="2141" t="s">
        <v>665</v>
      </c>
      <c r="C623" s="3651" t="s">
        <v>666</v>
      </c>
      <c r="D623" s="5161"/>
      <c r="E623" s="6671" t="s">
        <v>667</v>
      </c>
      <c r="F623" s="8181" t="s">
        <v>668</v>
      </c>
      <c r="G623" s="9691" t="s">
        <v>27</v>
      </c>
      <c r="H623" s="11201">
        <v>2</v>
      </c>
      <c r="I623" s="12711" t="s">
        <v>16</v>
      </c>
      <c r="J623" t="s">
        <v>28</v>
      </c>
    </row>
    <row r="624" spans="1:10" outlineLevel="4">
      <c r="A624" s="632" t="s">
        <v>1325</v>
      </c>
      <c r="B624" s="2142" t="s">
        <v>779</v>
      </c>
      <c r="C624" s="3652" t="s">
        <v>806</v>
      </c>
      <c r="D624" s="5162"/>
      <c r="E624" s="6672" t="s">
        <v>667</v>
      </c>
      <c r="F624" s="8182" t="s">
        <v>807</v>
      </c>
      <c r="G624" s="9692" t="s">
        <v>27</v>
      </c>
      <c r="H624" s="11202">
        <v>4</v>
      </c>
      <c r="I624" s="12712"/>
      <c r="J624" t="s">
        <v>28</v>
      </c>
    </row>
    <row r="625" spans="1:10" outlineLevel="4">
      <c r="A625" s="633" t="s">
        <v>1326</v>
      </c>
      <c r="B625" s="2143" t="s">
        <v>670</v>
      </c>
      <c r="C625" s="3653" t="s">
        <v>809</v>
      </c>
      <c r="D625" s="5163"/>
      <c r="E625" s="6673" t="s">
        <v>667</v>
      </c>
      <c r="F625" s="8183" t="s">
        <v>810</v>
      </c>
      <c r="G625" s="9693" t="s">
        <v>27</v>
      </c>
      <c r="H625" s="11203">
        <v>2</v>
      </c>
      <c r="I625" s="12713" t="s">
        <v>16</v>
      </c>
      <c r="J625" t="s">
        <v>28</v>
      </c>
    </row>
    <row r="626" spans="1:10" outlineLevel="3">
      <c r="A626" s="634" t="s">
        <v>1327</v>
      </c>
      <c r="B626" s="2144" t="s">
        <v>812</v>
      </c>
      <c r="C626" s="3654" t="s">
        <v>813</v>
      </c>
      <c r="D626" s="5164" t="s">
        <v>794</v>
      </c>
      <c r="E626" s="6674"/>
      <c r="F626" s="8184" t="s">
        <v>814</v>
      </c>
      <c r="G626" s="9694" t="s">
        <v>15</v>
      </c>
      <c r="H626" s="11204">
        <v>4</v>
      </c>
      <c r="I626" s="12714" t="s">
        <v>16</v>
      </c>
      <c r="J626" t="s">
        <v>28</v>
      </c>
    </row>
    <row r="627" spans="1:10" outlineLevel="4">
      <c r="A627" s="635" t="s">
        <v>1328</v>
      </c>
      <c r="B627" s="2145" t="s">
        <v>787</v>
      </c>
      <c r="C627" s="3655" t="s">
        <v>801</v>
      </c>
      <c r="D627" s="5165" t="s">
        <v>802</v>
      </c>
      <c r="E627" s="6675" t="s">
        <v>32</v>
      </c>
      <c r="F627" s="8185" t="s">
        <v>803</v>
      </c>
      <c r="G627" s="9695" t="s">
        <v>27</v>
      </c>
      <c r="H627" s="11205">
        <v>1</v>
      </c>
      <c r="I627" s="12715"/>
      <c r="J627" t="s">
        <v>28</v>
      </c>
    </row>
    <row r="628" spans="1:10" outlineLevel="4">
      <c r="A628" s="636" t="s">
        <v>1329</v>
      </c>
      <c r="B628" s="2146" t="s">
        <v>797</v>
      </c>
      <c r="C628" s="3656" t="s">
        <v>817</v>
      </c>
      <c r="D628" s="5166"/>
      <c r="E628" s="6676" t="s">
        <v>32</v>
      </c>
      <c r="F628" s="8186" t="s">
        <v>818</v>
      </c>
      <c r="G628" s="9696" t="s">
        <v>15</v>
      </c>
      <c r="H628" s="11206">
        <v>2</v>
      </c>
      <c r="I628" s="12716"/>
      <c r="J628" t="s">
        <v>28</v>
      </c>
    </row>
    <row r="629" spans="1:10" outlineLevel="4">
      <c r="A629" s="637" t="s">
        <v>1330</v>
      </c>
      <c r="B629" s="2147" t="s">
        <v>670</v>
      </c>
      <c r="C629" s="3657" t="s">
        <v>820</v>
      </c>
      <c r="D629" s="5167"/>
      <c r="E629" s="6677" t="s">
        <v>667</v>
      </c>
      <c r="F629" s="8187" t="s">
        <v>821</v>
      </c>
      <c r="G629" s="9697" t="s">
        <v>27</v>
      </c>
      <c r="H629" s="11207">
        <v>2</v>
      </c>
      <c r="I629" s="12717" t="s">
        <v>16</v>
      </c>
      <c r="J629" t="s">
        <v>28</v>
      </c>
    </row>
    <row r="630" spans="1:10" outlineLevel="4">
      <c r="A630" s="638" t="s">
        <v>1331</v>
      </c>
      <c r="B630" s="2148" t="s">
        <v>779</v>
      </c>
      <c r="C630" s="3658" t="s">
        <v>823</v>
      </c>
      <c r="D630" s="5168"/>
      <c r="E630" s="6678" t="s">
        <v>667</v>
      </c>
      <c r="F630" s="8188" t="s">
        <v>824</v>
      </c>
      <c r="G630" s="9698" t="s">
        <v>27</v>
      </c>
      <c r="H630" s="11208">
        <v>4</v>
      </c>
      <c r="I630" s="12718"/>
      <c r="J630" t="s">
        <v>28</v>
      </c>
    </row>
    <row r="631" spans="1:10" outlineLevel="4">
      <c r="A631" s="639" t="s">
        <v>1332</v>
      </c>
      <c r="B631" s="2149" t="s">
        <v>665</v>
      </c>
      <c r="C631" s="3659" t="s">
        <v>826</v>
      </c>
      <c r="D631" s="5169"/>
      <c r="E631" s="6679" t="s">
        <v>667</v>
      </c>
      <c r="F631" s="8189" t="s">
        <v>827</v>
      </c>
      <c r="G631" s="9699" t="s">
        <v>27</v>
      </c>
      <c r="H631" s="11209">
        <v>2</v>
      </c>
      <c r="I631" s="12719" t="s">
        <v>16</v>
      </c>
      <c r="J631" t="s">
        <v>28</v>
      </c>
    </row>
    <row r="632" spans="1:10" outlineLevel="3">
      <c r="A632" s="640" t="s">
        <v>1333</v>
      </c>
      <c r="B632" s="2150" t="s">
        <v>81</v>
      </c>
      <c r="C632" s="3660" t="s">
        <v>841</v>
      </c>
      <c r="D632" s="5170"/>
      <c r="E632" s="6680" t="s">
        <v>83</v>
      </c>
      <c r="F632" s="8190" t="s">
        <v>842</v>
      </c>
      <c r="G632" s="9700" t="s">
        <v>15</v>
      </c>
      <c r="H632" s="11210">
        <v>1</v>
      </c>
      <c r="I632" s="12720"/>
      <c r="J632" t="s">
        <v>28</v>
      </c>
    </row>
    <row r="633" spans="1:10" outlineLevel="3">
      <c r="A633" s="641" t="s">
        <v>1334</v>
      </c>
      <c r="B633" s="2151" t="s">
        <v>844</v>
      </c>
      <c r="C633" s="3661" t="s">
        <v>845</v>
      </c>
      <c r="D633" s="5171"/>
      <c r="E633" s="6681" t="s">
        <v>32</v>
      </c>
      <c r="F633" s="8191" t="s">
        <v>846</v>
      </c>
      <c r="G633" s="9701" t="s">
        <v>15</v>
      </c>
      <c r="H633" s="11211">
        <v>1</v>
      </c>
      <c r="I633" s="12721"/>
      <c r="J633" t="s">
        <v>28</v>
      </c>
    </row>
    <row r="634" spans="1:10" outlineLevel="3">
      <c r="A634" s="642" t="s">
        <v>1335</v>
      </c>
      <c r="B634" s="2152" t="s">
        <v>1336</v>
      </c>
      <c r="C634" s="3662" t="s">
        <v>1337</v>
      </c>
      <c r="D634" s="5172"/>
      <c r="E634" s="6682"/>
      <c r="F634" s="8192" t="s">
        <v>1338</v>
      </c>
      <c r="G634" s="9702" t="s">
        <v>15</v>
      </c>
      <c r="H634" s="11212">
        <v>1</v>
      </c>
      <c r="I634" s="12722" t="s">
        <v>16</v>
      </c>
      <c r="J634" t="s">
        <v>28</v>
      </c>
    </row>
    <row r="635" spans="1:10" outlineLevel="4">
      <c r="A635" s="643" t="s">
        <v>1339</v>
      </c>
      <c r="B635" s="2153" t="s">
        <v>275</v>
      </c>
      <c r="C635" s="3663" t="s">
        <v>1340</v>
      </c>
      <c r="D635" s="5173"/>
      <c r="E635" s="6683" t="s">
        <v>32</v>
      </c>
      <c r="F635" s="8193" t="s">
        <v>1341</v>
      </c>
      <c r="G635" s="9703" t="s">
        <v>15</v>
      </c>
      <c r="H635" s="11213">
        <v>1</v>
      </c>
      <c r="I635" s="12723" t="s">
        <v>16</v>
      </c>
      <c r="J635" t="s">
        <v>28</v>
      </c>
    </row>
    <row r="636" spans="1:10" outlineLevel="4">
      <c r="A636" s="644" t="s">
        <v>1342</v>
      </c>
      <c r="B636" s="2154" t="s">
        <v>661</v>
      </c>
      <c r="C636" s="3664" t="s">
        <v>662</v>
      </c>
      <c r="D636" s="5174"/>
      <c r="E636" s="6684" t="s">
        <v>32</v>
      </c>
      <c r="F636" s="8194" t="s">
        <v>663</v>
      </c>
      <c r="G636" s="9704" t="s">
        <v>15</v>
      </c>
      <c r="H636" s="11214">
        <v>1</v>
      </c>
      <c r="I636" s="12724" t="s">
        <v>16</v>
      </c>
      <c r="J636" t="s">
        <v>28</v>
      </c>
    </row>
    <row r="637" spans="1:10" outlineLevel="4">
      <c r="A637" s="645" t="s">
        <v>1343</v>
      </c>
      <c r="B637" s="2155" t="s">
        <v>665</v>
      </c>
      <c r="C637" s="3665" t="s">
        <v>666</v>
      </c>
      <c r="D637" s="5175"/>
      <c r="E637" s="6685" t="s">
        <v>667</v>
      </c>
      <c r="F637" s="8195" t="s">
        <v>668</v>
      </c>
      <c r="G637" s="9705" t="s">
        <v>27</v>
      </c>
      <c r="H637" s="11215">
        <v>1</v>
      </c>
      <c r="I637" s="12725" t="s">
        <v>16</v>
      </c>
      <c r="J637" t="s">
        <v>28</v>
      </c>
    </row>
    <row r="638" spans="1:10" outlineLevel="4">
      <c r="A638" s="646" t="s">
        <v>1344</v>
      </c>
      <c r="B638" s="2156" t="s">
        <v>670</v>
      </c>
      <c r="C638" s="3666" t="s">
        <v>671</v>
      </c>
      <c r="D638" s="5176"/>
      <c r="E638" s="6686" t="s">
        <v>667</v>
      </c>
      <c r="F638" s="8196" t="s">
        <v>672</v>
      </c>
      <c r="G638" s="9706" t="s">
        <v>27</v>
      </c>
      <c r="H638" s="11216">
        <v>1</v>
      </c>
      <c r="I638" s="12726" t="s">
        <v>16</v>
      </c>
      <c r="J638" t="s">
        <v>28</v>
      </c>
    </row>
    <row r="639" spans="1:10" outlineLevel="3">
      <c r="A639" s="647" t="s">
        <v>1345</v>
      </c>
      <c r="B639" s="2157" t="s">
        <v>757</v>
      </c>
      <c r="C639" s="3667" t="s">
        <v>758</v>
      </c>
      <c r="D639" s="5177"/>
      <c r="E639" s="6687" t="s">
        <v>32</v>
      </c>
      <c r="F639" s="8197" t="s">
        <v>759</v>
      </c>
      <c r="G639" s="9707" t="s">
        <v>15</v>
      </c>
      <c r="H639" s="11217">
        <v>1</v>
      </c>
      <c r="I639" s="12727" t="s">
        <v>16</v>
      </c>
      <c r="J639" t="s">
        <v>28</v>
      </c>
    </row>
    <row r="640" spans="1:10" outlineLevel="2">
      <c r="A640" s="648" t="s">
        <v>1346</v>
      </c>
      <c r="B640" s="2158" t="s">
        <v>1347</v>
      </c>
      <c r="C640" s="3668"/>
      <c r="D640" s="5178"/>
      <c r="E640" s="6688"/>
      <c r="F640" s="8198" t="s">
        <v>1348</v>
      </c>
      <c r="G640" s="9708" t="s">
        <v>15</v>
      </c>
      <c r="H640" s="11218">
        <v>1</v>
      </c>
      <c r="I640" s="12728"/>
      <c r="J640" t="s">
        <v>28</v>
      </c>
    </row>
    <row r="641" spans="1:10" outlineLevel="3">
      <c r="A641" s="649" t="s">
        <v>1349</v>
      </c>
      <c r="B641" s="2159" t="s">
        <v>35</v>
      </c>
      <c r="C641" s="3669" t="s">
        <v>1350</v>
      </c>
      <c r="D641" s="5179"/>
      <c r="E641" s="6689" t="s">
        <v>32</v>
      </c>
      <c r="F641" s="8199" t="s">
        <v>1351</v>
      </c>
      <c r="G641" s="9709" t="s">
        <v>15</v>
      </c>
      <c r="H641" s="11219">
        <v>1</v>
      </c>
      <c r="I641" s="12729" t="s">
        <v>16</v>
      </c>
      <c r="J641" t="s">
        <v>28</v>
      </c>
    </row>
    <row r="642" spans="1:10" outlineLevel="3">
      <c r="A642" s="650" t="s">
        <v>1352</v>
      </c>
      <c r="B642" s="2160" t="s">
        <v>23</v>
      </c>
      <c r="C642" s="3670" t="s">
        <v>610</v>
      </c>
      <c r="D642" s="5180"/>
      <c r="E642" s="6690" t="s">
        <v>32</v>
      </c>
      <c r="F642" s="8200" t="s">
        <v>611</v>
      </c>
      <c r="G642" s="9710" t="s">
        <v>27</v>
      </c>
      <c r="H642" s="11220">
        <v>14</v>
      </c>
      <c r="I642" s="12730"/>
      <c r="J642" t="s">
        <v>28</v>
      </c>
    </row>
    <row r="643" spans="1:10" outlineLevel="3">
      <c r="A643" s="651" t="s">
        <v>1353</v>
      </c>
      <c r="B643" s="2161" t="s">
        <v>30</v>
      </c>
      <c r="C643" s="3671" t="s">
        <v>607</v>
      </c>
      <c r="D643" s="5181"/>
      <c r="E643" s="6691" t="s">
        <v>32</v>
      </c>
      <c r="F643" s="8201" t="s">
        <v>608</v>
      </c>
      <c r="G643" s="9711" t="s">
        <v>27</v>
      </c>
      <c r="H643" s="11221">
        <v>14</v>
      </c>
      <c r="I643" s="12731"/>
      <c r="J643" t="s">
        <v>28</v>
      </c>
    </row>
    <row r="644" spans="1:10" outlineLevel="3">
      <c r="A644" s="652" t="s">
        <v>1354</v>
      </c>
      <c r="B644" s="2162" t="s">
        <v>708</v>
      </c>
      <c r="C644" s="3672" t="s">
        <v>709</v>
      </c>
      <c r="D644" s="5182"/>
      <c r="E644" s="6692" t="s">
        <v>16</v>
      </c>
      <c r="F644" s="8202" t="s">
        <v>710</v>
      </c>
      <c r="G644" s="9712" t="s">
        <v>15</v>
      </c>
      <c r="H644" s="11222">
        <v>2</v>
      </c>
      <c r="I644" s="12732"/>
      <c r="J644" t="s">
        <v>28</v>
      </c>
    </row>
    <row r="645" spans="1:10" outlineLevel="3">
      <c r="A645" s="653" t="s">
        <v>1355</v>
      </c>
      <c r="B645" s="2163" t="s">
        <v>243</v>
      </c>
      <c r="C645" s="3673" t="s">
        <v>690</v>
      </c>
      <c r="D645" s="5183"/>
      <c r="E645" s="6693" t="s">
        <v>16</v>
      </c>
      <c r="F645" s="8203" t="s">
        <v>691</v>
      </c>
      <c r="G645" s="9713" t="s">
        <v>15</v>
      </c>
      <c r="H645" s="11223">
        <v>2</v>
      </c>
      <c r="I645" s="12733"/>
      <c r="J645" t="s">
        <v>28</v>
      </c>
    </row>
    <row r="646" spans="1:10" ht="15.75" outlineLevel="3">
      <c r="A646" s="654" t="s">
        <v>1356</v>
      </c>
      <c r="B646" s="2164" t="s">
        <v>721</v>
      </c>
      <c r="C646" s="3674" t="s">
        <v>722</v>
      </c>
      <c r="D646" s="5184"/>
      <c r="E646" s="6694" t="s">
        <v>32</v>
      </c>
      <c r="F646" s="8204" t="s">
        <v>723</v>
      </c>
      <c r="G646" s="9714" t="s">
        <v>15</v>
      </c>
      <c r="H646" s="11224">
        <v>2</v>
      </c>
      <c r="I646" s="12734" t="s">
        <v>16</v>
      </c>
      <c r="J646" s="13600" t="str">
        <f>HYPERLINK("\\192.168.170.18\drawings\2-Basic Components\0000-342 - Pipe Holders\0000-342-028-- - Pipe Holder DN100-Ø114,3.pdf", "PDF")</f>
        <v>PDF</v>
      </c>
    </row>
    <row r="647" spans="1:10" outlineLevel="3">
      <c r="A647" s="655" t="s">
        <v>1357</v>
      </c>
      <c r="B647" s="2165" t="s">
        <v>48</v>
      </c>
      <c r="C647" s="3675" t="s">
        <v>701</v>
      </c>
      <c r="D647" s="5185"/>
      <c r="E647" s="6695" t="s">
        <v>32</v>
      </c>
      <c r="F647" s="8205" t="s">
        <v>702</v>
      </c>
      <c r="G647" s="9715" t="s">
        <v>27</v>
      </c>
      <c r="H647" s="11225">
        <v>3</v>
      </c>
      <c r="I647" s="12735"/>
      <c r="J647" t="s">
        <v>28</v>
      </c>
    </row>
    <row r="648" spans="1:10" outlineLevel="3">
      <c r="A648" s="656" t="s">
        <v>1358</v>
      </c>
      <c r="B648" s="2166" t="s">
        <v>48</v>
      </c>
      <c r="C648" s="3676" t="s">
        <v>698</v>
      </c>
      <c r="D648" s="5186"/>
      <c r="E648" s="6696" t="s">
        <v>32</v>
      </c>
      <c r="F648" s="8206" t="s">
        <v>699</v>
      </c>
      <c r="G648" s="9716" t="s">
        <v>27</v>
      </c>
      <c r="H648" s="11226">
        <v>1</v>
      </c>
      <c r="I648" s="12736"/>
      <c r="J648" t="s">
        <v>28</v>
      </c>
    </row>
    <row r="649" spans="1:10" outlineLevel="3">
      <c r="A649" s="657" t="s">
        <v>1359</v>
      </c>
      <c r="B649" s="2167" t="s">
        <v>704</v>
      </c>
      <c r="C649" s="3677" t="s">
        <v>705</v>
      </c>
      <c r="D649" s="5187"/>
      <c r="E649" s="6697" t="s">
        <v>32</v>
      </c>
      <c r="F649" s="8207" t="s">
        <v>706</v>
      </c>
      <c r="G649" s="9717" t="s">
        <v>27</v>
      </c>
      <c r="H649" s="11227">
        <v>2</v>
      </c>
      <c r="I649" s="12737"/>
      <c r="J649" t="s">
        <v>28</v>
      </c>
    </row>
    <row r="650" spans="1:10" ht="15.75" outlineLevel="3">
      <c r="A650" s="658" t="s">
        <v>1360</v>
      </c>
      <c r="B650" s="2168" t="s">
        <v>654</v>
      </c>
      <c r="C650" s="3678" t="s">
        <v>655</v>
      </c>
      <c r="D650" s="5188"/>
      <c r="E650" s="6698"/>
      <c r="F650" s="8208" t="s">
        <v>656</v>
      </c>
      <c r="G650" s="9718" t="s">
        <v>15</v>
      </c>
      <c r="H650" s="11228">
        <v>2</v>
      </c>
      <c r="I650" s="12738" t="s">
        <v>16</v>
      </c>
      <c r="J650" s="13600" t="str">
        <f>HYPERLINK("\\192.168.170.18\drawings\2-Basic Components\0000-342 - Pipe Holders\0000-342-021-- - Pipe holder foot L=200.pdf", "PDF")</f>
        <v>PDF</v>
      </c>
    </row>
    <row r="651" spans="1:10" outlineLevel="4">
      <c r="A651" s="659" t="s">
        <v>1361</v>
      </c>
      <c r="B651" s="2169" t="s">
        <v>275</v>
      </c>
      <c r="C651" s="3679" t="s">
        <v>658</v>
      </c>
      <c r="D651" s="5189"/>
      <c r="E651" s="6699" t="s">
        <v>32</v>
      </c>
      <c r="F651" s="8209" t="s">
        <v>659</v>
      </c>
      <c r="G651" s="9719" t="s">
        <v>15</v>
      </c>
      <c r="H651" s="11229">
        <v>1</v>
      </c>
      <c r="I651" s="12739" t="s">
        <v>16</v>
      </c>
      <c r="J651" t="s">
        <v>28</v>
      </c>
    </row>
    <row r="652" spans="1:10" outlineLevel="4">
      <c r="A652" s="660" t="s">
        <v>1362</v>
      </c>
      <c r="B652" s="2170" t="s">
        <v>661</v>
      </c>
      <c r="C652" s="3680" t="s">
        <v>662</v>
      </c>
      <c r="D652" s="5190"/>
      <c r="E652" s="6700" t="s">
        <v>32</v>
      </c>
      <c r="F652" s="8210" t="s">
        <v>663</v>
      </c>
      <c r="G652" s="9720" t="s">
        <v>15</v>
      </c>
      <c r="H652" s="11230">
        <v>1</v>
      </c>
      <c r="I652" s="12740" t="s">
        <v>16</v>
      </c>
      <c r="J652" t="s">
        <v>28</v>
      </c>
    </row>
    <row r="653" spans="1:10" outlineLevel="4">
      <c r="A653" s="661" t="s">
        <v>1363</v>
      </c>
      <c r="B653" s="2171" t="s">
        <v>665</v>
      </c>
      <c r="C653" s="3681" t="s">
        <v>666</v>
      </c>
      <c r="D653" s="5191"/>
      <c r="E653" s="6701" t="s">
        <v>667</v>
      </c>
      <c r="F653" s="8211" t="s">
        <v>668</v>
      </c>
      <c r="G653" s="9721" t="s">
        <v>27</v>
      </c>
      <c r="H653" s="11231">
        <v>1</v>
      </c>
      <c r="I653" s="12741" t="s">
        <v>16</v>
      </c>
      <c r="J653" t="s">
        <v>28</v>
      </c>
    </row>
    <row r="654" spans="1:10" outlineLevel="4">
      <c r="A654" s="662" t="s">
        <v>1364</v>
      </c>
      <c r="B654" s="2172" t="s">
        <v>670</v>
      </c>
      <c r="C654" s="3682" t="s">
        <v>671</v>
      </c>
      <c r="D654" s="5192"/>
      <c r="E654" s="6702" t="s">
        <v>667</v>
      </c>
      <c r="F654" s="8212" t="s">
        <v>672</v>
      </c>
      <c r="G654" s="9722" t="s">
        <v>27</v>
      </c>
      <c r="H654" s="11232">
        <v>1</v>
      </c>
      <c r="I654" s="12742" t="s">
        <v>16</v>
      </c>
      <c r="J654" t="s">
        <v>28</v>
      </c>
    </row>
    <row r="655" spans="1:10" ht="15.75" outlineLevel="3">
      <c r="A655" s="663" t="s">
        <v>1365</v>
      </c>
      <c r="B655" s="2173" t="s">
        <v>829</v>
      </c>
      <c r="C655" s="3683" t="s">
        <v>830</v>
      </c>
      <c r="D655" s="5193"/>
      <c r="E655" s="6703"/>
      <c r="F655" s="8213" t="s">
        <v>831</v>
      </c>
      <c r="G655" s="9723" t="s">
        <v>832</v>
      </c>
      <c r="H655" s="11233">
        <v>2</v>
      </c>
      <c r="I655" s="12743" t="s">
        <v>16</v>
      </c>
      <c r="J655" s="13600" t="str">
        <f>HYPERLINK("\\192.168.170.18\drawings\2-Basic Components\0000-342 - Pipe Holders\0000-342-027-- - Pipe Holder DN100-Ø114.pdf", "PDF")</f>
        <v>PDF</v>
      </c>
    </row>
    <row r="656" spans="1:10" outlineLevel="4">
      <c r="A656" s="664" t="s">
        <v>1366</v>
      </c>
      <c r="B656" s="2174" t="s">
        <v>661</v>
      </c>
      <c r="C656" s="3684" t="s">
        <v>834</v>
      </c>
      <c r="D656" s="5194"/>
      <c r="E656" s="6704" t="s">
        <v>32</v>
      </c>
      <c r="F656" s="8214" t="s">
        <v>835</v>
      </c>
      <c r="G656" s="9724" t="s">
        <v>832</v>
      </c>
      <c r="H656" s="11234">
        <v>1</v>
      </c>
      <c r="I656" s="12744" t="s">
        <v>16</v>
      </c>
      <c r="J656" t="s">
        <v>28</v>
      </c>
    </row>
    <row r="657" spans="1:10" outlineLevel="4">
      <c r="A657" s="665" t="s">
        <v>1367</v>
      </c>
      <c r="B657" s="2175" t="s">
        <v>797</v>
      </c>
      <c r="C657" s="3685" t="s">
        <v>798</v>
      </c>
      <c r="D657" s="5195"/>
      <c r="E657" s="6705" t="s">
        <v>32</v>
      </c>
      <c r="F657" s="8215" t="s">
        <v>799</v>
      </c>
      <c r="G657" s="9725" t="s">
        <v>15</v>
      </c>
      <c r="H657" s="11235">
        <v>2</v>
      </c>
      <c r="I657" s="12745"/>
      <c r="J657" t="s">
        <v>28</v>
      </c>
    </row>
    <row r="658" spans="1:10" outlineLevel="4">
      <c r="A658" s="666" t="s">
        <v>1368</v>
      </c>
      <c r="B658" s="2176" t="s">
        <v>779</v>
      </c>
      <c r="C658" s="3686" t="s">
        <v>806</v>
      </c>
      <c r="D658" s="5196"/>
      <c r="E658" s="6706" t="s">
        <v>667</v>
      </c>
      <c r="F658" s="8216" t="s">
        <v>807</v>
      </c>
      <c r="G658" s="9726" t="s">
        <v>27</v>
      </c>
      <c r="H658" s="11236">
        <v>4</v>
      </c>
      <c r="I658" s="12746"/>
      <c r="J658" t="s">
        <v>28</v>
      </c>
    </row>
    <row r="659" spans="1:10" outlineLevel="4">
      <c r="A659" s="667" t="s">
        <v>1369</v>
      </c>
      <c r="B659" s="2177" t="s">
        <v>665</v>
      </c>
      <c r="C659" s="3687" t="s">
        <v>666</v>
      </c>
      <c r="D659" s="5197"/>
      <c r="E659" s="6707" t="s">
        <v>667</v>
      </c>
      <c r="F659" s="8217" t="s">
        <v>668</v>
      </c>
      <c r="G659" s="9727" t="s">
        <v>27</v>
      </c>
      <c r="H659" s="11237">
        <v>2</v>
      </c>
      <c r="I659" s="12747" t="s">
        <v>16</v>
      </c>
      <c r="J659" t="s">
        <v>28</v>
      </c>
    </row>
    <row r="660" spans="1:10" outlineLevel="4">
      <c r="A660" s="668" t="s">
        <v>1370</v>
      </c>
      <c r="B660" s="2178" t="s">
        <v>670</v>
      </c>
      <c r="C660" s="3688" t="s">
        <v>809</v>
      </c>
      <c r="D660" s="5198"/>
      <c r="E660" s="6708" t="s">
        <v>667</v>
      </c>
      <c r="F660" s="8218" t="s">
        <v>810</v>
      </c>
      <c r="G660" s="9728" t="s">
        <v>27</v>
      </c>
      <c r="H660" s="11238">
        <v>2</v>
      </c>
      <c r="I660" s="12748" t="s">
        <v>16</v>
      </c>
      <c r="J660" t="s">
        <v>28</v>
      </c>
    </row>
    <row r="661" spans="1:10" outlineLevel="3">
      <c r="A661" s="669" t="s">
        <v>1371</v>
      </c>
      <c r="B661" s="2179" t="s">
        <v>712</v>
      </c>
      <c r="C661" s="3689" t="s">
        <v>713</v>
      </c>
      <c r="D661" s="5199"/>
      <c r="E661" s="6709" t="s">
        <v>16</v>
      </c>
      <c r="F661" s="8219" t="s">
        <v>714</v>
      </c>
      <c r="G661" s="9729" t="s">
        <v>27</v>
      </c>
      <c r="H661" s="11239">
        <v>2</v>
      </c>
      <c r="I661" s="12749"/>
      <c r="J661" t="s">
        <v>28</v>
      </c>
    </row>
    <row r="662" spans="1:10" outlineLevel="2">
      <c r="A662" s="670" t="s">
        <v>1372</v>
      </c>
      <c r="B662" s="2180" t="s">
        <v>1373</v>
      </c>
      <c r="C662" s="3690"/>
      <c r="D662" s="5200"/>
      <c r="E662" s="6710"/>
      <c r="F662" s="8220" t="s">
        <v>1374</v>
      </c>
      <c r="G662" s="9730" t="s">
        <v>15</v>
      </c>
      <c r="H662" s="11240">
        <v>1</v>
      </c>
      <c r="I662" s="12750"/>
      <c r="J662" t="s">
        <v>28</v>
      </c>
    </row>
    <row r="663" spans="1:10" outlineLevel="3">
      <c r="A663" s="671" t="s">
        <v>1375</v>
      </c>
      <c r="B663" s="2181" t="s">
        <v>35</v>
      </c>
      <c r="C663" s="3691" t="s">
        <v>1376</v>
      </c>
      <c r="D663" s="5201"/>
      <c r="E663" s="6711" t="s">
        <v>32</v>
      </c>
      <c r="F663" s="8221" t="s">
        <v>1377</v>
      </c>
      <c r="G663" s="9731" t="s">
        <v>15</v>
      </c>
      <c r="H663" s="11241">
        <v>1</v>
      </c>
      <c r="I663" s="12751" t="s">
        <v>16</v>
      </c>
      <c r="J663" t="s">
        <v>28</v>
      </c>
    </row>
    <row r="664" spans="1:10" outlineLevel="3">
      <c r="A664" s="672" t="s">
        <v>1378</v>
      </c>
      <c r="B664" s="2182" t="s">
        <v>23</v>
      </c>
      <c r="C664" s="3692" t="s">
        <v>610</v>
      </c>
      <c r="D664" s="5202"/>
      <c r="E664" s="6712" t="s">
        <v>32</v>
      </c>
      <c r="F664" s="8222" t="s">
        <v>611</v>
      </c>
      <c r="G664" s="9732" t="s">
        <v>27</v>
      </c>
      <c r="H664" s="11242">
        <v>14</v>
      </c>
      <c r="I664" s="12752"/>
      <c r="J664" t="s">
        <v>28</v>
      </c>
    </row>
    <row r="665" spans="1:10" outlineLevel="3">
      <c r="A665" s="673" t="s">
        <v>1379</v>
      </c>
      <c r="B665" s="2183" t="s">
        <v>30</v>
      </c>
      <c r="C665" s="3693" t="s">
        <v>607</v>
      </c>
      <c r="D665" s="5203"/>
      <c r="E665" s="6713" t="s">
        <v>32</v>
      </c>
      <c r="F665" s="8223" t="s">
        <v>608</v>
      </c>
      <c r="G665" s="9733" t="s">
        <v>27</v>
      </c>
      <c r="H665" s="11243">
        <v>14</v>
      </c>
      <c r="I665" s="12753"/>
      <c r="J665" t="s">
        <v>28</v>
      </c>
    </row>
    <row r="666" spans="1:10" outlineLevel="3">
      <c r="A666" s="674" t="s">
        <v>1380</v>
      </c>
      <c r="B666" s="2184" t="s">
        <v>708</v>
      </c>
      <c r="C666" s="3694" t="s">
        <v>709</v>
      </c>
      <c r="D666" s="5204"/>
      <c r="E666" s="6714" t="s">
        <v>16</v>
      </c>
      <c r="F666" s="8224" t="s">
        <v>710</v>
      </c>
      <c r="G666" s="9734" t="s">
        <v>15</v>
      </c>
      <c r="H666" s="11244">
        <v>2</v>
      </c>
      <c r="I666" s="12754"/>
      <c r="J666" t="s">
        <v>28</v>
      </c>
    </row>
    <row r="667" spans="1:10" outlineLevel="3">
      <c r="A667" s="675" t="s">
        <v>1381</v>
      </c>
      <c r="B667" s="2185" t="s">
        <v>243</v>
      </c>
      <c r="C667" s="3695" t="s">
        <v>690</v>
      </c>
      <c r="D667" s="5205"/>
      <c r="E667" s="6715" t="s">
        <v>16</v>
      </c>
      <c r="F667" s="8225" t="s">
        <v>691</v>
      </c>
      <c r="G667" s="9735" t="s">
        <v>15</v>
      </c>
      <c r="H667" s="11245">
        <v>2</v>
      </c>
      <c r="I667" s="12755"/>
      <c r="J667" t="s">
        <v>28</v>
      </c>
    </row>
    <row r="668" spans="1:10" ht="15.75" outlineLevel="3">
      <c r="A668" s="676" t="s">
        <v>1382</v>
      </c>
      <c r="B668" s="2186" t="s">
        <v>721</v>
      </c>
      <c r="C668" s="3696" t="s">
        <v>722</v>
      </c>
      <c r="D668" s="5206"/>
      <c r="E668" s="6716" t="s">
        <v>32</v>
      </c>
      <c r="F668" s="8226" t="s">
        <v>723</v>
      </c>
      <c r="G668" s="9736" t="s">
        <v>15</v>
      </c>
      <c r="H668" s="11246">
        <v>2</v>
      </c>
      <c r="I668" s="12756" t="s">
        <v>16</v>
      </c>
      <c r="J668" s="13600" t="str">
        <f>HYPERLINK("\\192.168.170.18\drawings\2-Basic Components\0000-342 - Pipe Holders\0000-342-028-- - Pipe Holder DN100-Ø114,3.pdf", "PDF")</f>
        <v>PDF</v>
      </c>
    </row>
    <row r="669" spans="1:10" outlineLevel="3">
      <c r="A669" s="677" t="s">
        <v>1383</v>
      </c>
      <c r="B669" s="2187" t="s">
        <v>48</v>
      </c>
      <c r="C669" s="3697" t="s">
        <v>701</v>
      </c>
      <c r="D669" s="5207"/>
      <c r="E669" s="6717" t="s">
        <v>32</v>
      </c>
      <c r="F669" s="8227" t="s">
        <v>702</v>
      </c>
      <c r="G669" s="9737" t="s">
        <v>27</v>
      </c>
      <c r="H669" s="11247">
        <v>3</v>
      </c>
      <c r="I669" s="12757"/>
      <c r="J669" t="s">
        <v>28</v>
      </c>
    </row>
    <row r="670" spans="1:10" outlineLevel="3">
      <c r="A670" s="678" t="s">
        <v>1384</v>
      </c>
      <c r="B670" s="2188" t="s">
        <v>704</v>
      </c>
      <c r="C670" s="3698" t="s">
        <v>705</v>
      </c>
      <c r="D670" s="5208"/>
      <c r="E670" s="6718" t="s">
        <v>32</v>
      </c>
      <c r="F670" s="8228" t="s">
        <v>706</v>
      </c>
      <c r="G670" s="9738" t="s">
        <v>27</v>
      </c>
      <c r="H670" s="11248">
        <v>2</v>
      </c>
      <c r="I670" s="12758"/>
      <c r="J670" t="s">
        <v>28</v>
      </c>
    </row>
    <row r="671" spans="1:10" ht="15.75" outlineLevel="3">
      <c r="A671" s="679" t="s">
        <v>1385</v>
      </c>
      <c r="B671" s="2189" t="s">
        <v>654</v>
      </c>
      <c r="C671" s="3699" t="s">
        <v>655</v>
      </c>
      <c r="D671" s="5209"/>
      <c r="E671" s="6719"/>
      <c r="F671" s="8229" t="s">
        <v>656</v>
      </c>
      <c r="G671" s="9739" t="s">
        <v>15</v>
      </c>
      <c r="H671" s="11249">
        <v>2</v>
      </c>
      <c r="I671" s="12759" t="s">
        <v>16</v>
      </c>
      <c r="J671" s="13600" t="str">
        <f>HYPERLINK("\\192.168.170.18\drawings\2-Basic Components\0000-342 - Pipe Holders\0000-342-021-- - Pipe holder foot L=200.pdf", "PDF")</f>
        <v>PDF</v>
      </c>
    </row>
    <row r="672" spans="1:10" outlineLevel="4">
      <c r="A672" s="680" t="s">
        <v>1386</v>
      </c>
      <c r="B672" s="2190" t="s">
        <v>275</v>
      </c>
      <c r="C672" s="3700" t="s">
        <v>658</v>
      </c>
      <c r="D672" s="5210"/>
      <c r="E672" s="6720" t="s">
        <v>32</v>
      </c>
      <c r="F672" s="8230" t="s">
        <v>659</v>
      </c>
      <c r="G672" s="9740" t="s">
        <v>15</v>
      </c>
      <c r="H672" s="11250">
        <v>1</v>
      </c>
      <c r="I672" s="12760" t="s">
        <v>16</v>
      </c>
      <c r="J672" t="s">
        <v>28</v>
      </c>
    </row>
    <row r="673" spans="1:10" outlineLevel="4">
      <c r="A673" s="681" t="s">
        <v>1387</v>
      </c>
      <c r="B673" s="2191" t="s">
        <v>661</v>
      </c>
      <c r="C673" s="3701" t="s">
        <v>662</v>
      </c>
      <c r="D673" s="5211"/>
      <c r="E673" s="6721" t="s">
        <v>32</v>
      </c>
      <c r="F673" s="8231" t="s">
        <v>663</v>
      </c>
      <c r="G673" s="9741" t="s">
        <v>15</v>
      </c>
      <c r="H673" s="11251">
        <v>1</v>
      </c>
      <c r="I673" s="12761" t="s">
        <v>16</v>
      </c>
      <c r="J673" t="s">
        <v>28</v>
      </c>
    </row>
    <row r="674" spans="1:10" outlineLevel="4">
      <c r="A674" s="682" t="s">
        <v>1388</v>
      </c>
      <c r="B674" s="2192" t="s">
        <v>665</v>
      </c>
      <c r="C674" s="3702" t="s">
        <v>666</v>
      </c>
      <c r="D674" s="5212"/>
      <c r="E674" s="6722" t="s">
        <v>667</v>
      </c>
      <c r="F674" s="8232" t="s">
        <v>668</v>
      </c>
      <c r="G674" s="9742" t="s">
        <v>27</v>
      </c>
      <c r="H674" s="11252">
        <v>1</v>
      </c>
      <c r="I674" s="12762" t="s">
        <v>16</v>
      </c>
      <c r="J674" t="s">
        <v>28</v>
      </c>
    </row>
    <row r="675" spans="1:10" outlineLevel="4">
      <c r="A675" s="683" t="s">
        <v>1389</v>
      </c>
      <c r="B675" s="2193" t="s">
        <v>670</v>
      </c>
      <c r="C675" s="3703" t="s">
        <v>671</v>
      </c>
      <c r="D675" s="5213"/>
      <c r="E675" s="6723" t="s">
        <v>667</v>
      </c>
      <c r="F675" s="8233" t="s">
        <v>672</v>
      </c>
      <c r="G675" s="9743" t="s">
        <v>27</v>
      </c>
      <c r="H675" s="11253">
        <v>1</v>
      </c>
      <c r="I675" s="12763" t="s">
        <v>16</v>
      </c>
      <c r="J675" t="s">
        <v>28</v>
      </c>
    </row>
    <row r="676" spans="1:10" ht="15.75" outlineLevel="3">
      <c r="A676" s="684" t="s">
        <v>1390</v>
      </c>
      <c r="B676" s="2194" t="s">
        <v>829</v>
      </c>
      <c r="C676" s="3704" t="s">
        <v>830</v>
      </c>
      <c r="D676" s="5214"/>
      <c r="E676" s="6724"/>
      <c r="F676" s="8234" t="s">
        <v>831</v>
      </c>
      <c r="G676" s="9744" t="s">
        <v>832</v>
      </c>
      <c r="H676" s="11254">
        <v>2</v>
      </c>
      <c r="I676" s="12764" t="s">
        <v>16</v>
      </c>
      <c r="J676" s="13600" t="str">
        <f>HYPERLINK("\\192.168.170.18\drawings\2-Basic Components\0000-342 - Pipe Holders\0000-342-027-- - Pipe Holder DN100-Ø114.pdf", "PDF")</f>
        <v>PDF</v>
      </c>
    </row>
    <row r="677" spans="1:10" outlineLevel="4">
      <c r="A677" s="685" t="s">
        <v>1391</v>
      </c>
      <c r="B677" s="2195" t="s">
        <v>661</v>
      </c>
      <c r="C677" s="3705" t="s">
        <v>834</v>
      </c>
      <c r="D677" s="5215"/>
      <c r="E677" s="6725" t="s">
        <v>32</v>
      </c>
      <c r="F677" s="8235" t="s">
        <v>835</v>
      </c>
      <c r="G677" s="9745" t="s">
        <v>832</v>
      </c>
      <c r="H677" s="11255">
        <v>1</v>
      </c>
      <c r="I677" s="12765" t="s">
        <v>16</v>
      </c>
      <c r="J677" t="s">
        <v>28</v>
      </c>
    </row>
    <row r="678" spans="1:10" outlineLevel="4">
      <c r="A678" s="686" t="s">
        <v>1392</v>
      </c>
      <c r="B678" s="2196" t="s">
        <v>797</v>
      </c>
      <c r="C678" s="3706" t="s">
        <v>798</v>
      </c>
      <c r="D678" s="5216"/>
      <c r="E678" s="6726" t="s">
        <v>32</v>
      </c>
      <c r="F678" s="8236" t="s">
        <v>799</v>
      </c>
      <c r="G678" s="9746" t="s">
        <v>15</v>
      </c>
      <c r="H678" s="11256">
        <v>2</v>
      </c>
      <c r="I678" s="12766"/>
      <c r="J678" t="s">
        <v>28</v>
      </c>
    </row>
    <row r="679" spans="1:10" outlineLevel="4">
      <c r="A679" s="687" t="s">
        <v>1393</v>
      </c>
      <c r="B679" s="2197" t="s">
        <v>779</v>
      </c>
      <c r="C679" s="3707" t="s">
        <v>806</v>
      </c>
      <c r="D679" s="5217"/>
      <c r="E679" s="6727" t="s">
        <v>667</v>
      </c>
      <c r="F679" s="8237" t="s">
        <v>807</v>
      </c>
      <c r="G679" s="9747" t="s">
        <v>27</v>
      </c>
      <c r="H679" s="11257">
        <v>4</v>
      </c>
      <c r="I679" s="12767"/>
      <c r="J679" t="s">
        <v>28</v>
      </c>
    </row>
    <row r="680" spans="1:10" outlineLevel="4">
      <c r="A680" s="688" t="s">
        <v>1394</v>
      </c>
      <c r="B680" s="2198" t="s">
        <v>665</v>
      </c>
      <c r="C680" s="3708" t="s">
        <v>666</v>
      </c>
      <c r="D680" s="5218"/>
      <c r="E680" s="6728" t="s">
        <v>667</v>
      </c>
      <c r="F680" s="8238" t="s">
        <v>668</v>
      </c>
      <c r="G680" s="9748" t="s">
        <v>27</v>
      </c>
      <c r="H680" s="11258">
        <v>2</v>
      </c>
      <c r="I680" s="12768" t="s">
        <v>16</v>
      </c>
      <c r="J680" t="s">
        <v>28</v>
      </c>
    </row>
    <row r="681" spans="1:10" outlineLevel="4">
      <c r="A681" s="689" t="s">
        <v>1395</v>
      </c>
      <c r="B681" s="2199" t="s">
        <v>670</v>
      </c>
      <c r="C681" s="3709" t="s">
        <v>809</v>
      </c>
      <c r="D681" s="5219"/>
      <c r="E681" s="6729" t="s">
        <v>667</v>
      </c>
      <c r="F681" s="8239" t="s">
        <v>810</v>
      </c>
      <c r="G681" s="9749" t="s">
        <v>27</v>
      </c>
      <c r="H681" s="11259">
        <v>2</v>
      </c>
      <c r="I681" s="12769" t="s">
        <v>16</v>
      </c>
      <c r="J681" t="s">
        <v>28</v>
      </c>
    </row>
    <row r="682" spans="1:10" outlineLevel="3">
      <c r="A682" s="690" t="s">
        <v>1396</v>
      </c>
      <c r="B682" s="2200" t="s">
        <v>712</v>
      </c>
      <c r="C682" s="3710" t="s">
        <v>713</v>
      </c>
      <c r="D682" s="5220"/>
      <c r="E682" s="6730" t="s">
        <v>16</v>
      </c>
      <c r="F682" s="8240" t="s">
        <v>714</v>
      </c>
      <c r="G682" s="9750" t="s">
        <v>27</v>
      </c>
      <c r="H682" s="11260">
        <v>2</v>
      </c>
      <c r="I682" s="12770"/>
      <c r="J682" t="s">
        <v>28</v>
      </c>
    </row>
    <row r="683" spans="1:10" outlineLevel="2">
      <c r="A683" s="691" t="s">
        <v>1397</v>
      </c>
      <c r="B683" s="2201" t="s">
        <v>1398</v>
      </c>
      <c r="C683" s="3711"/>
      <c r="D683" s="5221"/>
      <c r="E683" s="6731"/>
      <c r="F683" s="8241" t="s">
        <v>1399</v>
      </c>
      <c r="G683" s="9751" t="s">
        <v>15</v>
      </c>
      <c r="H683" s="11261">
        <v>1</v>
      </c>
      <c r="I683" s="12771"/>
      <c r="J683" t="s">
        <v>28</v>
      </c>
    </row>
    <row r="684" spans="1:10" outlineLevel="3">
      <c r="A684" s="692" t="s">
        <v>1400</v>
      </c>
      <c r="B684" s="2202" t="s">
        <v>243</v>
      </c>
      <c r="C684" s="3712" t="s">
        <v>882</v>
      </c>
      <c r="D684" s="5222"/>
      <c r="E684" s="6732" t="s">
        <v>41</v>
      </c>
      <c r="F684" s="8242" t="s">
        <v>883</v>
      </c>
      <c r="G684" s="9752" t="s">
        <v>15</v>
      </c>
      <c r="H684" s="11262">
        <v>4</v>
      </c>
      <c r="I684" s="12772" t="s">
        <v>16</v>
      </c>
      <c r="J684" t="s">
        <v>28</v>
      </c>
    </row>
    <row r="685" spans="1:10" outlineLevel="3">
      <c r="A685" s="693" t="s">
        <v>1401</v>
      </c>
      <c r="B685" s="2203" t="s">
        <v>23</v>
      </c>
      <c r="C685" s="3713" t="s">
        <v>879</v>
      </c>
      <c r="D685" s="5223"/>
      <c r="E685" s="6733" t="s">
        <v>32</v>
      </c>
      <c r="F685" s="8243" t="s">
        <v>880</v>
      </c>
      <c r="G685" s="9753" t="s">
        <v>27</v>
      </c>
      <c r="H685" s="11263">
        <v>14</v>
      </c>
      <c r="I685" s="12773" t="s">
        <v>16</v>
      </c>
      <c r="J685" t="s">
        <v>28</v>
      </c>
    </row>
    <row r="686" spans="1:10" outlineLevel="3">
      <c r="A686" s="694" t="s">
        <v>1402</v>
      </c>
      <c r="B686" s="2204" t="s">
        <v>30</v>
      </c>
      <c r="C686" s="3714" t="s">
        <v>876</v>
      </c>
      <c r="D686" s="5224"/>
      <c r="E686" s="6734" t="s">
        <v>32</v>
      </c>
      <c r="F686" s="8244" t="s">
        <v>877</v>
      </c>
      <c r="G686" s="9754" t="s">
        <v>27</v>
      </c>
      <c r="H686" s="11264">
        <v>14</v>
      </c>
      <c r="I686" s="12774"/>
      <c r="J686" t="s">
        <v>28</v>
      </c>
    </row>
    <row r="687" spans="1:10" outlineLevel="3">
      <c r="A687" s="695" t="s">
        <v>1403</v>
      </c>
      <c r="B687" s="2205" t="s">
        <v>35</v>
      </c>
      <c r="C687" s="3715" t="s">
        <v>1404</v>
      </c>
      <c r="D687" s="5225"/>
      <c r="E687" s="6735" t="s">
        <v>32</v>
      </c>
      <c r="F687" s="8245" t="s">
        <v>1405</v>
      </c>
      <c r="G687" s="9755" t="s">
        <v>15</v>
      </c>
      <c r="H687" s="11265">
        <v>1</v>
      </c>
      <c r="I687" s="12775" t="s">
        <v>16</v>
      </c>
      <c r="J687" t="s">
        <v>28</v>
      </c>
    </row>
    <row r="688" spans="1:10" outlineLevel="3">
      <c r="A688" s="696" t="s">
        <v>1406</v>
      </c>
      <c r="B688" s="2206" t="s">
        <v>708</v>
      </c>
      <c r="C688" s="3716" t="s">
        <v>943</v>
      </c>
      <c r="D688" s="5226"/>
      <c r="E688" s="6736" t="s">
        <v>41</v>
      </c>
      <c r="F688" s="8246" t="s">
        <v>944</v>
      </c>
      <c r="G688" s="9756" t="s">
        <v>15</v>
      </c>
      <c r="H688" s="11266">
        <v>1</v>
      </c>
      <c r="I688" s="12776" t="s">
        <v>16</v>
      </c>
      <c r="J688" t="s">
        <v>28</v>
      </c>
    </row>
    <row r="689" spans="1:10" outlineLevel="3">
      <c r="A689" s="697" t="s">
        <v>1407</v>
      </c>
      <c r="B689" s="2207" t="s">
        <v>712</v>
      </c>
      <c r="C689" s="3717" t="s">
        <v>947</v>
      </c>
      <c r="D689" s="5227"/>
      <c r="E689" s="6737" t="s">
        <v>16</v>
      </c>
      <c r="F689" s="8247" t="s">
        <v>948</v>
      </c>
      <c r="G689" s="9757" t="s">
        <v>27</v>
      </c>
      <c r="H689" s="11267">
        <v>1</v>
      </c>
      <c r="I689" s="12777" t="s">
        <v>16</v>
      </c>
      <c r="J689" t="s">
        <v>28</v>
      </c>
    </row>
    <row r="690" spans="1:10" ht="15.75" outlineLevel="3">
      <c r="A690" s="698" t="s">
        <v>1408</v>
      </c>
      <c r="B690" s="2208" t="s">
        <v>654</v>
      </c>
      <c r="C690" s="3718" t="s">
        <v>655</v>
      </c>
      <c r="D690" s="5228"/>
      <c r="E690" s="6738"/>
      <c r="F690" s="8248" t="s">
        <v>656</v>
      </c>
      <c r="G690" s="9758" t="s">
        <v>15</v>
      </c>
      <c r="H690" s="11268">
        <v>1</v>
      </c>
      <c r="I690" s="12778" t="s">
        <v>16</v>
      </c>
      <c r="J690" s="13600" t="str">
        <f>HYPERLINK("\\192.168.170.18\drawings\2-Basic Components\0000-342 - Pipe Holders\0000-342-021-- - Pipe holder foot L=200.pdf", "PDF")</f>
        <v>PDF</v>
      </c>
    </row>
    <row r="691" spans="1:10" outlineLevel="4">
      <c r="A691" s="699" t="s">
        <v>1409</v>
      </c>
      <c r="B691" s="2209" t="s">
        <v>275</v>
      </c>
      <c r="C691" s="3719" t="s">
        <v>658</v>
      </c>
      <c r="D691" s="5229"/>
      <c r="E691" s="6739" t="s">
        <v>32</v>
      </c>
      <c r="F691" s="8249" t="s">
        <v>659</v>
      </c>
      <c r="G691" s="9759" t="s">
        <v>15</v>
      </c>
      <c r="H691" s="11269">
        <v>1</v>
      </c>
      <c r="I691" s="12779" t="s">
        <v>16</v>
      </c>
      <c r="J691" t="s">
        <v>28</v>
      </c>
    </row>
    <row r="692" spans="1:10" outlineLevel="4">
      <c r="A692" s="700" t="s">
        <v>1410</v>
      </c>
      <c r="B692" s="2210" t="s">
        <v>661</v>
      </c>
      <c r="C692" s="3720" t="s">
        <v>662</v>
      </c>
      <c r="D692" s="5230"/>
      <c r="E692" s="6740" t="s">
        <v>32</v>
      </c>
      <c r="F692" s="8250" t="s">
        <v>663</v>
      </c>
      <c r="G692" s="9760" t="s">
        <v>15</v>
      </c>
      <c r="H692" s="11270">
        <v>1</v>
      </c>
      <c r="I692" s="12780" t="s">
        <v>16</v>
      </c>
      <c r="J692" t="s">
        <v>28</v>
      </c>
    </row>
    <row r="693" spans="1:10" outlineLevel="4">
      <c r="A693" s="701" t="s">
        <v>1411</v>
      </c>
      <c r="B693" s="2211" t="s">
        <v>665</v>
      </c>
      <c r="C693" s="3721" t="s">
        <v>666</v>
      </c>
      <c r="D693" s="5231"/>
      <c r="E693" s="6741" t="s">
        <v>667</v>
      </c>
      <c r="F693" s="8251" t="s">
        <v>668</v>
      </c>
      <c r="G693" s="9761" t="s">
        <v>27</v>
      </c>
      <c r="H693" s="11271">
        <v>1</v>
      </c>
      <c r="I693" s="12781" t="s">
        <v>16</v>
      </c>
      <c r="J693" t="s">
        <v>28</v>
      </c>
    </row>
    <row r="694" spans="1:10" outlineLevel="4">
      <c r="A694" s="702" t="s">
        <v>1412</v>
      </c>
      <c r="B694" s="2212" t="s">
        <v>670</v>
      </c>
      <c r="C694" s="3722" t="s">
        <v>671</v>
      </c>
      <c r="D694" s="5232"/>
      <c r="E694" s="6742" t="s">
        <v>667</v>
      </c>
      <c r="F694" s="8252" t="s">
        <v>672</v>
      </c>
      <c r="G694" s="9762" t="s">
        <v>27</v>
      </c>
      <c r="H694" s="11272">
        <v>1</v>
      </c>
      <c r="I694" s="12782" t="s">
        <v>16</v>
      </c>
      <c r="J694" t="s">
        <v>28</v>
      </c>
    </row>
    <row r="695" spans="1:10" outlineLevel="3">
      <c r="A695" s="703" t="s">
        <v>1413</v>
      </c>
      <c r="B695" s="2213" t="s">
        <v>893</v>
      </c>
      <c r="C695" s="3723" t="s">
        <v>894</v>
      </c>
      <c r="D695" s="5233"/>
      <c r="E695" s="6743" t="s">
        <v>32</v>
      </c>
      <c r="F695" s="8253" t="s">
        <v>895</v>
      </c>
      <c r="G695" s="9763" t="s">
        <v>15</v>
      </c>
      <c r="H695" s="11273">
        <v>1</v>
      </c>
      <c r="I695" s="12783" t="s">
        <v>16</v>
      </c>
      <c r="J695" t="s">
        <v>28</v>
      </c>
    </row>
    <row r="696" spans="1:10" outlineLevel="3">
      <c r="A696" s="704" t="s">
        <v>1414</v>
      </c>
      <c r="B696" s="2214" t="s">
        <v>48</v>
      </c>
      <c r="C696" s="3724" t="s">
        <v>873</v>
      </c>
      <c r="D696" s="5234"/>
      <c r="E696" s="6744" t="s">
        <v>25</v>
      </c>
      <c r="F696" s="8254" t="s">
        <v>874</v>
      </c>
      <c r="G696" s="9764" t="s">
        <v>27</v>
      </c>
      <c r="H696" s="11274">
        <v>5</v>
      </c>
      <c r="I696" s="12784" t="s">
        <v>16</v>
      </c>
      <c r="J696" t="s">
        <v>28</v>
      </c>
    </row>
    <row r="697" spans="1:10" outlineLevel="3">
      <c r="A697" s="705" t="s">
        <v>1415</v>
      </c>
      <c r="B697" s="2215" t="s">
        <v>704</v>
      </c>
      <c r="C697" s="3725" t="s">
        <v>1416</v>
      </c>
      <c r="D697" s="5235"/>
      <c r="E697" s="6745" t="s">
        <v>32</v>
      </c>
      <c r="F697" s="8255" t="s">
        <v>1417</v>
      </c>
      <c r="G697" s="9765" t="s">
        <v>27</v>
      </c>
      <c r="H697" s="11275">
        <v>2</v>
      </c>
      <c r="I697" s="12785"/>
      <c r="J697" t="s">
        <v>28</v>
      </c>
    </row>
    <row r="698" spans="1:10" outlineLevel="2">
      <c r="A698" s="706" t="s">
        <v>1418</v>
      </c>
      <c r="B698" s="2216" t="s">
        <v>1419</v>
      </c>
      <c r="C698" s="3726"/>
      <c r="D698" s="5236"/>
      <c r="E698" s="6746"/>
      <c r="F698" s="8256" t="s">
        <v>1420</v>
      </c>
      <c r="G698" s="9766" t="s">
        <v>15</v>
      </c>
      <c r="H698" s="11276">
        <v>1</v>
      </c>
      <c r="I698" s="12786"/>
      <c r="J698" t="s">
        <v>28</v>
      </c>
    </row>
    <row r="699" spans="1:10" outlineLevel="3">
      <c r="A699" s="707" t="s">
        <v>1421</v>
      </c>
      <c r="B699" s="2217" t="s">
        <v>35</v>
      </c>
      <c r="C699" s="3727" t="s">
        <v>1422</v>
      </c>
      <c r="D699" s="5237"/>
      <c r="E699" s="6747" t="s">
        <v>32</v>
      </c>
      <c r="F699" s="8257" t="s">
        <v>1423</v>
      </c>
      <c r="G699" s="9767" t="s">
        <v>15</v>
      </c>
      <c r="H699" s="11277">
        <v>1</v>
      </c>
      <c r="I699" s="12787" t="s">
        <v>16</v>
      </c>
      <c r="J699" t="s">
        <v>28</v>
      </c>
    </row>
    <row r="700" spans="1:10" ht="15.75" outlineLevel="3">
      <c r="A700" s="708" t="s">
        <v>1424</v>
      </c>
      <c r="B700" s="2218" t="s">
        <v>654</v>
      </c>
      <c r="C700" s="3728" t="s">
        <v>655</v>
      </c>
      <c r="D700" s="5238"/>
      <c r="E700" s="6748"/>
      <c r="F700" s="8258" t="s">
        <v>656</v>
      </c>
      <c r="G700" s="9768" t="s">
        <v>15</v>
      </c>
      <c r="H700" s="11278">
        <v>2</v>
      </c>
      <c r="I700" s="12788" t="s">
        <v>16</v>
      </c>
      <c r="J700" s="13600" t="str">
        <f>HYPERLINK("\\192.168.170.18\drawings\2-Basic Components\0000-342 - Pipe Holders\0000-342-021-- - Pipe holder foot L=200.pdf", "PDF")</f>
        <v>PDF</v>
      </c>
    </row>
    <row r="701" spans="1:10" outlineLevel="4">
      <c r="A701" s="709" t="s">
        <v>1425</v>
      </c>
      <c r="B701" s="2219" t="s">
        <v>275</v>
      </c>
      <c r="C701" s="3729" t="s">
        <v>658</v>
      </c>
      <c r="D701" s="5239"/>
      <c r="E701" s="6749" t="s">
        <v>32</v>
      </c>
      <c r="F701" s="8259" t="s">
        <v>659</v>
      </c>
      <c r="G701" s="9769" t="s">
        <v>15</v>
      </c>
      <c r="H701" s="11279">
        <v>1</v>
      </c>
      <c r="I701" s="12789" t="s">
        <v>16</v>
      </c>
      <c r="J701" t="s">
        <v>28</v>
      </c>
    </row>
    <row r="702" spans="1:10" outlineLevel="4">
      <c r="A702" s="710" t="s">
        <v>1426</v>
      </c>
      <c r="B702" s="2220" t="s">
        <v>661</v>
      </c>
      <c r="C702" s="3730" t="s">
        <v>662</v>
      </c>
      <c r="D702" s="5240"/>
      <c r="E702" s="6750" t="s">
        <v>32</v>
      </c>
      <c r="F702" s="8260" t="s">
        <v>663</v>
      </c>
      <c r="G702" s="9770" t="s">
        <v>15</v>
      </c>
      <c r="H702" s="11280">
        <v>1</v>
      </c>
      <c r="I702" s="12790" t="s">
        <v>16</v>
      </c>
      <c r="J702" t="s">
        <v>28</v>
      </c>
    </row>
    <row r="703" spans="1:10" outlineLevel="4">
      <c r="A703" s="711" t="s">
        <v>1427</v>
      </c>
      <c r="B703" s="2221" t="s">
        <v>665</v>
      </c>
      <c r="C703" s="3731" t="s">
        <v>666</v>
      </c>
      <c r="D703" s="5241"/>
      <c r="E703" s="6751" t="s">
        <v>667</v>
      </c>
      <c r="F703" s="8261" t="s">
        <v>668</v>
      </c>
      <c r="G703" s="9771" t="s">
        <v>27</v>
      </c>
      <c r="H703" s="11281">
        <v>1</v>
      </c>
      <c r="I703" s="12791" t="s">
        <v>16</v>
      </c>
      <c r="J703" t="s">
        <v>28</v>
      </c>
    </row>
    <row r="704" spans="1:10" outlineLevel="4">
      <c r="A704" s="712" t="s">
        <v>1428</v>
      </c>
      <c r="B704" s="2222" t="s">
        <v>670</v>
      </c>
      <c r="C704" s="3732" t="s">
        <v>671</v>
      </c>
      <c r="D704" s="5242"/>
      <c r="E704" s="6752" t="s">
        <v>667</v>
      </c>
      <c r="F704" s="8262" t="s">
        <v>672</v>
      </c>
      <c r="G704" s="9772" t="s">
        <v>27</v>
      </c>
      <c r="H704" s="11282">
        <v>1</v>
      </c>
      <c r="I704" s="12792" t="s">
        <v>16</v>
      </c>
      <c r="J704" t="s">
        <v>28</v>
      </c>
    </row>
    <row r="705" spans="1:10" outlineLevel="3">
      <c r="A705" s="713" t="s">
        <v>1429</v>
      </c>
      <c r="B705" s="2223" t="s">
        <v>23</v>
      </c>
      <c r="C705" s="3733" t="s">
        <v>1430</v>
      </c>
      <c r="D705" s="5243"/>
      <c r="E705" s="6753" t="s">
        <v>32</v>
      </c>
      <c r="F705" s="8263" t="s">
        <v>1431</v>
      </c>
      <c r="G705" s="9773" t="s">
        <v>27</v>
      </c>
      <c r="H705" s="11283">
        <v>14</v>
      </c>
      <c r="I705" s="12793"/>
      <c r="J705" t="s">
        <v>28</v>
      </c>
    </row>
    <row r="706" spans="1:10" outlineLevel="3">
      <c r="A706" s="714" t="s">
        <v>1432</v>
      </c>
      <c r="B706" s="2224" t="s">
        <v>30</v>
      </c>
      <c r="C706" s="3734" t="s">
        <v>1433</v>
      </c>
      <c r="D706" s="5244"/>
      <c r="E706" s="6754" t="s">
        <v>32</v>
      </c>
      <c r="F706" s="8264" t="s">
        <v>1434</v>
      </c>
      <c r="G706" s="9774" t="s">
        <v>27</v>
      </c>
      <c r="H706" s="11284">
        <v>14</v>
      </c>
      <c r="I706" s="12794" t="s">
        <v>16</v>
      </c>
      <c r="J706" t="s">
        <v>28</v>
      </c>
    </row>
    <row r="707" spans="1:10" outlineLevel="3">
      <c r="A707" s="715" t="s">
        <v>1435</v>
      </c>
      <c r="B707" s="2225" t="s">
        <v>243</v>
      </c>
      <c r="C707" s="3735" t="s">
        <v>392</v>
      </c>
      <c r="D707" s="5245"/>
      <c r="E707" s="6755" t="s">
        <v>32</v>
      </c>
      <c r="F707" s="8265" t="s">
        <v>393</v>
      </c>
      <c r="G707" s="9775" t="s">
        <v>15</v>
      </c>
      <c r="H707" s="11285">
        <v>2</v>
      </c>
      <c r="I707" s="12795" t="s">
        <v>16</v>
      </c>
      <c r="J707" t="s">
        <v>28</v>
      </c>
    </row>
    <row r="708" spans="1:10" outlineLevel="3">
      <c r="A708" s="716" t="s">
        <v>1436</v>
      </c>
      <c r="B708" s="2226" t="s">
        <v>704</v>
      </c>
      <c r="C708" s="3736" t="s">
        <v>1437</v>
      </c>
      <c r="D708" s="5246"/>
      <c r="E708" s="6756" t="s">
        <v>32</v>
      </c>
      <c r="F708" s="8266" t="s">
        <v>1438</v>
      </c>
      <c r="G708" s="9776" t="s">
        <v>27</v>
      </c>
      <c r="H708" s="11286">
        <v>2</v>
      </c>
      <c r="I708" s="12796"/>
      <c r="J708" t="s">
        <v>28</v>
      </c>
    </row>
    <row r="709" spans="1:10" outlineLevel="3">
      <c r="A709" s="717" t="s">
        <v>1439</v>
      </c>
      <c r="B709" s="2227" t="s">
        <v>48</v>
      </c>
      <c r="C709" s="3737" t="s">
        <v>1440</v>
      </c>
      <c r="D709" s="5247"/>
      <c r="E709" s="6757" t="s">
        <v>32</v>
      </c>
      <c r="F709" s="8267" t="s">
        <v>1441</v>
      </c>
      <c r="G709" s="9777" t="s">
        <v>27</v>
      </c>
      <c r="H709" s="11287">
        <v>1</v>
      </c>
      <c r="I709" s="12797"/>
      <c r="J709" t="s">
        <v>28</v>
      </c>
    </row>
    <row r="710" spans="1:10" outlineLevel="3">
      <c r="A710" s="718" t="s">
        <v>1442</v>
      </c>
      <c r="B710" s="2228" t="s">
        <v>712</v>
      </c>
      <c r="C710" s="3738" t="s">
        <v>1443</v>
      </c>
      <c r="D710" s="5248"/>
      <c r="E710" s="6758" t="s">
        <v>16</v>
      </c>
      <c r="F710" s="8268" t="s">
        <v>1444</v>
      </c>
      <c r="G710" s="9778" t="s">
        <v>27</v>
      </c>
      <c r="H710" s="11288">
        <v>2</v>
      </c>
      <c r="I710" s="12798" t="s">
        <v>16</v>
      </c>
      <c r="J710" t="s">
        <v>28</v>
      </c>
    </row>
    <row r="711" spans="1:10" outlineLevel="3">
      <c r="A711" s="719" t="s">
        <v>1445</v>
      </c>
      <c r="B711" s="2229" t="s">
        <v>1446</v>
      </c>
      <c r="C711" s="3739" t="s">
        <v>1447</v>
      </c>
      <c r="D711" s="5249"/>
      <c r="E711" s="6759" t="s">
        <v>41</v>
      </c>
      <c r="F711" s="8269" t="s">
        <v>1448</v>
      </c>
      <c r="G711" s="9779" t="s">
        <v>15</v>
      </c>
      <c r="H711" s="11289">
        <v>2</v>
      </c>
      <c r="I711" s="12799"/>
      <c r="J711" t="s">
        <v>28</v>
      </c>
    </row>
    <row r="712" spans="1:10" ht="15.75" outlineLevel="3">
      <c r="A712" s="720" t="s">
        <v>1449</v>
      </c>
      <c r="B712" s="2230" t="s">
        <v>1450</v>
      </c>
      <c r="C712" s="3740" t="s">
        <v>1451</v>
      </c>
      <c r="D712" s="5250"/>
      <c r="E712" s="6760" t="s">
        <v>32</v>
      </c>
      <c r="F712" s="8270" t="s">
        <v>1452</v>
      </c>
      <c r="G712" s="9780" t="s">
        <v>15</v>
      </c>
      <c r="H712" s="11290">
        <v>2</v>
      </c>
      <c r="I712" s="12800"/>
      <c r="J712" s="13600" t="str">
        <f>HYPERLINK("\\192.168.170.18\drawings\2-Basic Components\0000-342 - Pipe Holders\0000-342-033- - DN200 Pipeholder.pdf", "PDF")</f>
        <v>PDF</v>
      </c>
    </row>
    <row r="713" spans="1:10" outlineLevel="2">
      <c r="A713" s="721" t="s">
        <v>1453</v>
      </c>
      <c r="B713" s="2231" t="s">
        <v>1454</v>
      </c>
      <c r="C713" s="3741"/>
      <c r="D713" s="5251"/>
      <c r="E713" s="6761"/>
      <c r="F713" s="8271" t="s">
        <v>1455</v>
      </c>
      <c r="G713" s="9781" t="s">
        <v>15</v>
      </c>
      <c r="H713" s="11291">
        <v>1</v>
      </c>
      <c r="I713" s="12801"/>
      <c r="J713" t="s">
        <v>28</v>
      </c>
    </row>
    <row r="714" spans="1:10" outlineLevel="3">
      <c r="A714" s="722" t="s">
        <v>1456</v>
      </c>
      <c r="B714" s="2232" t="s">
        <v>35</v>
      </c>
      <c r="C714" s="3742" t="s">
        <v>1457</v>
      </c>
      <c r="D714" s="5252"/>
      <c r="E714" s="6762" t="s">
        <v>32</v>
      </c>
      <c r="F714" s="8272" t="s">
        <v>1458</v>
      </c>
      <c r="G714" s="9782" t="s">
        <v>15</v>
      </c>
      <c r="H714" s="11292">
        <v>1</v>
      </c>
      <c r="I714" s="12802" t="s">
        <v>16</v>
      </c>
      <c r="J714" t="s">
        <v>28</v>
      </c>
    </row>
    <row r="715" spans="1:10" outlineLevel="3">
      <c r="A715" s="723" t="s">
        <v>1459</v>
      </c>
      <c r="B715" s="2233" t="s">
        <v>23</v>
      </c>
      <c r="C715" s="3743" t="s">
        <v>1430</v>
      </c>
      <c r="D715" s="5253"/>
      <c r="E715" s="6763" t="s">
        <v>32</v>
      </c>
      <c r="F715" s="8273" t="s">
        <v>1431</v>
      </c>
      <c r="G715" s="9783" t="s">
        <v>27</v>
      </c>
      <c r="H715" s="11293">
        <v>14</v>
      </c>
      <c r="I715" s="12803"/>
      <c r="J715" t="s">
        <v>28</v>
      </c>
    </row>
    <row r="716" spans="1:10" outlineLevel="3">
      <c r="A716" s="724" t="s">
        <v>1460</v>
      </c>
      <c r="B716" s="2234" t="s">
        <v>30</v>
      </c>
      <c r="C716" s="3744" t="s">
        <v>1433</v>
      </c>
      <c r="D716" s="5254"/>
      <c r="E716" s="6764" t="s">
        <v>32</v>
      </c>
      <c r="F716" s="8274" t="s">
        <v>1434</v>
      </c>
      <c r="G716" s="9784" t="s">
        <v>27</v>
      </c>
      <c r="H716" s="11294">
        <v>14</v>
      </c>
      <c r="I716" s="12804" t="s">
        <v>16</v>
      </c>
      <c r="J716" t="s">
        <v>28</v>
      </c>
    </row>
    <row r="717" spans="1:10" outlineLevel="3">
      <c r="A717" s="725" t="s">
        <v>1461</v>
      </c>
      <c r="B717" s="2235" t="s">
        <v>243</v>
      </c>
      <c r="C717" s="3745" t="s">
        <v>392</v>
      </c>
      <c r="D717" s="5255"/>
      <c r="E717" s="6765" t="s">
        <v>32</v>
      </c>
      <c r="F717" s="8275" t="s">
        <v>393</v>
      </c>
      <c r="G717" s="9785" t="s">
        <v>15</v>
      </c>
      <c r="H717" s="11295">
        <v>2</v>
      </c>
      <c r="I717" s="12805" t="s">
        <v>16</v>
      </c>
      <c r="J717" t="s">
        <v>28</v>
      </c>
    </row>
    <row r="718" spans="1:10" outlineLevel="3">
      <c r="A718" s="726" t="s">
        <v>1462</v>
      </c>
      <c r="B718" s="2236" t="s">
        <v>704</v>
      </c>
      <c r="C718" s="3746" t="s">
        <v>1437</v>
      </c>
      <c r="D718" s="5256"/>
      <c r="E718" s="6766" t="s">
        <v>32</v>
      </c>
      <c r="F718" s="8276" t="s">
        <v>1438</v>
      </c>
      <c r="G718" s="9786" t="s">
        <v>27</v>
      </c>
      <c r="H718" s="11296">
        <v>2</v>
      </c>
      <c r="I718" s="12806"/>
      <c r="J718" t="s">
        <v>28</v>
      </c>
    </row>
    <row r="719" spans="1:10" outlineLevel="3">
      <c r="A719" s="727" t="s">
        <v>1463</v>
      </c>
      <c r="B719" s="2237" t="s">
        <v>48</v>
      </c>
      <c r="C719" s="3747" t="s">
        <v>1440</v>
      </c>
      <c r="D719" s="5257"/>
      <c r="E719" s="6767" t="s">
        <v>32</v>
      </c>
      <c r="F719" s="8277" t="s">
        <v>1441</v>
      </c>
      <c r="G719" s="9787" t="s">
        <v>27</v>
      </c>
      <c r="H719" s="11297">
        <v>3</v>
      </c>
      <c r="I719" s="12807"/>
      <c r="J719" t="s">
        <v>28</v>
      </c>
    </row>
    <row r="720" spans="1:10" outlineLevel="3">
      <c r="A720" s="728" t="s">
        <v>1464</v>
      </c>
      <c r="B720" s="2238" t="s">
        <v>1465</v>
      </c>
      <c r="C720" s="3748" t="s">
        <v>1451</v>
      </c>
      <c r="D720" s="5258"/>
      <c r="E720" s="6768"/>
      <c r="F720" s="8278" t="s">
        <v>1466</v>
      </c>
      <c r="G720" s="9788" t="s">
        <v>15</v>
      </c>
      <c r="H720" s="11298">
        <v>2</v>
      </c>
      <c r="I720" s="12808" t="s">
        <v>16</v>
      </c>
      <c r="J720" t="s">
        <v>28</v>
      </c>
    </row>
    <row r="721" spans="1:10" outlineLevel="4">
      <c r="A721" s="729" t="s">
        <v>1467</v>
      </c>
      <c r="B721" s="2239" t="s">
        <v>661</v>
      </c>
      <c r="C721" s="3749" t="s">
        <v>834</v>
      </c>
      <c r="D721" s="5259"/>
      <c r="E721" s="6769" t="s">
        <v>32</v>
      </c>
      <c r="F721" s="8279" t="s">
        <v>835</v>
      </c>
      <c r="G721" s="9789" t="s">
        <v>832</v>
      </c>
      <c r="H721" s="11299">
        <v>1</v>
      </c>
      <c r="I721" s="12809" t="s">
        <v>16</v>
      </c>
      <c r="J721" t="s">
        <v>28</v>
      </c>
    </row>
    <row r="722" spans="1:10" outlineLevel="4">
      <c r="A722" s="730" t="s">
        <v>1468</v>
      </c>
      <c r="B722" s="2240" t="s">
        <v>797</v>
      </c>
      <c r="C722" s="3750" t="s">
        <v>1469</v>
      </c>
      <c r="D722" s="5260"/>
      <c r="E722" s="6770" t="s">
        <v>32</v>
      </c>
      <c r="F722" s="8280" t="s">
        <v>1470</v>
      </c>
      <c r="G722" s="9790" t="s">
        <v>15</v>
      </c>
      <c r="H722" s="11300">
        <v>2</v>
      </c>
      <c r="I722" s="12810"/>
      <c r="J722" t="s">
        <v>28</v>
      </c>
    </row>
    <row r="723" spans="1:10" outlineLevel="4">
      <c r="A723" s="731" t="s">
        <v>1471</v>
      </c>
      <c r="B723" s="2241" t="s">
        <v>779</v>
      </c>
      <c r="C723" s="3751" t="s">
        <v>806</v>
      </c>
      <c r="D723" s="5261"/>
      <c r="E723" s="6771" t="s">
        <v>667</v>
      </c>
      <c r="F723" s="8281" t="s">
        <v>807</v>
      </c>
      <c r="G723" s="9791" t="s">
        <v>27</v>
      </c>
      <c r="H723" s="11301">
        <v>4</v>
      </c>
      <c r="I723" s="12811"/>
      <c r="J723" t="s">
        <v>28</v>
      </c>
    </row>
    <row r="724" spans="1:10" outlineLevel="4">
      <c r="A724" s="732" t="s">
        <v>1472</v>
      </c>
      <c r="B724" s="2242" t="s">
        <v>665</v>
      </c>
      <c r="C724" s="3752" t="s">
        <v>666</v>
      </c>
      <c r="D724" s="5262"/>
      <c r="E724" s="6772" t="s">
        <v>667</v>
      </c>
      <c r="F724" s="8282" t="s">
        <v>668</v>
      </c>
      <c r="G724" s="9792" t="s">
        <v>27</v>
      </c>
      <c r="H724" s="11302">
        <v>2</v>
      </c>
      <c r="I724" s="12812" t="s">
        <v>16</v>
      </c>
      <c r="J724" t="s">
        <v>28</v>
      </c>
    </row>
    <row r="725" spans="1:10" outlineLevel="4">
      <c r="A725" s="733" t="s">
        <v>1473</v>
      </c>
      <c r="B725" s="2243" t="s">
        <v>670</v>
      </c>
      <c r="C725" s="3753" t="s">
        <v>809</v>
      </c>
      <c r="D725" s="5263"/>
      <c r="E725" s="6773" t="s">
        <v>667</v>
      </c>
      <c r="F725" s="8283" t="s">
        <v>810</v>
      </c>
      <c r="G725" s="9793" t="s">
        <v>27</v>
      </c>
      <c r="H725" s="11303">
        <v>2</v>
      </c>
      <c r="I725" s="12813" t="s">
        <v>16</v>
      </c>
      <c r="J725" t="s">
        <v>28</v>
      </c>
    </row>
    <row r="726" spans="1:10" outlineLevel="3">
      <c r="A726" s="734" t="s">
        <v>1474</v>
      </c>
      <c r="B726" s="2244" t="s">
        <v>48</v>
      </c>
      <c r="C726" s="3754" t="s">
        <v>1475</v>
      </c>
      <c r="D726" s="5264"/>
      <c r="E726" s="6774" t="s">
        <v>32</v>
      </c>
      <c r="F726" s="8284" t="s">
        <v>1476</v>
      </c>
      <c r="G726" s="9794" t="s">
        <v>27</v>
      </c>
      <c r="H726" s="11304">
        <v>1</v>
      </c>
      <c r="I726" s="12814"/>
      <c r="J726" t="s">
        <v>28</v>
      </c>
    </row>
    <row r="727" spans="1:10" ht="15.75" outlineLevel="3">
      <c r="A727" s="735" t="s">
        <v>1477</v>
      </c>
      <c r="B727" s="2245" t="s">
        <v>654</v>
      </c>
      <c r="C727" s="3755" t="s">
        <v>655</v>
      </c>
      <c r="D727" s="5265"/>
      <c r="E727" s="6775"/>
      <c r="F727" s="8285" t="s">
        <v>656</v>
      </c>
      <c r="G727" s="9795" t="s">
        <v>15</v>
      </c>
      <c r="H727" s="11305">
        <v>2</v>
      </c>
      <c r="I727" s="12815" t="s">
        <v>16</v>
      </c>
      <c r="J727" s="13600" t="str">
        <f>HYPERLINK("\\192.168.170.18\drawings\2-Basic Components\0000-342 - Pipe Holders\0000-342-021-- - Pipe holder foot L=200.pdf", "PDF")</f>
        <v>PDF</v>
      </c>
    </row>
    <row r="728" spans="1:10" outlineLevel="4">
      <c r="A728" s="736" t="s">
        <v>1478</v>
      </c>
      <c r="B728" s="2246" t="s">
        <v>275</v>
      </c>
      <c r="C728" s="3756" t="s">
        <v>658</v>
      </c>
      <c r="D728" s="5266"/>
      <c r="E728" s="6776" t="s">
        <v>32</v>
      </c>
      <c r="F728" s="8286" t="s">
        <v>659</v>
      </c>
      <c r="G728" s="9796" t="s">
        <v>15</v>
      </c>
      <c r="H728" s="11306">
        <v>1</v>
      </c>
      <c r="I728" s="12816" t="s">
        <v>16</v>
      </c>
      <c r="J728" t="s">
        <v>28</v>
      </c>
    </row>
    <row r="729" spans="1:10" outlineLevel="4">
      <c r="A729" s="737" t="s">
        <v>1479</v>
      </c>
      <c r="B729" s="2247" t="s">
        <v>661</v>
      </c>
      <c r="C729" s="3757" t="s">
        <v>662</v>
      </c>
      <c r="D729" s="5267"/>
      <c r="E729" s="6777" t="s">
        <v>32</v>
      </c>
      <c r="F729" s="8287" t="s">
        <v>663</v>
      </c>
      <c r="G729" s="9797" t="s">
        <v>15</v>
      </c>
      <c r="H729" s="11307">
        <v>1</v>
      </c>
      <c r="I729" s="12817" t="s">
        <v>16</v>
      </c>
      <c r="J729" t="s">
        <v>28</v>
      </c>
    </row>
    <row r="730" spans="1:10" outlineLevel="4">
      <c r="A730" s="738" t="s">
        <v>1480</v>
      </c>
      <c r="B730" s="2248" t="s">
        <v>665</v>
      </c>
      <c r="C730" s="3758" t="s">
        <v>666</v>
      </c>
      <c r="D730" s="5268"/>
      <c r="E730" s="6778" t="s">
        <v>667</v>
      </c>
      <c r="F730" s="8288" t="s">
        <v>668</v>
      </c>
      <c r="G730" s="9798" t="s">
        <v>27</v>
      </c>
      <c r="H730" s="11308">
        <v>1</v>
      </c>
      <c r="I730" s="12818" t="s">
        <v>16</v>
      </c>
      <c r="J730" t="s">
        <v>28</v>
      </c>
    </row>
    <row r="731" spans="1:10" outlineLevel="4">
      <c r="A731" s="739" t="s">
        <v>1481</v>
      </c>
      <c r="B731" s="2249" t="s">
        <v>670</v>
      </c>
      <c r="C731" s="3759" t="s">
        <v>671</v>
      </c>
      <c r="D731" s="5269"/>
      <c r="E731" s="6779" t="s">
        <v>667</v>
      </c>
      <c r="F731" s="8289" t="s">
        <v>672</v>
      </c>
      <c r="G731" s="9799" t="s">
        <v>27</v>
      </c>
      <c r="H731" s="11309">
        <v>1</v>
      </c>
      <c r="I731" s="12819" t="s">
        <v>16</v>
      </c>
      <c r="J731" t="s">
        <v>28</v>
      </c>
    </row>
    <row r="732" spans="1:10" ht="15.75" outlineLevel="3">
      <c r="A732" s="740" t="s">
        <v>1482</v>
      </c>
      <c r="B732" s="2250" t="s">
        <v>1450</v>
      </c>
      <c r="C732" s="3760" t="s">
        <v>1451</v>
      </c>
      <c r="D732" s="5270"/>
      <c r="E732" s="6780" t="s">
        <v>32</v>
      </c>
      <c r="F732" s="8290" t="s">
        <v>1452</v>
      </c>
      <c r="G732" s="9800" t="s">
        <v>15</v>
      </c>
      <c r="H732" s="11310">
        <v>2</v>
      </c>
      <c r="I732" s="12820"/>
      <c r="J732" s="13600" t="str">
        <f>HYPERLINK("\\192.168.170.18\drawings\2-Basic Components\0000-342 - Pipe Holders\0000-342-033- - DN200 Pipeholder.pdf", "PDF")</f>
        <v>PDF</v>
      </c>
    </row>
    <row r="733" spans="1:10" outlineLevel="3">
      <c r="A733" s="741" t="s">
        <v>1483</v>
      </c>
      <c r="B733" s="2251" t="s">
        <v>712</v>
      </c>
      <c r="C733" s="3761" t="s">
        <v>1443</v>
      </c>
      <c r="D733" s="5271"/>
      <c r="E733" s="6781" t="s">
        <v>16</v>
      </c>
      <c r="F733" s="8291" t="s">
        <v>1444</v>
      </c>
      <c r="G733" s="9801" t="s">
        <v>27</v>
      </c>
      <c r="H733" s="11311">
        <v>2</v>
      </c>
      <c r="I733" s="12821" t="s">
        <v>16</v>
      </c>
      <c r="J733" t="s">
        <v>28</v>
      </c>
    </row>
    <row r="734" spans="1:10" outlineLevel="3">
      <c r="A734" s="742" t="s">
        <v>1484</v>
      </c>
      <c r="B734" s="2252" t="s">
        <v>1446</v>
      </c>
      <c r="C734" s="3762" t="s">
        <v>1447</v>
      </c>
      <c r="D734" s="5272"/>
      <c r="E734" s="6782" t="s">
        <v>41</v>
      </c>
      <c r="F734" s="8292" t="s">
        <v>1448</v>
      </c>
      <c r="G734" s="9802" t="s">
        <v>15</v>
      </c>
      <c r="H734" s="11312">
        <v>2</v>
      </c>
      <c r="I734" s="12822"/>
      <c r="J734" t="s">
        <v>28</v>
      </c>
    </row>
    <row r="735" spans="1:10" outlineLevel="2">
      <c r="A735" s="743" t="s">
        <v>1485</v>
      </c>
      <c r="B735" s="2253" t="s">
        <v>1486</v>
      </c>
      <c r="C735" s="3763"/>
      <c r="D735" s="5273"/>
      <c r="E735" s="6783"/>
      <c r="F735" s="8293" t="s">
        <v>1487</v>
      </c>
      <c r="G735" s="9803" t="s">
        <v>15</v>
      </c>
      <c r="H735" s="11313">
        <v>1</v>
      </c>
      <c r="I735" s="12823"/>
      <c r="J735" t="s">
        <v>28</v>
      </c>
    </row>
    <row r="736" spans="1:10" outlineLevel="3">
      <c r="A736" s="744" t="s">
        <v>1488</v>
      </c>
      <c r="B736" s="2254" t="s">
        <v>35</v>
      </c>
      <c r="C736" s="3764" t="s">
        <v>1489</v>
      </c>
      <c r="D736" s="5274"/>
      <c r="E736" s="6784" t="s">
        <v>32</v>
      </c>
      <c r="F736" s="8294" t="s">
        <v>1490</v>
      </c>
      <c r="G736" s="9804" t="s">
        <v>15</v>
      </c>
      <c r="H736" s="11314">
        <v>1</v>
      </c>
      <c r="I736" s="12824" t="s">
        <v>16</v>
      </c>
      <c r="J736" t="s">
        <v>28</v>
      </c>
    </row>
    <row r="737" spans="1:10" ht="15.75" outlineLevel="3">
      <c r="A737" s="745" t="s">
        <v>1491</v>
      </c>
      <c r="B737" s="2255" t="s">
        <v>654</v>
      </c>
      <c r="C737" s="3765" t="s">
        <v>655</v>
      </c>
      <c r="D737" s="5275"/>
      <c r="E737" s="6785"/>
      <c r="F737" s="8295" t="s">
        <v>656</v>
      </c>
      <c r="G737" s="9805" t="s">
        <v>15</v>
      </c>
      <c r="H737" s="11315">
        <v>2</v>
      </c>
      <c r="I737" s="12825" t="s">
        <v>16</v>
      </c>
      <c r="J737" s="13600" t="str">
        <f>HYPERLINK("\\192.168.170.18\drawings\2-Basic Components\0000-342 - Pipe Holders\0000-342-021-- - Pipe holder foot L=200.pdf", "PDF")</f>
        <v>PDF</v>
      </c>
    </row>
    <row r="738" spans="1:10" outlineLevel="4">
      <c r="A738" s="746" t="s">
        <v>1492</v>
      </c>
      <c r="B738" s="2256" t="s">
        <v>275</v>
      </c>
      <c r="C738" s="3766" t="s">
        <v>658</v>
      </c>
      <c r="D738" s="5276"/>
      <c r="E738" s="6786" t="s">
        <v>32</v>
      </c>
      <c r="F738" s="8296" t="s">
        <v>659</v>
      </c>
      <c r="G738" s="9806" t="s">
        <v>15</v>
      </c>
      <c r="H738" s="11316">
        <v>1</v>
      </c>
      <c r="I738" s="12826" t="s">
        <v>16</v>
      </c>
      <c r="J738" t="s">
        <v>28</v>
      </c>
    </row>
    <row r="739" spans="1:10" outlineLevel="4">
      <c r="A739" s="747" t="s">
        <v>1493</v>
      </c>
      <c r="B739" s="2257" t="s">
        <v>661</v>
      </c>
      <c r="C739" s="3767" t="s">
        <v>662</v>
      </c>
      <c r="D739" s="5277"/>
      <c r="E739" s="6787" t="s">
        <v>32</v>
      </c>
      <c r="F739" s="8297" t="s">
        <v>663</v>
      </c>
      <c r="G739" s="9807" t="s">
        <v>15</v>
      </c>
      <c r="H739" s="11317">
        <v>1</v>
      </c>
      <c r="I739" s="12827" t="s">
        <v>16</v>
      </c>
      <c r="J739" t="s">
        <v>28</v>
      </c>
    </row>
    <row r="740" spans="1:10" outlineLevel="4">
      <c r="A740" s="748" t="s">
        <v>1494</v>
      </c>
      <c r="B740" s="2258" t="s">
        <v>665</v>
      </c>
      <c r="C740" s="3768" t="s">
        <v>666</v>
      </c>
      <c r="D740" s="5278"/>
      <c r="E740" s="6788" t="s">
        <v>667</v>
      </c>
      <c r="F740" s="8298" t="s">
        <v>668</v>
      </c>
      <c r="G740" s="9808" t="s">
        <v>27</v>
      </c>
      <c r="H740" s="11318">
        <v>1</v>
      </c>
      <c r="I740" s="12828" t="s">
        <v>16</v>
      </c>
      <c r="J740" t="s">
        <v>28</v>
      </c>
    </row>
    <row r="741" spans="1:10" outlineLevel="4">
      <c r="A741" s="749" t="s">
        <v>1495</v>
      </c>
      <c r="B741" s="2259" t="s">
        <v>670</v>
      </c>
      <c r="C741" s="3769" t="s">
        <v>671</v>
      </c>
      <c r="D741" s="5279"/>
      <c r="E741" s="6789" t="s">
        <v>667</v>
      </c>
      <c r="F741" s="8299" t="s">
        <v>672</v>
      </c>
      <c r="G741" s="9809" t="s">
        <v>27</v>
      </c>
      <c r="H741" s="11319">
        <v>1</v>
      </c>
      <c r="I741" s="12829" t="s">
        <v>16</v>
      </c>
      <c r="J741" t="s">
        <v>28</v>
      </c>
    </row>
    <row r="742" spans="1:10" outlineLevel="3">
      <c r="A742" s="750" t="s">
        <v>1496</v>
      </c>
      <c r="B742" s="2260" t="s">
        <v>23</v>
      </c>
      <c r="C742" s="3770" t="s">
        <v>1430</v>
      </c>
      <c r="D742" s="5280"/>
      <c r="E742" s="6790" t="s">
        <v>32</v>
      </c>
      <c r="F742" s="8300" t="s">
        <v>1431</v>
      </c>
      <c r="G742" s="9810" t="s">
        <v>27</v>
      </c>
      <c r="H742" s="11320">
        <v>14</v>
      </c>
      <c r="I742" s="12830"/>
      <c r="J742" t="s">
        <v>28</v>
      </c>
    </row>
    <row r="743" spans="1:10" outlineLevel="3">
      <c r="A743" s="751" t="s">
        <v>1497</v>
      </c>
      <c r="B743" s="2261" t="s">
        <v>30</v>
      </c>
      <c r="C743" s="3771" t="s">
        <v>1433</v>
      </c>
      <c r="D743" s="5281"/>
      <c r="E743" s="6791" t="s">
        <v>32</v>
      </c>
      <c r="F743" s="8301" t="s">
        <v>1434</v>
      </c>
      <c r="G743" s="9811" t="s">
        <v>27</v>
      </c>
      <c r="H743" s="11321">
        <v>14</v>
      </c>
      <c r="I743" s="12831" t="s">
        <v>16</v>
      </c>
      <c r="J743" t="s">
        <v>28</v>
      </c>
    </row>
    <row r="744" spans="1:10" outlineLevel="3">
      <c r="A744" s="752" t="s">
        <v>1498</v>
      </c>
      <c r="B744" s="2262" t="s">
        <v>243</v>
      </c>
      <c r="C744" s="3772" t="s">
        <v>392</v>
      </c>
      <c r="D744" s="5282"/>
      <c r="E744" s="6792" t="s">
        <v>32</v>
      </c>
      <c r="F744" s="8302" t="s">
        <v>393</v>
      </c>
      <c r="G744" s="9812" t="s">
        <v>15</v>
      </c>
      <c r="H744" s="11322">
        <v>2</v>
      </c>
      <c r="I744" s="12832" t="s">
        <v>16</v>
      </c>
      <c r="J744" t="s">
        <v>28</v>
      </c>
    </row>
    <row r="745" spans="1:10" outlineLevel="3">
      <c r="A745" s="753" t="s">
        <v>1499</v>
      </c>
      <c r="B745" s="2263" t="s">
        <v>704</v>
      </c>
      <c r="C745" s="3773" t="s">
        <v>1437</v>
      </c>
      <c r="D745" s="5283"/>
      <c r="E745" s="6793" t="s">
        <v>32</v>
      </c>
      <c r="F745" s="8303" t="s">
        <v>1438</v>
      </c>
      <c r="G745" s="9813" t="s">
        <v>27</v>
      </c>
      <c r="H745" s="11323">
        <v>2</v>
      </c>
      <c r="I745" s="12833"/>
      <c r="J745" t="s">
        <v>28</v>
      </c>
    </row>
    <row r="746" spans="1:10" outlineLevel="3">
      <c r="A746" s="754" t="s">
        <v>1500</v>
      </c>
      <c r="B746" s="2264" t="s">
        <v>48</v>
      </c>
      <c r="C746" s="3774" t="s">
        <v>1440</v>
      </c>
      <c r="D746" s="5284"/>
      <c r="E746" s="6794" t="s">
        <v>32</v>
      </c>
      <c r="F746" s="8304" t="s">
        <v>1441</v>
      </c>
      <c r="G746" s="9814" t="s">
        <v>27</v>
      </c>
      <c r="H746" s="11324">
        <v>1</v>
      </c>
      <c r="I746" s="12834"/>
      <c r="J746" t="s">
        <v>28</v>
      </c>
    </row>
    <row r="747" spans="1:10" outlineLevel="3">
      <c r="A747" s="755" t="s">
        <v>1501</v>
      </c>
      <c r="B747" s="2265" t="s">
        <v>712</v>
      </c>
      <c r="C747" s="3775" t="s">
        <v>1443</v>
      </c>
      <c r="D747" s="5285"/>
      <c r="E747" s="6795" t="s">
        <v>16</v>
      </c>
      <c r="F747" s="8305" t="s">
        <v>1444</v>
      </c>
      <c r="G747" s="9815" t="s">
        <v>27</v>
      </c>
      <c r="H747" s="11325">
        <v>2</v>
      </c>
      <c r="I747" s="12835" t="s">
        <v>16</v>
      </c>
      <c r="J747" t="s">
        <v>28</v>
      </c>
    </row>
    <row r="748" spans="1:10" outlineLevel="3">
      <c r="A748" s="756" t="s">
        <v>1502</v>
      </c>
      <c r="B748" s="2266" t="s">
        <v>1446</v>
      </c>
      <c r="C748" s="3776" t="s">
        <v>1447</v>
      </c>
      <c r="D748" s="5286"/>
      <c r="E748" s="6796" t="s">
        <v>41</v>
      </c>
      <c r="F748" s="8306" t="s">
        <v>1448</v>
      </c>
      <c r="G748" s="9816" t="s">
        <v>15</v>
      </c>
      <c r="H748" s="11326">
        <v>2</v>
      </c>
      <c r="I748" s="12836"/>
      <c r="J748" t="s">
        <v>28</v>
      </c>
    </row>
    <row r="749" spans="1:10" ht="15.75" outlineLevel="3">
      <c r="A749" s="757" t="s">
        <v>1503</v>
      </c>
      <c r="B749" s="2267" t="s">
        <v>1450</v>
      </c>
      <c r="C749" s="3777" t="s">
        <v>1451</v>
      </c>
      <c r="D749" s="5287"/>
      <c r="E749" s="6797" t="s">
        <v>32</v>
      </c>
      <c r="F749" s="8307" t="s">
        <v>1452</v>
      </c>
      <c r="G749" s="9817" t="s">
        <v>15</v>
      </c>
      <c r="H749" s="11327">
        <v>2</v>
      </c>
      <c r="I749" s="12837"/>
      <c r="J749" s="13600" t="str">
        <f>HYPERLINK("\\192.168.170.18\drawings\2-Basic Components\0000-342 - Pipe Holders\0000-342-033- - DN200 Pipeholder.pdf", "PDF")</f>
        <v>PDF</v>
      </c>
    </row>
    <row r="750" spans="1:10" outlineLevel="2">
      <c r="A750" s="758" t="s">
        <v>1504</v>
      </c>
      <c r="B750" s="2268" t="s">
        <v>1505</v>
      </c>
      <c r="C750" s="3778"/>
      <c r="D750" s="5288"/>
      <c r="E750" s="6798"/>
      <c r="F750" s="8308" t="s">
        <v>1506</v>
      </c>
      <c r="G750" s="9818" t="s">
        <v>15</v>
      </c>
      <c r="H750" s="11328">
        <v>1</v>
      </c>
      <c r="I750" s="12838"/>
      <c r="J750" t="s">
        <v>28</v>
      </c>
    </row>
    <row r="751" spans="1:10" outlineLevel="3">
      <c r="A751" s="759" t="s">
        <v>1507</v>
      </c>
      <c r="B751" s="2269" t="s">
        <v>35</v>
      </c>
      <c r="C751" s="3779" t="s">
        <v>1508</v>
      </c>
      <c r="D751" s="5289"/>
      <c r="E751" s="6799" t="s">
        <v>32</v>
      </c>
      <c r="F751" s="8309" t="s">
        <v>1509</v>
      </c>
      <c r="G751" s="9819" t="s">
        <v>15</v>
      </c>
      <c r="H751" s="11329">
        <v>1</v>
      </c>
      <c r="I751" s="12839" t="s">
        <v>16</v>
      </c>
      <c r="J751" t="s">
        <v>28</v>
      </c>
    </row>
    <row r="752" spans="1:10" outlineLevel="3">
      <c r="A752" s="760" t="s">
        <v>1510</v>
      </c>
      <c r="B752" s="2270" t="s">
        <v>23</v>
      </c>
      <c r="C752" s="3780" t="s">
        <v>1430</v>
      </c>
      <c r="D752" s="5290"/>
      <c r="E752" s="6800" t="s">
        <v>32</v>
      </c>
      <c r="F752" s="8310" t="s">
        <v>1431</v>
      </c>
      <c r="G752" s="9820" t="s">
        <v>27</v>
      </c>
      <c r="H752" s="11330">
        <v>14</v>
      </c>
      <c r="I752" s="12840"/>
      <c r="J752" t="s">
        <v>28</v>
      </c>
    </row>
    <row r="753" spans="1:10" outlineLevel="3">
      <c r="A753" s="761" t="s">
        <v>1511</v>
      </c>
      <c r="B753" s="2271" t="s">
        <v>30</v>
      </c>
      <c r="C753" s="3781" t="s">
        <v>1433</v>
      </c>
      <c r="D753" s="5291"/>
      <c r="E753" s="6801" t="s">
        <v>32</v>
      </c>
      <c r="F753" s="8311" t="s">
        <v>1434</v>
      </c>
      <c r="G753" s="9821" t="s">
        <v>27</v>
      </c>
      <c r="H753" s="11331">
        <v>14</v>
      </c>
      <c r="I753" s="12841" t="s">
        <v>16</v>
      </c>
      <c r="J753" t="s">
        <v>28</v>
      </c>
    </row>
    <row r="754" spans="1:10" outlineLevel="3">
      <c r="A754" s="762" t="s">
        <v>1512</v>
      </c>
      <c r="B754" s="2272" t="s">
        <v>243</v>
      </c>
      <c r="C754" s="3782" t="s">
        <v>392</v>
      </c>
      <c r="D754" s="5292"/>
      <c r="E754" s="6802" t="s">
        <v>32</v>
      </c>
      <c r="F754" s="8312" t="s">
        <v>393</v>
      </c>
      <c r="G754" s="9822" t="s">
        <v>15</v>
      </c>
      <c r="H754" s="11332">
        <v>2</v>
      </c>
      <c r="I754" s="12842" t="s">
        <v>16</v>
      </c>
      <c r="J754" t="s">
        <v>28</v>
      </c>
    </row>
    <row r="755" spans="1:10" outlineLevel="3">
      <c r="A755" s="763" t="s">
        <v>1513</v>
      </c>
      <c r="B755" s="2273" t="s">
        <v>48</v>
      </c>
      <c r="C755" s="3783" t="s">
        <v>1440</v>
      </c>
      <c r="D755" s="5293"/>
      <c r="E755" s="6803" t="s">
        <v>32</v>
      </c>
      <c r="F755" s="8313" t="s">
        <v>1441</v>
      </c>
      <c r="G755" s="9823" t="s">
        <v>27</v>
      </c>
      <c r="H755" s="11333">
        <v>3</v>
      </c>
      <c r="I755" s="12843"/>
      <c r="J755" t="s">
        <v>28</v>
      </c>
    </row>
    <row r="756" spans="1:10" outlineLevel="3">
      <c r="A756" s="764" t="s">
        <v>1514</v>
      </c>
      <c r="B756" s="2274" t="s">
        <v>704</v>
      </c>
      <c r="C756" s="3784" t="s">
        <v>1437</v>
      </c>
      <c r="D756" s="5294"/>
      <c r="E756" s="6804" t="s">
        <v>32</v>
      </c>
      <c r="F756" s="8314" t="s">
        <v>1438</v>
      </c>
      <c r="G756" s="9824" t="s">
        <v>27</v>
      </c>
      <c r="H756" s="11334">
        <v>2</v>
      </c>
      <c r="I756" s="12844"/>
      <c r="J756" t="s">
        <v>28</v>
      </c>
    </row>
    <row r="757" spans="1:10" outlineLevel="3">
      <c r="A757" s="765" t="s">
        <v>1515</v>
      </c>
      <c r="B757" s="2275" t="s">
        <v>1465</v>
      </c>
      <c r="C757" s="3785" t="s">
        <v>1451</v>
      </c>
      <c r="D757" s="5295"/>
      <c r="E757" s="6805"/>
      <c r="F757" s="8315" t="s">
        <v>1466</v>
      </c>
      <c r="G757" s="9825" t="s">
        <v>15</v>
      </c>
      <c r="H757" s="11335">
        <v>2</v>
      </c>
      <c r="I757" s="12845" t="s">
        <v>16</v>
      </c>
      <c r="J757" t="s">
        <v>28</v>
      </c>
    </row>
    <row r="758" spans="1:10" outlineLevel="4">
      <c r="A758" s="766" t="s">
        <v>1516</v>
      </c>
      <c r="B758" s="2276" t="s">
        <v>661</v>
      </c>
      <c r="C758" s="3786" t="s">
        <v>834</v>
      </c>
      <c r="D758" s="5296"/>
      <c r="E758" s="6806" t="s">
        <v>32</v>
      </c>
      <c r="F758" s="8316" t="s">
        <v>835</v>
      </c>
      <c r="G758" s="9826" t="s">
        <v>832</v>
      </c>
      <c r="H758" s="11336">
        <v>1</v>
      </c>
      <c r="I758" s="12846" t="s">
        <v>16</v>
      </c>
      <c r="J758" t="s">
        <v>28</v>
      </c>
    </row>
    <row r="759" spans="1:10" outlineLevel="4">
      <c r="A759" s="767" t="s">
        <v>1517</v>
      </c>
      <c r="B759" s="2277" t="s">
        <v>797</v>
      </c>
      <c r="C759" s="3787" t="s">
        <v>1469</v>
      </c>
      <c r="D759" s="5297"/>
      <c r="E759" s="6807" t="s">
        <v>32</v>
      </c>
      <c r="F759" s="8317" t="s">
        <v>1470</v>
      </c>
      <c r="G759" s="9827" t="s">
        <v>15</v>
      </c>
      <c r="H759" s="11337">
        <v>2</v>
      </c>
      <c r="I759" s="12847"/>
      <c r="J759" t="s">
        <v>28</v>
      </c>
    </row>
    <row r="760" spans="1:10" outlineLevel="4">
      <c r="A760" s="768" t="s">
        <v>1518</v>
      </c>
      <c r="B760" s="2278" t="s">
        <v>779</v>
      </c>
      <c r="C760" s="3788" t="s">
        <v>806</v>
      </c>
      <c r="D760" s="5298"/>
      <c r="E760" s="6808" t="s">
        <v>667</v>
      </c>
      <c r="F760" s="8318" t="s">
        <v>807</v>
      </c>
      <c r="G760" s="9828" t="s">
        <v>27</v>
      </c>
      <c r="H760" s="11338">
        <v>4</v>
      </c>
      <c r="I760" s="12848"/>
      <c r="J760" t="s">
        <v>28</v>
      </c>
    </row>
    <row r="761" spans="1:10" outlineLevel="4">
      <c r="A761" s="769" t="s">
        <v>1519</v>
      </c>
      <c r="B761" s="2279" t="s">
        <v>665</v>
      </c>
      <c r="C761" s="3789" t="s">
        <v>666</v>
      </c>
      <c r="D761" s="5299"/>
      <c r="E761" s="6809" t="s">
        <v>667</v>
      </c>
      <c r="F761" s="8319" t="s">
        <v>668</v>
      </c>
      <c r="G761" s="9829" t="s">
        <v>27</v>
      </c>
      <c r="H761" s="11339">
        <v>2</v>
      </c>
      <c r="I761" s="12849" t="s">
        <v>16</v>
      </c>
      <c r="J761" t="s">
        <v>28</v>
      </c>
    </row>
    <row r="762" spans="1:10" outlineLevel="4">
      <c r="A762" s="770" t="s">
        <v>1520</v>
      </c>
      <c r="B762" s="2280" t="s">
        <v>670</v>
      </c>
      <c r="C762" s="3790" t="s">
        <v>809</v>
      </c>
      <c r="D762" s="5300"/>
      <c r="E762" s="6810" t="s">
        <v>667</v>
      </c>
      <c r="F762" s="8320" t="s">
        <v>810</v>
      </c>
      <c r="G762" s="9830" t="s">
        <v>27</v>
      </c>
      <c r="H762" s="11340">
        <v>2</v>
      </c>
      <c r="I762" s="12850" t="s">
        <v>16</v>
      </c>
      <c r="J762" t="s">
        <v>28</v>
      </c>
    </row>
    <row r="763" spans="1:10" ht="15.75" outlineLevel="3">
      <c r="A763" s="771" t="s">
        <v>1521</v>
      </c>
      <c r="B763" s="2281" t="s">
        <v>654</v>
      </c>
      <c r="C763" s="3791" t="s">
        <v>655</v>
      </c>
      <c r="D763" s="5301"/>
      <c r="E763" s="6811"/>
      <c r="F763" s="8321" t="s">
        <v>656</v>
      </c>
      <c r="G763" s="9831" t="s">
        <v>15</v>
      </c>
      <c r="H763" s="11341">
        <v>2</v>
      </c>
      <c r="I763" s="12851" t="s">
        <v>16</v>
      </c>
      <c r="J763" s="13600" t="str">
        <f>HYPERLINK("\\192.168.170.18\drawings\2-Basic Components\0000-342 - Pipe Holders\0000-342-021-- - Pipe holder foot L=200.pdf", "PDF")</f>
        <v>PDF</v>
      </c>
    </row>
    <row r="764" spans="1:10" outlineLevel="4">
      <c r="A764" s="772" t="s">
        <v>1522</v>
      </c>
      <c r="B764" s="2282" t="s">
        <v>275</v>
      </c>
      <c r="C764" s="3792" t="s">
        <v>658</v>
      </c>
      <c r="D764" s="5302"/>
      <c r="E764" s="6812" t="s">
        <v>32</v>
      </c>
      <c r="F764" s="8322" t="s">
        <v>659</v>
      </c>
      <c r="G764" s="9832" t="s">
        <v>15</v>
      </c>
      <c r="H764" s="11342">
        <v>1</v>
      </c>
      <c r="I764" s="12852" t="s">
        <v>16</v>
      </c>
      <c r="J764" t="s">
        <v>28</v>
      </c>
    </row>
    <row r="765" spans="1:10" outlineLevel="4">
      <c r="A765" s="773" t="s">
        <v>1523</v>
      </c>
      <c r="B765" s="2283" t="s">
        <v>661</v>
      </c>
      <c r="C765" s="3793" t="s">
        <v>662</v>
      </c>
      <c r="D765" s="5303"/>
      <c r="E765" s="6813" t="s">
        <v>32</v>
      </c>
      <c r="F765" s="8323" t="s">
        <v>663</v>
      </c>
      <c r="G765" s="9833" t="s">
        <v>15</v>
      </c>
      <c r="H765" s="11343">
        <v>1</v>
      </c>
      <c r="I765" s="12853" t="s">
        <v>16</v>
      </c>
      <c r="J765" t="s">
        <v>28</v>
      </c>
    </row>
    <row r="766" spans="1:10" outlineLevel="4">
      <c r="A766" s="774" t="s">
        <v>1524</v>
      </c>
      <c r="B766" s="2284" t="s">
        <v>665</v>
      </c>
      <c r="C766" s="3794" t="s">
        <v>666</v>
      </c>
      <c r="D766" s="5304"/>
      <c r="E766" s="6814" t="s">
        <v>667</v>
      </c>
      <c r="F766" s="8324" t="s">
        <v>668</v>
      </c>
      <c r="G766" s="9834" t="s">
        <v>27</v>
      </c>
      <c r="H766" s="11344">
        <v>1</v>
      </c>
      <c r="I766" s="12854" t="s">
        <v>16</v>
      </c>
      <c r="J766" t="s">
        <v>28</v>
      </c>
    </row>
    <row r="767" spans="1:10" outlineLevel="4">
      <c r="A767" s="775" t="s">
        <v>1525</v>
      </c>
      <c r="B767" s="2285" t="s">
        <v>670</v>
      </c>
      <c r="C767" s="3795" t="s">
        <v>671</v>
      </c>
      <c r="D767" s="5305"/>
      <c r="E767" s="6815" t="s">
        <v>667</v>
      </c>
      <c r="F767" s="8325" t="s">
        <v>672</v>
      </c>
      <c r="G767" s="9835" t="s">
        <v>27</v>
      </c>
      <c r="H767" s="11345">
        <v>1</v>
      </c>
      <c r="I767" s="12855" t="s">
        <v>16</v>
      </c>
      <c r="J767" t="s">
        <v>28</v>
      </c>
    </row>
    <row r="768" spans="1:10" ht="15.75" outlineLevel="3">
      <c r="A768" s="776" t="s">
        <v>1526</v>
      </c>
      <c r="B768" s="2286" t="s">
        <v>1450</v>
      </c>
      <c r="C768" s="3796" t="s">
        <v>1451</v>
      </c>
      <c r="D768" s="5306"/>
      <c r="E768" s="6816" t="s">
        <v>32</v>
      </c>
      <c r="F768" s="8326" t="s">
        <v>1452</v>
      </c>
      <c r="G768" s="9836" t="s">
        <v>15</v>
      </c>
      <c r="H768" s="11346">
        <v>2</v>
      </c>
      <c r="I768" s="12856"/>
      <c r="J768" s="13600" t="str">
        <f>HYPERLINK("\\192.168.170.18\drawings\2-Basic Components\0000-342 - Pipe Holders\0000-342-033- - DN200 Pipeholder.pdf", "PDF")</f>
        <v>PDF</v>
      </c>
    </row>
    <row r="769" spans="1:10" outlineLevel="3">
      <c r="A769" s="777" t="s">
        <v>1527</v>
      </c>
      <c r="B769" s="2287" t="s">
        <v>712</v>
      </c>
      <c r="C769" s="3797" t="s">
        <v>1443</v>
      </c>
      <c r="D769" s="5307"/>
      <c r="E769" s="6817" t="s">
        <v>16</v>
      </c>
      <c r="F769" s="8327" t="s">
        <v>1444</v>
      </c>
      <c r="G769" s="9837" t="s">
        <v>27</v>
      </c>
      <c r="H769" s="11347">
        <v>2</v>
      </c>
      <c r="I769" s="12857" t="s">
        <v>16</v>
      </c>
      <c r="J769" t="s">
        <v>28</v>
      </c>
    </row>
    <row r="770" spans="1:10" outlineLevel="3">
      <c r="A770" s="778" t="s">
        <v>1528</v>
      </c>
      <c r="B770" s="2288" t="s">
        <v>1446</v>
      </c>
      <c r="C770" s="3798" t="s">
        <v>1447</v>
      </c>
      <c r="D770" s="5308"/>
      <c r="E770" s="6818" t="s">
        <v>41</v>
      </c>
      <c r="F770" s="8328" t="s">
        <v>1448</v>
      </c>
      <c r="G770" s="9838" t="s">
        <v>15</v>
      </c>
      <c r="H770" s="11348">
        <v>2</v>
      </c>
      <c r="I770" s="12858"/>
      <c r="J770" t="s">
        <v>28</v>
      </c>
    </row>
    <row r="771" spans="1:10" outlineLevel="2">
      <c r="A771" s="779" t="s">
        <v>1529</v>
      </c>
      <c r="B771" s="2289" t="s">
        <v>1530</v>
      </c>
      <c r="C771" s="3799" t="s">
        <v>595</v>
      </c>
      <c r="D771" s="5309" t="s">
        <v>13</v>
      </c>
      <c r="E771" s="6819"/>
      <c r="F771" s="8329" t="s">
        <v>1531</v>
      </c>
      <c r="G771" s="9839" t="s">
        <v>15</v>
      </c>
      <c r="H771" s="11349">
        <v>1</v>
      </c>
      <c r="I771" s="12859" t="s">
        <v>16</v>
      </c>
      <c r="J771" t="s">
        <v>28</v>
      </c>
    </row>
    <row r="772" spans="1:10" outlineLevel="3">
      <c r="A772" s="780" t="s">
        <v>1532</v>
      </c>
      <c r="B772" s="2290" t="s">
        <v>35</v>
      </c>
      <c r="C772" s="3800" t="s">
        <v>1533</v>
      </c>
      <c r="D772" s="5310"/>
      <c r="E772" s="6820" t="s">
        <v>32</v>
      </c>
      <c r="F772" s="8330" t="s">
        <v>1534</v>
      </c>
      <c r="G772" s="9840" t="s">
        <v>15</v>
      </c>
      <c r="H772" s="11350">
        <v>1</v>
      </c>
      <c r="I772" s="12860" t="s">
        <v>16</v>
      </c>
      <c r="J772" t="s">
        <v>28</v>
      </c>
    </row>
    <row r="773" spans="1:10" outlineLevel="3">
      <c r="A773" s="781" t="s">
        <v>1535</v>
      </c>
      <c r="B773" s="2291" t="s">
        <v>23</v>
      </c>
      <c r="C773" s="3801" t="s">
        <v>613</v>
      </c>
      <c r="D773" s="5311"/>
      <c r="E773" s="6821" t="s">
        <v>32</v>
      </c>
      <c r="F773" s="8331" t="s">
        <v>614</v>
      </c>
      <c r="G773" s="9841" t="s">
        <v>27</v>
      </c>
      <c r="H773" s="11351">
        <v>6</v>
      </c>
      <c r="I773" s="12861"/>
      <c r="J773" t="s">
        <v>28</v>
      </c>
    </row>
    <row r="774" spans="1:10" outlineLevel="3">
      <c r="A774" s="782" t="s">
        <v>1536</v>
      </c>
      <c r="B774" s="2292" t="s">
        <v>30</v>
      </c>
      <c r="C774" s="3802" t="s">
        <v>616</v>
      </c>
      <c r="D774" s="5312"/>
      <c r="E774" s="6822" t="s">
        <v>32</v>
      </c>
      <c r="F774" s="8332" t="s">
        <v>617</v>
      </c>
      <c r="G774" s="9842" t="s">
        <v>27</v>
      </c>
      <c r="H774" s="11352">
        <v>6</v>
      </c>
      <c r="I774" s="12862"/>
      <c r="J774" t="s">
        <v>28</v>
      </c>
    </row>
    <row r="775" spans="1:10" outlineLevel="3">
      <c r="A775" s="783" t="s">
        <v>1537</v>
      </c>
      <c r="B775" s="2293" t="s">
        <v>603</v>
      </c>
      <c r="C775" s="3803" t="s">
        <v>604</v>
      </c>
      <c r="D775" s="5313"/>
      <c r="E775" s="6823" t="s">
        <v>32</v>
      </c>
      <c r="F775" s="8333" t="s">
        <v>605</v>
      </c>
      <c r="G775" s="9843" t="s">
        <v>27</v>
      </c>
      <c r="H775" s="11353">
        <v>1</v>
      </c>
      <c r="I775" s="12863"/>
      <c r="J775" t="s">
        <v>28</v>
      </c>
    </row>
    <row r="776" spans="1:10" outlineLevel="3">
      <c r="A776" s="784" t="s">
        <v>1538</v>
      </c>
      <c r="B776" s="2294" t="s">
        <v>704</v>
      </c>
      <c r="C776" s="3804" t="s">
        <v>705</v>
      </c>
      <c r="D776" s="5314"/>
      <c r="E776" s="6824" t="s">
        <v>32</v>
      </c>
      <c r="F776" s="8334" t="s">
        <v>706</v>
      </c>
      <c r="G776" s="9844" t="s">
        <v>27</v>
      </c>
      <c r="H776" s="11354">
        <v>1</v>
      </c>
      <c r="I776" s="12864"/>
      <c r="J776" t="s">
        <v>28</v>
      </c>
    </row>
    <row r="777" spans="1:10" outlineLevel="3">
      <c r="A777" s="785" t="s">
        <v>1539</v>
      </c>
      <c r="B777" s="2295" t="s">
        <v>708</v>
      </c>
      <c r="C777" s="3805" t="s">
        <v>1540</v>
      </c>
      <c r="D777" s="5315"/>
      <c r="E777" s="6825" t="s">
        <v>32</v>
      </c>
      <c r="F777" s="8335" t="s">
        <v>1541</v>
      </c>
      <c r="G777" s="9845" t="s">
        <v>15</v>
      </c>
      <c r="H777" s="11355">
        <v>1</v>
      </c>
      <c r="I777" s="12865" t="s">
        <v>16</v>
      </c>
      <c r="J777" t="s">
        <v>28</v>
      </c>
    </row>
    <row r="778" spans="1:10" outlineLevel="2">
      <c r="A778" s="786" t="s">
        <v>1542</v>
      </c>
      <c r="B778" s="2296" t="s">
        <v>1543</v>
      </c>
      <c r="C778" s="3806"/>
      <c r="D778" s="5316"/>
      <c r="E778" s="6826"/>
      <c r="F778" s="8336" t="s">
        <v>1544</v>
      </c>
      <c r="G778" s="9846" t="s">
        <v>15</v>
      </c>
      <c r="H778" s="11356">
        <v>1</v>
      </c>
      <c r="I778" s="12866"/>
      <c r="J778" t="s">
        <v>28</v>
      </c>
    </row>
    <row r="779" spans="1:10" outlineLevel="3">
      <c r="A779" s="787" t="s">
        <v>1545</v>
      </c>
      <c r="B779" s="2297" t="s">
        <v>23</v>
      </c>
      <c r="C779" s="3807" t="s">
        <v>879</v>
      </c>
      <c r="D779" s="5317"/>
      <c r="E779" s="6827" t="s">
        <v>32</v>
      </c>
      <c r="F779" s="8337" t="s">
        <v>880</v>
      </c>
      <c r="G779" s="9847" t="s">
        <v>27</v>
      </c>
      <c r="H779" s="11357">
        <v>6</v>
      </c>
      <c r="I779" s="12867" t="s">
        <v>16</v>
      </c>
      <c r="J779" t="s">
        <v>28</v>
      </c>
    </row>
    <row r="780" spans="1:10" outlineLevel="3">
      <c r="A780" s="788" t="s">
        <v>1546</v>
      </c>
      <c r="B780" s="2298" t="s">
        <v>30</v>
      </c>
      <c r="C780" s="3808" t="s">
        <v>876</v>
      </c>
      <c r="D780" s="5318"/>
      <c r="E780" s="6828" t="s">
        <v>32</v>
      </c>
      <c r="F780" s="8338" t="s">
        <v>877</v>
      </c>
      <c r="G780" s="9848" t="s">
        <v>27</v>
      </c>
      <c r="H780" s="11358">
        <v>6</v>
      </c>
      <c r="I780" s="12868"/>
      <c r="J780" t="s">
        <v>28</v>
      </c>
    </row>
    <row r="781" spans="1:10" outlineLevel="3">
      <c r="A781" s="789" t="s">
        <v>1547</v>
      </c>
      <c r="B781" s="2299" t="s">
        <v>35</v>
      </c>
      <c r="C781" s="3809" t="s">
        <v>1548</v>
      </c>
      <c r="D781" s="5319"/>
      <c r="E781" s="6829" t="s">
        <v>32</v>
      </c>
      <c r="F781" s="8339" t="s">
        <v>1549</v>
      </c>
      <c r="G781" s="9849" t="s">
        <v>15</v>
      </c>
      <c r="H781" s="11359">
        <v>1</v>
      </c>
      <c r="I781" s="12869" t="s">
        <v>16</v>
      </c>
      <c r="J781" t="s">
        <v>28</v>
      </c>
    </row>
    <row r="782" spans="1:10" outlineLevel="2">
      <c r="A782" s="790" t="s">
        <v>1550</v>
      </c>
      <c r="B782" s="2300" t="s">
        <v>1551</v>
      </c>
      <c r="C782" s="3810"/>
      <c r="D782" s="5320"/>
      <c r="E782" s="6830"/>
      <c r="F782" s="8340" t="s">
        <v>1552</v>
      </c>
      <c r="G782" s="9850" t="s">
        <v>15</v>
      </c>
      <c r="H782" s="11360">
        <v>1</v>
      </c>
      <c r="I782" s="12870"/>
      <c r="J782" t="s">
        <v>28</v>
      </c>
    </row>
    <row r="783" spans="1:10" outlineLevel="3">
      <c r="A783" s="791" t="s">
        <v>1553</v>
      </c>
      <c r="B783" s="2301" t="s">
        <v>598</v>
      </c>
      <c r="C783" s="3811" t="s">
        <v>1554</v>
      </c>
      <c r="D783" s="5321"/>
      <c r="E783" s="6831" t="s">
        <v>600</v>
      </c>
      <c r="F783" s="8341" t="s">
        <v>1555</v>
      </c>
      <c r="G783" s="9851" t="s">
        <v>15</v>
      </c>
      <c r="H783" s="11361">
        <v>1</v>
      </c>
      <c r="I783" s="12871" t="s">
        <v>16</v>
      </c>
      <c r="J783" t="s">
        <v>28</v>
      </c>
    </row>
    <row r="784" spans="1:10" outlineLevel="3">
      <c r="A784" s="792" t="s">
        <v>1556</v>
      </c>
      <c r="B784" s="2302" t="s">
        <v>23</v>
      </c>
      <c r="C784" s="3812" t="s">
        <v>879</v>
      </c>
      <c r="D784" s="5322"/>
      <c r="E784" s="6832" t="s">
        <v>32</v>
      </c>
      <c r="F784" s="8342" t="s">
        <v>880</v>
      </c>
      <c r="G784" s="9852" t="s">
        <v>27</v>
      </c>
      <c r="H784" s="11362">
        <v>8</v>
      </c>
      <c r="I784" s="12872" t="s">
        <v>16</v>
      </c>
      <c r="J784" t="s">
        <v>28</v>
      </c>
    </row>
    <row r="785" spans="1:10" outlineLevel="3">
      <c r="A785" s="793" t="s">
        <v>1557</v>
      </c>
      <c r="B785" s="2303" t="s">
        <v>30</v>
      </c>
      <c r="C785" s="3813" t="s">
        <v>876</v>
      </c>
      <c r="D785" s="5323"/>
      <c r="E785" s="6833" t="s">
        <v>32</v>
      </c>
      <c r="F785" s="8343" t="s">
        <v>877</v>
      </c>
      <c r="G785" s="9853" t="s">
        <v>27</v>
      </c>
      <c r="H785" s="11363">
        <v>8</v>
      </c>
      <c r="I785" s="12873"/>
      <c r="J785" t="s">
        <v>28</v>
      </c>
    </row>
    <row r="786" spans="1:10" outlineLevel="3">
      <c r="A786" s="794" t="s">
        <v>1558</v>
      </c>
      <c r="B786" s="2304" t="s">
        <v>30</v>
      </c>
      <c r="C786" s="3814" t="s">
        <v>607</v>
      </c>
      <c r="D786" s="5324"/>
      <c r="E786" s="6834" t="s">
        <v>32</v>
      </c>
      <c r="F786" s="8344" t="s">
        <v>608</v>
      </c>
      <c r="G786" s="9854" t="s">
        <v>27</v>
      </c>
      <c r="H786" s="11364">
        <v>2</v>
      </c>
      <c r="I786" s="12874"/>
      <c r="J786" t="s">
        <v>28</v>
      </c>
    </row>
    <row r="787" spans="1:10" outlineLevel="3">
      <c r="A787" s="795" t="s">
        <v>1559</v>
      </c>
      <c r="B787" s="2305" t="s">
        <v>23</v>
      </c>
      <c r="C787" s="3815" t="s">
        <v>610</v>
      </c>
      <c r="D787" s="5325"/>
      <c r="E787" s="6835" t="s">
        <v>32</v>
      </c>
      <c r="F787" s="8345" t="s">
        <v>611</v>
      </c>
      <c r="G787" s="9855" t="s">
        <v>27</v>
      </c>
      <c r="H787" s="11365">
        <v>2</v>
      </c>
      <c r="I787" s="12875"/>
      <c r="J787" t="s">
        <v>28</v>
      </c>
    </row>
    <row r="788" spans="1:10" outlineLevel="2">
      <c r="A788" s="796" t="s">
        <v>1560</v>
      </c>
      <c r="B788" s="2306" t="s">
        <v>1561</v>
      </c>
      <c r="C788" s="3816"/>
      <c r="D788" s="5326"/>
      <c r="E788" s="6836"/>
      <c r="F788" s="8346" t="s">
        <v>1562</v>
      </c>
      <c r="G788" s="9856" t="s">
        <v>15</v>
      </c>
      <c r="H788" s="11366">
        <v>1</v>
      </c>
      <c r="I788" s="12876"/>
      <c r="J788" t="s">
        <v>28</v>
      </c>
    </row>
    <row r="789" spans="1:10" outlineLevel="3">
      <c r="A789" s="797" t="s">
        <v>1563</v>
      </c>
      <c r="B789" s="2307" t="s">
        <v>35</v>
      </c>
      <c r="C789" s="3817" t="s">
        <v>1564</v>
      </c>
      <c r="D789" s="5327"/>
      <c r="E789" s="6837" t="s">
        <v>32</v>
      </c>
      <c r="F789" s="8347" t="s">
        <v>1565</v>
      </c>
      <c r="G789" s="9857" t="s">
        <v>15</v>
      </c>
      <c r="H789" s="11367">
        <v>1</v>
      </c>
      <c r="I789" s="12877" t="s">
        <v>16</v>
      </c>
      <c r="J789" t="s">
        <v>28</v>
      </c>
    </row>
    <row r="790" spans="1:10" outlineLevel="3">
      <c r="A790" s="798" t="s">
        <v>1566</v>
      </c>
      <c r="B790" s="2308" t="s">
        <v>243</v>
      </c>
      <c r="C790" s="3818" t="s">
        <v>882</v>
      </c>
      <c r="D790" s="5328"/>
      <c r="E790" s="6838" t="s">
        <v>41</v>
      </c>
      <c r="F790" s="8348" t="s">
        <v>883</v>
      </c>
      <c r="G790" s="9858" t="s">
        <v>15</v>
      </c>
      <c r="H790" s="11368">
        <v>4</v>
      </c>
      <c r="I790" s="12878" t="s">
        <v>16</v>
      </c>
      <c r="J790" t="s">
        <v>28</v>
      </c>
    </row>
    <row r="791" spans="1:10" outlineLevel="3">
      <c r="A791" s="799" t="s">
        <v>1567</v>
      </c>
      <c r="B791" s="2309" t="s">
        <v>23</v>
      </c>
      <c r="C791" s="3819" t="s">
        <v>879</v>
      </c>
      <c r="D791" s="5329"/>
      <c r="E791" s="6839" t="s">
        <v>32</v>
      </c>
      <c r="F791" s="8349" t="s">
        <v>880</v>
      </c>
      <c r="G791" s="9859" t="s">
        <v>27</v>
      </c>
      <c r="H791" s="11369">
        <v>14</v>
      </c>
      <c r="I791" s="12879" t="s">
        <v>16</v>
      </c>
      <c r="J791" t="s">
        <v>28</v>
      </c>
    </row>
    <row r="792" spans="1:10" outlineLevel="3">
      <c r="A792" s="800" t="s">
        <v>1568</v>
      </c>
      <c r="B792" s="2310" t="s">
        <v>30</v>
      </c>
      <c r="C792" s="3820" t="s">
        <v>876</v>
      </c>
      <c r="D792" s="5330"/>
      <c r="E792" s="6840" t="s">
        <v>32</v>
      </c>
      <c r="F792" s="8350" t="s">
        <v>877</v>
      </c>
      <c r="G792" s="9860" t="s">
        <v>27</v>
      </c>
      <c r="H792" s="11370">
        <v>14</v>
      </c>
      <c r="I792" s="12880"/>
      <c r="J792" t="s">
        <v>28</v>
      </c>
    </row>
    <row r="793" spans="1:10" outlineLevel="3">
      <c r="A793" s="801" t="s">
        <v>1569</v>
      </c>
      <c r="B793" s="2311" t="s">
        <v>708</v>
      </c>
      <c r="C793" s="3821" t="s">
        <v>943</v>
      </c>
      <c r="D793" s="5331"/>
      <c r="E793" s="6841" t="s">
        <v>41</v>
      </c>
      <c r="F793" s="8351" t="s">
        <v>944</v>
      </c>
      <c r="G793" s="9861" t="s">
        <v>15</v>
      </c>
      <c r="H793" s="11371">
        <v>1</v>
      </c>
      <c r="I793" s="12881" t="s">
        <v>16</v>
      </c>
      <c r="J793" t="s">
        <v>28</v>
      </c>
    </row>
    <row r="794" spans="1:10" outlineLevel="3">
      <c r="A794" s="802" t="s">
        <v>1570</v>
      </c>
      <c r="B794" s="2312" t="s">
        <v>712</v>
      </c>
      <c r="C794" s="3822" t="s">
        <v>947</v>
      </c>
      <c r="D794" s="5332"/>
      <c r="E794" s="6842" t="s">
        <v>16</v>
      </c>
      <c r="F794" s="8352" t="s">
        <v>948</v>
      </c>
      <c r="G794" s="9862" t="s">
        <v>27</v>
      </c>
      <c r="H794" s="11372">
        <v>1</v>
      </c>
      <c r="I794" s="12882" t="s">
        <v>16</v>
      </c>
      <c r="J794" t="s">
        <v>28</v>
      </c>
    </row>
    <row r="795" spans="1:10" ht="15.75" outlineLevel="3">
      <c r="A795" s="803" t="s">
        <v>1571</v>
      </c>
      <c r="B795" s="2313" t="s">
        <v>654</v>
      </c>
      <c r="C795" s="3823" t="s">
        <v>655</v>
      </c>
      <c r="D795" s="5333"/>
      <c r="E795" s="6843"/>
      <c r="F795" s="8353" t="s">
        <v>656</v>
      </c>
      <c r="G795" s="9863" t="s">
        <v>15</v>
      </c>
      <c r="H795" s="11373">
        <v>1</v>
      </c>
      <c r="I795" s="12883" t="s">
        <v>16</v>
      </c>
      <c r="J795" s="13600" t="str">
        <f>HYPERLINK("\\192.168.170.18\drawings\2-Basic Components\0000-342 - Pipe Holders\0000-342-021-- - Pipe holder foot L=200.pdf", "PDF")</f>
        <v>PDF</v>
      </c>
    </row>
    <row r="796" spans="1:10" outlineLevel="4">
      <c r="A796" s="804" t="s">
        <v>1572</v>
      </c>
      <c r="B796" s="2314" t="s">
        <v>275</v>
      </c>
      <c r="C796" s="3824" t="s">
        <v>658</v>
      </c>
      <c r="D796" s="5334"/>
      <c r="E796" s="6844" t="s">
        <v>32</v>
      </c>
      <c r="F796" s="8354" t="s">
        <v>659</v>
      </c>
      <c r="G796" s="9864" t="s">
        <v>15</v>
      </c>
      <c r="H796" s="11374">
        <v>1</v>
      </c>
      <c r="I796" s="12884" t="s">
        <v>16</v>
      </c>
      <c r="J796" t="s">
        <v>28</v>
      </c>
    </row>
    <row r="797" spans="1:10" outlineLevel="4">
      <c r="A797" s="805" t="s">
        <v>1573</v>
      </c>
      <c r="B797" s="2315" t="s">
        <v>661</v>
      </c>
      <c r="C797" s="3825" t="s">
        <v>662</v>
      </c>
      <c r="D797" s="5335"/>
      <c r="E797" s="6845" t="s">
        <v>32</v>
      </c>
      <c r="F797" s="8355" t="s">
        <v>663</v>
      </c>
      <c r="G797" s="9865" t="s">
        <v>15</v>
      </c>
      <c r="H797" s="11375">
        <v>1</v>
      </c>
      <c r="I797" s="12885" t="s">
        <v>16</v>
      </c>
      <c r="J797" t="s">
        <v>28</v>
      </c>
    </row>
    <row r="798" spans="1:10" outlineLevel="4">
      <c r="A798" s="806" t="s">
        <v>1574</v>
      </c>
      <c r="B798" s="2316" t="s">
        <v>665</v>
      </c>
      <c r="C798" s="3826" t="s">
        <v>666</v>
      </c>
      <c r="D798" s="5336"/>
      <c r="E798" s="6846" t="s">
        <v>667</v>
      </c>
      <c r="F798" s="8356" t="s">
        <v>668</v>
      </c>
      <c r="G798" s="9866" t="s">
        <v>27</v>
      </c>
      <c r="H798" s="11376">
        <v>1</v>
      </c>
      <c r="I798" s="12886" t="s">
        <v>16</v>
      </c>
      <c r="J798" t="s">
        <v>28</v>
      </c>
    </row>
    <row r="799" spans="1:10" outlineLevel="4">
      <c r="A799" s="807" t="s">
        <v>1575</v>
      </c>
      <c r="B799" s="2317" t="s">
        <v>670</v>
      </c>
      <c r="C799" s="3827" t="s">
        <v>671</v>
      </c>
      <c r="D799" s="5337"/>
      <c r="E799" s="6847" t="s">
        <v>667</v>
      </c>
      <c r="F799" s="8357" t="s">
        <v>672</v>
      </c>
      <c r="G799" s="9867" t="s">
        <v>27</v>
      </c>
      <c r="H799" s="11377">
        <v>1</v>
      </c>
      <c r="I799" s="12887" t="s">
        <v>16</v>
      </c>
      <c r="J799" t="s">
        <v>28</v>
      </c>
    </row>
    <row r="800" spans="1:10" outlineLevel="3">
      <c r="A800" s="808" t="s">
        <v>1576</v>
      </c>
      <c r="B800" s="2318" t="s">
        <v>893</v>
      </c>
      <c r="C800" s="3828" t="s">
        <v>894</v>
      </c>
      <c r="D800" s="5338"/>
      <c r="E800" s="6848" t="s">
        <v>32</v>
      </c>
      <c r="F800" s="8358" t="s">
        <v>895</v>
      </c>
      <c r="G800" s="9868" t="s">
        <v>15</v>
      </c>
      <c r="H800" s="11378">
        <v>1</v>
      </c>
      <c r="I800" s="12888" t="s">
        <v>16</v>
      </c>
      <c r="J800" t="s">
        <v>28</v>
      </c>
    </row>
    <row r="801" spans="1:10" outlineLevel="3">
      <c r="A801" s="809" t="s">
        <v>1577</v>
      </c>
      <c r="B801" s="2319" t="s">
        <v>48</v>
      </c>
      <c r="C801" s="3829" t="s">
        <v>873</v>
      </c>
      <c r="D801" s="5339"/>
      <c r="E801" s="6849" t="s">
        <v>25</v>
      </c>
      <c r="F801" s="8359" t="s">
        <v>874</v>
      </c>
      <c r="G801" s="9869" t="s">
        <v>27</v>
      </c>
      <c r="H801" s="11379">
        <v>5</v>
      </c>
      <c r="I801" s="12889" t="s">
        <v>16</v>
      </c>
      <c r="J801" t="s">
        <v>28</v>
      </c>
    </row>
    <row r="802" spans="1:10" outlineLevel="3">
      <c r="A802" s="810" t="s">
        <v>1578</v>
      </c>
      <c r="B802" s="2320" t="s">
        <v>704</v>
      </c>
      <c r="C802" s="3830" t="s">
        <v>1416</v>
      </c>
      <c r="D802" s="5340"/>
      <c r="E802" s="6850" t="s">
        <v>32</v>
      </c>
      <c r="F802" s="8360" t="s">
        <v>1417</v>
      </c>
      <c r="G802" s="9870" t="s">
        <v>27</v>
      </c>
      <c r="H802" s="11380">
        <v>2</v>
      </c>
      <c r="I802" s="12890"/>
      <c r="J802" t="s">
        <v>28</v>
      </c>
    </row>
    <row r="803" spans="1:10" outlineLevel="2">
      <c r="A803" s="811" t="s">
        <v>1579</v>
      </c>
      <c r="B803" s="2321" t="s">
        <v>1580</v>
      </c>
      <c r="C803" s="3831"/>
      <c r="D803" s="5341"/>
      <c r="E803" s="6851"/>
      <c r="F803" s="8361" t="s">
        <v>1581</v>
      </c>
      <c r="G803" s="9871" t="s">
        <v>15</v>
      </c>
      <c r="H803" s="11381">
        <v>1</v>
      </c>
      <c r="I803" s="12891"/>
      <c r="J803" t="s">
        <v>28</v>
      </c>
    </row>
    <row r="804" spans="1:10" outlineLevel="3">
      <c r="A804" s="812" t="s">
        <v>1582</v>
      </c>
      <c r="B804" s="2322" t="s">
        <v>23</v>
      </c>
      <c r="C804" s="3832" t="s">
        <v>879</v>
      </c>
      <c r="D804" s="5342"/>
      <c r="E804" s="6852" t="s">
        <v>32</v>
      </c>
      <c r="F804" s="8362" t="s">
        <v>880</v>
      </c>
      <c r="G804" s="9872" t="s">
        <v>27</v>
      </c>
      <c r="H804" s="11382">
        <v>6</v>
      </c>
      <c r="I804" s="12892" t="s">
        <v>16</v>
      </c>
      <c r="J804" t="s">
        <v>28</v>
      </c>
    </row>
    <row r="805" spans="1:10" outlineLevel="3">
      <c r="A805" s="813" t="s">
        <v>1583</v>
      </c>
      <c r="B805" s="2323" t="s">
        <v>30</v>
      </c>
      <c r="C805" s="3833" t="s">
        <v>876</v>
      </c>
      <c r="D805" s="5343"/>
      <c r="E805" s="6853" t="s">
        <v>32</v>
      </c>
      <c r="F805" s="8363" t="s">
        <v>877</v>
      </c>
      <c r="G805" s="9873" t="s">
        <v>27</v>
      </c>
      <c r="H805" s="11383">
        <v>6</v>
      </c>
      <c r="I805" s="12893"/>
      <c r="J805" t="s">
        <v>28</v>
      </c>
    </row>
    <row r="806" spans="1:10" outlineLevel="3">
      <c r="A806" s="814" t="s">
        <v>1584</v>
      </c>
      <c r="B806" s="2324" t="s">
        <v>35</v>
      </c>
      <c r="C806" s="3834" t="s">
        <v>1548</v>
      </c>
      <c r="D806" s="5344"/>
      <c r="E806" s="6854" t="s">
        <v>32</v>
      </c>
      <c r="F806" s="8364" t="s">
        <v>1585</v>
      </c>
      <c r="G806" s="9874" t="s">
        <v>15</v>
      </c>
      <c r="H806" s="11384">
        <v>1</v>
      </c>
      <c r="I806" s="12894" t="s">
        <v>16</v>
      </c>
      <c r="J806" t="s">
        <v>28</v>
      </c>
    </row>
    <row r="807" spans="1:10" outlineLevel="2">
      <c r="A807" s="815" t="s">
        <v>1586</v>
      </c>
      <c r="B807" s="2325" t="s">
        <v>1587</v>
      </c>
      <c r="C807" s="3835" t="s">
        <v>595</v>
      </c>
      <c r="D807" s="5345" t="s">
        <v>13</v>
      </c>
      <c r="E807" s="6855"/>
      <c r="F807" s="8365" t="s">
        <v>1588</v>
      </c>
      <c r="G807" s="9875" t="s">
        <v>15</v>
      </c>
      <c r="H807" s="11385">
        <v>1</v>
      </c>
      <c r="I807" s="12895" t="s">
        <v>16</v>
      </c>
      <c r="J807" t="s">
        <v>28</v>
      </c>
    </row>
    <row r="808" spans="1:10" outlineLevel="3">
      <c r="A808" s="816" t="s">
        <v>1589</v>
      </c>
      <c r="B808" s="2326" t="s">
        <v>23</v>
      </c>
      <c r="C808" s="3836" t="s">
        <v>613</v>
      </c>
      <c r="D808" s="5346"/>
      <c r="E808" s="6856" t="s">
        <v>32</v>
      </c>
      <c r="F808" s="8366" t="s">
        <v>614</v>
      </c>
      <c r="G808" s="9876" t="s">
        <v>27</v>
      </c>
      <c r="H808" s="11386">
        <v>6</v>
      </c>
      <c r="I808" s="12896"/>
      <c r="J808" t="s">
        <v>28</v>
      </c>
    </row>
    <row r="809" spans="1:10" outlineLevel="3">
      <c r="A809" s="817" t="s">
        <v>1590</v>
      </c>
      <c r="B809" s="2327" t="s">
        <v>30</v>
      </c>
      <c r="C809" s="3837" t="s">
        <v>616</v>
      </c>
      <c r="D809" s="5347"/>
      <c r="E809" s="6857" t="s">
        <v>32</v>
      </c>
      <c r="F809" s="8367" t="s">
        <v>617</v>
      </c>
      <c r="G809" s="9877" t="s">
        <v>27</v>
      </c>
      <c r="H809" s="11387">
        <v>6</v>
      </c>
      <c r="I809" s="12897"/>
      <c r="J809" t="s">
        <v>28</v>
      </c>
    </row>
    <row r="810" spans="1:10" outlineLevel="3">
      <c r="A810" s="818" t="s">
        <v>1591</v>
      </c>
      <c r="B810" s="2328" t="s">
        <v>603</v>
      </c>
      <c r="C810" s="3838" t="s">
        <v>604</v>
      </c>
      <c r="D810" s="5348"/>
      <c r="E810" s="6858" t="s">
        <v>32</v>
      </c>
      <c r="F810" s="8368" t="s">
        <v>605</v>
      </c>
      <c r="G810" s="9878" t="s">
        <v>27</v>
      </c>
      <c r="H810" s="11388">
        <v>1</v>
      </c>
      <c r="I810" s="12898"/>
      <c r="J810" t="s">
        <v>28</v>
      </c>
    </row>
    <row r="811" spans="1:10" outlineLevel="3">
      <c r="A811" s="819" t="s">
        <v>1592</v>
      </c>
      <c r="B811" s="2329" t="s">
        <v>704</v>
      </c>
      <c r="C811" s="3839" t="s">
        <v>705</v>
      </c>
      <c r="D811" s="5349"/>
      <c r="E811" s="6859" t="s">
        <v>32</v>
      </c>
      <c r="F811" s="8369" t="s">
        <v>706</v>
      </c>
      <c r="G811" s="9879" t="s">
        <v>27</v>
      </c>
      <c r="H811" s="11389">
        <v>1</v>
      </c>
      <c r="I811" s="12899"/>
      <c r="J811" t="s">
        <v>28</v>
      </c>
    </row>
    <row r="812" spans="1:10" outlineLevel="3">
      <c r="A812" s="820" t="s">
        <v>1593</v>
      </c>
      <c r="B812" s="2330" t="s">
        <v>708</v>
      </c>
      <c r="C812" s="3840" t="s">
        <v>1540</v>
      </c>
      <c r="D812" s="5350"/>
      <c r="E812" s="6860" t="s">
        <v>32</v>
      </c>
      <c r="F812" s="8370" t="s">
        <v>1541</v>
      </c>
      <c r="G812" s="9880" t="s">
        <v>15</v>
      </c>
      <c r="H812" s="11390">
        <v>1</v>
      </c>
      <c r="I812" s="12900" t="s">
        <v>16</v>
      </c>
      <c r="J812" t="s">
        <v>28</v>
      </c>
    </row>
    <row r="813" spans="1:10" outlineLevel="3">
      <c r="A813" s="821" t="s">
        <v>1594</v>
      </c>
      <c r="B813" s="2331" t="s">
        <v>35</v>
      </c>
      <c r="C813" s="3841" t="s">
        <v>1595</v>
      </c>
      <c r="D813" s="5351"/>
      <c r="E813" s="6861" t="s">
        <v>32</v>
      </c>
      <c r="F813" s="8371" t="s">
        <v>1596</v>
      </c>
      <c r="G813" s="9881" t="s">
        <v>15</v>
      </c>
      <c r="H813" s="11391">
        <v>1</v>
      </c>
      <c r="I813" s="12901" t="s">
        <v>16</v>
      </c>
      <c r="J813" t="s">
        <v>28</v>
      </c>
    </row>
    <row r="814" spans="1:10" outlineLevel="2">
      <c r="A814" s="822" t="s">
        <v>1597</v>
      </c>
      <c r="B814" s="2332" t="s">
        <v>1598</v>
      </c>
      <c r="C814" s="3842"/>
      <c r="D814" s="5352"/>
      <c r="E814" s="6862"/>
      <c r="F814" s="8372" t="s">
        <v>1599</v>
      </c>
      <c r="G814" s="9882" t="s">
        <v>15</v>
      </c>
      <c r="H814" s="11392">
        <v>1</v>
      </c>
      <c r="I814" s="12902"/>
      <c r="J814" t="s">
        <v>28</v>
      </c>
    </row>
    <row r="815" spans="1:10" outlineLevel="3">
      <c r="A815" s="823" t="s">
        <v>1600</v>
      </c>
      <c r="B815" s="2333" t="s">
        <v>35</v>
      </c>
      <c r="C815" s="3843" t="s">
        <v>1601</v>
      </c>
      <c r="D815" s="5353"/>
      <c r="E815" s="6863" t="s">
        <v>32</v>
      </c>
      <c r="F815" s="8373" t="s">
        <v>1602</v>
      </c>
      <c r="G815" s="9883" t="s">
        <v>15</v>
      </c>
      <c r="H815" s="11393">
        <v>1</v>
      </c>
      <c r="I815" s="12903" t="s">
        <v>16</v>
      </c>
      <c r="J815" t="s">
        <v>28</v>
      </c>
    </row>
    <row r="816" spans="1:10" outlineLevel="3">
      <c r="A816" s="824" t="s">
        <v>1603</v>
      </c>
      <c r="B816" s="2334" t="s">
        <v>23</v>
      </c>
      <c r="C816" s="3844" t="s">
        <v>610</v>
      </c>
      <c r="D816" s="5354"/>
      <c r="E816" s="6864" t="s">
        <v>32</v>
      </c>
      <c r="F816" s="8374" t="s">
        <v>611</v>
      </c>
      <c r="G816" s="9884" t="s">
        <v>27</v>
      </c>
      <c r="H816" s="11394">
        <v>18</v>
      </c>
      <c r="I816" s="12904"/>
      <c r="J816" t="s">
        <v>28</v>
      </c>
    </row>
    <row r="817" spans="1:10" outlineLevel="3">
      <c r="A817" s="825" t="s">
        <v>1604</v>
      </c>
      <c r="B817" s="2335" t="s">
        <v>30</v>
      </c>
      <c r="C817" s="3845" t="s">
        <v>607</v>
      </c>
      <c r="D817" s="5355"/>
      <c r="E817" s="6865" t="s">
        <v>32</v>
      </c>
      <c r="F817" s="8375" t="s">
        <v>608</v>
      </c>
      <c r="G817" s="9885" t="s">
        <v>27</v>
      </c>
      <c r="H817" s="11395">
        <v>18</v>
      </c>
      <c r="I817" s="12905"/>
      <c r="J817" t="s">
        <v>28</v>
      </c>
    </row>
    <row r="818" spans="1:10" outlineLevel="3">
      <c r="A818" s="826" t="s">
        <v>1605</v>
      </c>
      <c r="B818" s="2336" t="s">
        <v>708</v>
      </c>
      <c r="C818" s="3846" t="s">
        <v>709</v>
      </c>
      <c r="D818" s="5356"/>
      <c r="E818" s="6866" t="s">
        <v>16</v>
      </c>
      <c r="F818" s="8376" t="s">
        <v>710</v>
      </c>
      <c r="G818" s="9886" t="s">
        <v>15</v>
      </c>
      <c r="H818" s="11396">
        <v>4</v>
      </c>
      <c r="I818" s="12906"/>
      <c r="J818" t="s">
        <v>28</v>
      </c>
    </row>
    <row r="819" spans="1:10" outlineLevel="3">
      <c r="A819" s="827" t="s">
        <v>1606</v>
      </c>
      <c r="B819" s="2337" t="s">
        <v>243</v>
      </c>
      <c r="C819" s="3847" t="s">
        <v>690</v>
      </c>
      <c r="D819" s="5357"/>
      <c r="E819" s="6867" t="s">
        <v>16</v>
      </c>
      <c r="F819" s="8377" t="s">
        <v>691</v>
      </c>
      <c r="G819" s="9887" t="s">
        <v>15</v>
      </c>
      <c r="H819" s="11397">
        <v>2</v>
      </c>
      <c r="I819" s="12907"/>
      <c r="J819" t="s">
        <v>28</v>
      </c>
    </row>
    <row r="820" spans="1:10" ht="15.75" outlineLevel="3">
      <c r="A820" s="828" t="s">
        <v>1607</v>
      </c>
      <c r="B820" s="2338" t="s">
        <v>721</v>
      </c>
      <c r="C820" s="3848" t="s">
        <v>722</v>
      </c>
      <c r="D820" s="5358"/>
      <c r="E820" s="6868" t="s">
        <v>32</v>
      </c>
      <c r="F820" s="8378" t="s">
        <v>723</v>
      </c>
      <c r="G820" s="9888" t="s">
        <v>15</v>
      </c>
      <c r="H820" s="11398">
        <v>2</v>
      </c>
      <c r="I820" s="12908" t="s">
        <v>16</v>
      </c>
      <c r="J820" s="13600" t="str">
        <f>HYPERLINK("\\192.168.170.18\drawings\2-Basic Components\0000-342 - Pipe Holders\0000-342-028-- - Pipe Holder DN100-Ø114,3.pdf", "PDF")</f>
        <v>PDF</v>
      </c>
    </row>
    <row r="821" spans="1:10" outlineLevel="3">
      <c r="A821" s="829" t="s">
        <v>1608</v>
      </c>
      <c r="B821" s="2339" t="s">
        <v>48</v>
      </c>
      <c r="C821" s="3849" t="s">
        <v>698</v>
      </c>
      <c r="D821" s="5359"/>
      <c r="E821" s="6869" t="s">
        <v>32</v>
      </c>
      <c r="F821" s="8379" t="s">
        <v>699</v>
      </c>
      <c r="G821" s="9889" t="s">
        <v>27</v>
      </c>
      <c r="H821" s="11399">
        <v>1</v>
      </c>
      <c r="I821" s="12909"/>
      <c r="J821" t="s">
        <v>28</v>
      </c>
    </row>
    <row r="822" spans="1:10" outlineLevel="3">
      <c r="A822" s="830" t="s">
        <v>1609</v>
      </c>
      <c r="B822" s="2340" t="s">
        <v>704</v>
      </c>
      <c r="C822" s="3850" t="s">
        <v>705</v>
      </c>
      <c r="D822" s="5360"/>
      <c r="E822" s="6870" t="s">
        <v>32</v>
      </c>
      <c r="F822" s="8380" t="s">
        <v>706</v>
      </c>
      <c r="G822" s="9890" t="s">
        <v>27</v>
      </c>
      <c r="H822" s="11400">
        <v>2</v>
      </c>
      <c r="I822" s="12910"/>
      <c r="J822" t="s">
        <v>28</v>
      </c>
    </row>
    <row r="823" spans="1:10" outlineLevel="3">
      <c r="A823" s="831" t="s">
        <v>1610</v>
      </c>
      <c r="B823" s="2341" t="s">
        <v>48</v>
      </c>
      <c r="C823" s="3851" t="s">
        <v>701</v>
      </c>
      <c r="D823" s="5361"/>
      <c r="E823" s="6871" t="s">
        <v>32</v>
      </c>
      <c r="F823" s="8381" t="s">
        <v>702</v>
      </c>
      <c r="G823" s="9891" t="s">
        <v>27</v>
      </c>
      <c r="H823" s="11401">
        <v>3</v>
      </c>
      <c r="I823" s="12911"/>
      <c r="J823" t="s">
        <v>28</v>
      </c>
    </row>
    <row r="824" spans="1:10" ht="15.75" outlineLevel="3">
      <c r="A824" s="832" t="s">
        <v>1611</v>
      </c>
      <c r="B824" s="2342" t="s">
        <v>654</v>
      </c>
      <c r="C824" s="3852" t="s">
        <v>655</v>
      </c>
      <c r="D824" s="5362"/>
      <c r="E824" s="6872"/>
      <c r="F824" s="8382" t="s">
        <v>656</v>
      </c>
      <c r="G824" s="9892" t="s">
        <v>15</v>
      </c>
      <c r="H824" s="11402">
        <v>2</v>
      </c>
      <c r="I824" s="12912" t="s">
        <v>16</v>
      </c>
      <c r="J824" s="13600" t="str">
        <f>HYPERLINK("\\192.168.170.18\drawings\2-Basic Components\0000-342 - Pipe Holders\0000-342-021-- - Pipe holder foot L=200.pdf", "PDF")</f>
        <v>PDF</v>
      </c>
    </row>
    <row r="825" spans="1:10" outlineLevel="4">
      <c r="A825" s="833" t="s">
        <v>1612</v>
      </c>
      <c r="B825" s="2343" t="s">
        <v>275</v>
      </c>
      <c r="C825" s="3853" t="s">
        <v>658</v>
      </c>
      <c r="D825" s="5363"/>
      <c r="E825" s="6873" t="s">
        <v>32</v>
      </c>
      <c r="F825" s="8383" t="s">
        <v>659</v>
      </c>
      <c r="G825" s="9893" t="s">
        <v>15</v>
      </c>
      <c r="H825" s="11403">
        <v>1</v>
      </c>
      <c r="I825" s="12913" t="s">
        <v>16</v>
      </c>
      <c r="J825" t="s">
        <v>28</v>
      </c>
    </row>
    <row r="826" spans="1:10" outlineLevel="4">
      <c r="A826" s="834" t="s">
        <v>1613</v>
      </c>
      <c r="B826" s="2344" t="s">
        <v>661</v>
      </c>
      <c r="C826" s="3854" t="s">
        <v>662</v>
      </c>
      <c r="D826" s="5364"/>
      <c r="E826" s="6874" t="s">
        <v>32</v>
      </c>
      <c r="F826" s="8384" t="s">
        <v>663</v>
      </c>
      <c r="G826" s="9894" t="s">
        <v>15</v>
      </c>
      <c r="H826" s="11404">
        <v>1</v>
      </c>
      <c r="I826" s="12914" t="s">
        <v>16</v>
      </c>
      <c r="J826" t="s">
        <v>28</v>
      </c>
    </row>
    <row r="827" spans="1:10" outlineLevel="4">
      <c r="A827" s="835" t="s">
        <v>1614</v>
      </c>
      <c r="B827" s="2345" t="s">
        <v>665</v>
      </c>
      <c r="C827" s="3855" t="s">
        <v>666</v>
      </c>
      <c r="D827" s="5365"/>
      <c r="E827" s="6875" t="s">
        <v>667</v>
      </c>
      <c r="F827" s="8385" t="s">
        <v>668</v>
      </c>
      <c r="G827" s="9895" t="s">
        <v>27</v>
      </c>
      <c r="H827" s="11405">
        <v>1</v>
      </c>
      <c r="I827" s="12915" t="s">
        <v>16</v>
      </c>
      <c r="J827" t="s">
        <v>28</v>
      </c>
    </row>
    <row r="828" spans="1:10" outlineLevel="4">
      <c r="A828" s="836" t="s">
        <v>1615</v>
      </c>
      <c r="B828" s="2346" t="s">
        <v>670</v>
      </c>
      <c r="C828" s="3856" t="s">
        <v>671</v>
      </c>
      <c r="D828" s="5366"/>
      <c r="E828" s="6876" t="s">
        <v>667</v>
      </c>
      <c r="F828" s="8386" t="s">
        <v>672</v>
      </c>
      <c r="G828" s="9896" t="s">
        <v>27</v>
      </c>
      <c r="H828" s="11406">
        <v>1</v>
      </c>
      <c r="I828" s="12916" t="s">
        <v>16</v>
      </c>
      <c r="J828" t="s">
        <v>28</v>
      </c>
    </row>
    <row r="829" spans="1:10" ht="15.75" outlineLevel="3">
      <c r="A829" s="837" t="s">
        <v>1616</v>
      </c>
      <c r="B829" s="2347" t="s">
        <v>829</v>
      </c>
      <c r="C829" s="3857" t="s">
        <v>830</v>
      </c>
      <c r="D829" s="5367"/>
      <c r="E829" s="6877"/>
      <c r="F829" s="8387" t="s">
        <v>831</v>
      </c>
      <c r="G829" s="9897" t="s">
        <v>832</v>
      </c>
      <c r="H829" s="11407">
        <v>2</v>
      </c>
      <c r="I829" s="12917" t="s">
        <v>16</v>
      </c>
      <c r="J829" s="13600" t="str">
        <f>HYPERLINK("\\192.168.170.18\drawings\2-Basic Components\0000-342 - Pipe Holders\0000-342-027-- - Pipe Holder DN100-Ø114.pdf", "PDF")</f>
        <v>PDF</v>
      </c>
    </row>
    <row r="830" spans="1:10" outlineLevel="4">
      <c r="A830" s="838" t="s">
        <v>1617</v>
      </c>
      <c r="B830" s="2348" t="s">
        <v>661</v>
      </c>
      <c r="C830" s="3858" t="s">
        <v>834</v>
      </c>
      <c r="D830" s="5368"/>
      <c r="E830" s="6878" t="s">
        <v>32</v>
      </c>
      <c r="F830" s="8388" t="s">
        <v>835</v>
      </c>
      <c r="G830" s="9898" t="s">
        <v>832</v>
      </c>
      <c r="H830" s="11408">
        <v>1</v>
      </c>
      <c r="I830" s="12918" t="s">
        <v>16</v>
      </c>
      <c r="J830" t="s">
        <v>28</v>
      </c>
    </row>
    <row r="831" spans="1:10" outlineLevel="4">
      <c r="A831" s="839" t="s">
        <v>1618</v>
      </c>
      <c r="B831" s="2349" t="s">
        <v>797</v>
      </c>
      <c r="C831" s="3859" t="s">
        <v>798</v>
      </c>
      <c r="D831" s="5369"/>
      <c r="E831" s="6879" t="s">
        <v>32</v>
      </c>
      <c r="F831" s="8389" t="s">
        <v>799</v>
      </c>
      <c r="G831" s="9899" t="s">
        <v>15</v>
      </c>
      <c r="H831" s="11409">
        <v>2</v>
      </c>
      <c r="I831" s="12919"/>
      <c r="J831" t="s">
        <v>28</v>
      </c>
    </row>
    <row r="832" spans="1:10" outlineLevel="4">
      <c r="A832" s="840" t="s">
        <v>1619</v>
      </c>
      <c r="B832" s="2350" t="s">
        <v>779</v>
      </c>
      <c r="C832" s="3860" t="s">
        <v>806</v>
      </c>
      <c r="D832" s="5370"/>
      <c r="E832" s="6880" t="s">
        <v>667</v>
      </c>
      <c r="F832" s="8390" t="s">
        <v>807</v>
      </c>
      <c r="G832" s="9900" t="s">
        <v>27</v>
      </c>
      <c r="H832" s="11410">
        <v>4</v>
      </c>
      <c r="I832" s="12920"/>
      <c r="J832" t="s">
        <v>28</v>
      </c>
    </row>
    <row r="833" spans="1:10" outlineLevel="4">
      <c r="A833" s="841" t="s">
        <v>1620</v>
      </c>
      <c r="B833" s="2351" t="s">
        <v>665</v>
      </c>
      <c r="C833" s="3861" t="s">
        <v>666</v>
      </c>
      <c r="D833" s="5371"/>
      <c r="E833" s="6881" t="s">
        <v>667</v>
      </c>
      <c r="F833" s="8391" t="s">
        <v>668</v>
      </c>
      <c r="G833" s="9901" t="s">
        <v>27</v>
      </c>
      <c r="H833" s="11411">
        <v>2</v>
      </c>
      <c r="I833" s="12921" t="s">
        <v>16</v>
      </c>
      <c r="J833" t="s">
        <v>28</v>
      </c>
    </row>
    <row r="834" spans="1:10" outlineLevel="4">
      <c r="A834" s="842" t="s">
        <v>1621</v>
      </c>
      <c r="B834" s="2352" t="s">
        <v>670</v>
      </c>
      <c r="C834" s="3862" t="s">
        <v>809</v>
      </c>
      <c r="D834" s="5372"/>
      <c r="E834" s="6882" t="s">
        <v>667</v>
      </c>
      <c r="F834" s="8392" t="s">
        <v>810</v>
      </c>
      <c r="G834" s="9902" t="s">
        <v>27</v>
      </c>
      <c r="H834" s="11412">
        <v>2</v>
      </c>
      <c r="I834" s="12922" t="s">
        <v>16</v>
      </c>
      <c r="J834" t="s">
        <v>28</v>
      </c>
    </row>
    <row r="835" spans="1:10" outlineLevel="3">
      <c r="A835" s="843" t="s">
        <v>1622</v>
      </c>
      <c r="B835" s="2353" t="s">
        <v>712</v>
      </c>
      <c r="C835" s="3863" t="s">
        <v>713</v>
      </c>
      <c r="D835" s="5373"/>
      <c r="E835" s="6883" t="s">
        <v>16</v>
      </c>
      <c r="F835" s="8393" t="s">
        <v>714</v>
      </c>
      <c r="G835" s="9903" t="s">
        <v>27</v>
      </c>
      <c r="H835" s="11413">
        <v>2</v>
      </c>
      <c r="I835" s="12923"/>
      <c r="J835" t="s">
        <v>28</v>
      </c>
    </row>
    <row r="836" spans="1:10" outlineLevel="2">
      <c r="A836" s="844" t="s">
        <v>1623</v>
      </c>
      <c r="B836" s="2354" t="s">
        <v>1624</v>
      </c>
      <c r="C836" s="3864"/>
      <c r="D836" s="5374"/>
      <c r="E836" s="6884"/>
      <c r="F836" s="8394" t="s">
        <v>1625</v>
      </c>
      <c r="G836" s="9904" t="s">
        <v>15</v>
      </c>
      <c r="H836" s="11414">
        <v>1</v>
      </c>
      <c r="I836" s="12924"/>
      <c r="J836" t="s">
        <v>28</v>
      </c>
    </row>
    <row r="837" spans="1:10" outlineLevel="3">
      <c r="A837" s="845" t="s">
        <v>1626</v>
      </c>
      <c r="B837" s="2355" t="s">
        <v>23</v>
      </c>
      <c r="C837" s="3865" t="s">
        <v>879</v>
      </c>
      <c r="D837" s="5375"/>
      <c r="E837" s="6885" t="s">
        <v>32</v>
      </c>
      <c r="F837" s="8395" t="s">
        <v>880</v>
      </c>
      <c r="G837" s="9905" t="s">
        <v>27</v>
      </c>
      <c r="H837" s="11415">
        <v>6</v>
      </c>
      <c r="I837" s="12925" t="s">
        <v>16</v>
      </c>
      <c r="J837" t="s">
        <v>28</v>
      </c>
    </row>
    <row r="838" spans="1:10" outlineLevel="3">
      <c r="A838" s="846" t="s">
        <v>1627</v>
      </c>
      <c r="B838" s="2356" t="s">
        <v>30</v>
      </c>
      <c r="C838" s="3866" t="s">
        <v>876</v>
      </c>
      <c r="D838" s="5376"/>
      <c r="E838" s="6886" t="s">
        <v>32</v>
      </c>
      <c r="F838" s="8396" t="s">
        <v>877</v>
      </c>
      <c r="G838" s="9906" t="s">
        <v>27</v>
      </c>
      <c r="H838" s="11416">
        <v>6</v>
      </c>
      <c r="I838" s="12926"/>
      <c r="J838" t="s">
        <v>28</v>
      </c>
    </row>
    <row r="839" spans="1:10" outlineLevel="3">
      <c r="A839" s="847" t="s">
        <v>1628</v>
      </c>
      <c r="B839" s="2357" t="s">
        <v>35</v>
      </c>
      <c r="C839" s="3867" t="s">
        <v>1548</v>
      </c>
      <c r="D839" s="5377"/>
      <c r="E839" s="6887" t="s">
        <v>32</v>
      </c>
      <c r="F839" s="8397" t="s">
        <v>1629</v>
      </c>
      <c r="G839" s="9907" t="s">
        <v>15</v>
      </c>
      <c r="H839" s="11417">
        <v>1</v>
      </c>
      <c r="I839" s="12927" t="s">
        <v>16</v>
      </c>
      <c r="J839" t="s">
        <v>28</v>
      </c>
    </row>
    <row r="840" spans="1:10" outlineLevel="2">
      <c r="A840" s="848" t="s">
        <v>1630</v>
      </c>
      <c r="B840" s="2358" t="s">
        <v>1631</v>
      </c>
      <c r="C840" s="3868"/>
      <c r="D840" s="5378"/>
      <c r="E840" s="6888"/>
      <c r="F840" s="8398" t="s">
        <v>1632</v>
      </c>
      <c r="G840" s="9908" t="s">
        <v>15</v>
      </c>
      <c r="H840" s="11418">
        <v>1</v>
      </c>
      <c r="I840" s="12928"/>
      <c r="J840" t="s">
        <v>28</v>
      </c>
    </row>
    <row r="841" spans="1:10" outlineLevel="3">
      <c r="A841" s="849" t="s">
        <v>1633</v>
      </c>
      <c r="B841" s="2359" t="s">
        <v>35</v>
      </c>
      <c r="C841" s="3869" t="s">
        <v>1634</v>
      </c>
      <c r="D841" s="5379"/>
      <c r="E841" s="6889" t="s">
        <v>32</v>
      </c>
      <c r="F841" s="8399" t="s">
        <v>1635</v>
      </c>
      <c r="G841" s="9909" t="s">
        <v>15</v>
      </c>
      <c r="H841" s="11419">
        <v>1</v>
      </c>
      <c r="I841" s="12929" t="s">
        <v>16</v>
      </c>
      <c r="J841" t="s">
        <v>28</v>
      </c>
    </row>
    <row r="842" spans="1:10" outlineLevel="3">
      <c r="A842" s="850" t="s">
        <v>1636</v>
      </c>
      <c r="B842" s="2360" t="s">
        <v>23</v>
      </c>
      <c r="C842" s="3870" t="s">
        <v>879</v>
      </c>
      <c r="D842" s="5380"/>
      <c r="E842" s="6890" t="s">
        <v>32</v>
      </c>
      <c r="F842" s="8400" t="s">
        <v>880</v>
      </c>
      <c r="G842" s="9910" t="s">
        <v>27</v>
      </c>
      <c r="H842" s="11420">
        <v>4</v>
      </c>
      <c r="I842" s="12930" t="s">
        <v>16</v>
      </c>
      <c r="J842" t="s">
        <v>28</v>
      </c>
    </row>
    <row r="843" spans="1:10" outlineLevel="3">
      <c r="A843" s="851" t="s">
        <v>1637</v>
      </c>
      <c r="B843" s="2361" t="s">
        <v>30</v>
      </c>
      <c r="C843" s="3871" t="s">
        <v>876</v>
      </c>
      <c r="D843" s="5381"/>
      <c r="E843" s="6891" t="s">
        <v>32</v>
      </c>
      <c r="F843" s="8401" t="s">
        <v>877</v>
      </c>
      <c r="G843" s="9911" t="s">
        <v>27</v>
      </c>
      <c r="H843" s="11421">
        <v>4</v>
      </c>
      <c r="I843" s="12931"/>
      <c r="J843" t="s">
        <v>28</v>
      </c>
    </row>
    <row r="844" spans="1:10" outlineLevel="2">
      <c r="A844" s="852" t="s">
        <v>1638</v>
      </c>
      <c r="B844" s="2362" t="s">
        <v>1639</v>
      </c>
      <c r="C844" s="3872"/>
      <c r="D844" s="5382"/>
      <c r="E844" s="6892"/>
      <c r="F844" s="8402" t="s">
        <v>1640</v>
      </c>
      <c r="G844" s="9912" t="s">
        <v>15</v>
      </c>
      <c r="H844" s="11422">
        <v>1</v>
      </c>
      <c r="I844" s="12932"/>
      <c r="J844" t="s">
        <v>28</v>
      </c>
    </row>
    <row r="845" spans="1:10" outlineLevel="3">
      <c r="A845" s="853" t="s">
        <v>1641</v>
      </c>
      <c r="B845" s="2363" t="s">
        <v>23</v>
      </c>
      <c r="C845" s="3873" t="s">
        <v>879</v>
      </c>
      <c r="D845" s="5383"/>
      <c r="E845" s="6893" t="s">
        <v>32</v>
      </c>
      <c r="F845" s="8403" t="s">
        <v>880</v>
      </c>
      <c r="G845" s="9913" t="s">
        <v>27</v>
      </c>
      <c r="H845" s="11423">
        <v>4</v>
      </c>
      <c r="I845" s="12933" t="s">
        <v>16</v>
      </c>
      <c r="J845" t="s">
        <v>28</v>
      </c>
    </row>
    <row r="846" spans="1:10" outlineLevel="3">
      <c r="A846" s="854" t="s">
        <v>1642</v>
      </c>
      <c r="B846" s="2364" t="s">
        <v>30</v>
      </c>
      <c r="C846" s="3874" t="s">
        <v>876</v>
      </c>
      <c r="D846" s="5384"/>
      <c r="E846" s="6894" t="s">
        <v>32</v>
      </c>
      <c r="F846" s="8404" t="s">
        <v>877</v>
      </c>
      <c r="G846" s="9914" t="s">
        <v>27</v>
      </c>
      <c r="H846" s="11424">
        <v>4</v>
      </c>
      <c r="I846" s="12934"/>
      <c r="J846" t="s">
        <v>28</v>
      </c>
    </row>
    <row r="847" spans="1:10" outlineLevel="3">
      <c r="A847" s="855" t="s">
        <v>1643</v>
      </c>
      <c r="B847" s="2365" t="s">
        <v>35</v>
      </c>
      <c r="C847" s="3875" t="s">
        <v>1634</v>
      </c>
      <c r="D847" s="5385"/>
      <c r="E847" s="6895" t="s">
        <v>32</v>
      </c>
      <c r="F847" s="8405" t="s">
        <v>1644</v>
      </c>
      <c r="G847" s="9915" t="s">
        <v>15</v>
      </c>
      <c r="H847" s="11425">
        <v>1</v>
      </c>
      <c r="I847" s="12935" t="s">
        <v>16</v>
      </c>
      <c r="J847" t="s">
        <v>28</v>
      </c>
    </row>
    <row r="848" spans="1:10" outlineLevel="2">
      <c r="A848" s="856" t="s">
        <v>1645</v>
      </c>
      <c r="B848" s="2366" t="s">
        <v>1646</v>
      </c>
      <c r="C848" s="3876"/>
      <c r="D848" s="5386"/>
      <c r="E848" s="6896"/>
      <c r="F848" s="8406" t="s">
        <v>1647</v>
      </c>
      <c r="G848" s="9916" t="s">
        <v>15</v>
      </c>
      <c r="H848" s="11426">
        <v>1</v>
      </c>
      <c r="I848" s="12936"/>
      <c r="J848" t="s">
        <v>28</v>
      </c>
    </row>
    <row r="849" spans="1:10" outlineLevel="3">
      <c r="A849" s="857" t="s">
        <v>1648</v>
      </c>
      <c r="B849" s="2367" t="s">
        <v>23</v>
      </c>
      <c r="C849" s="3877" t="s">
        <v>879</v>
      </c>
      <c r="D849" s="5387"/>
      <c r="E849" s="6897" t="s">
        <v>32</v>
      </c>
      <c r="F849" s="8407" t="s">
        <v>880</v>
      </c>
      <c r="G849" s="9917" t="s">
        <v>27</v>
      </c>
      <c r="H849" s="11427">
        <v>4</v>
      </c>
      <c r="I849" s="12937" t="s">
        <v>16</v>
      </c>
      <c r="J849" t="s">
        <v>28</v>
      </c>
    </row>
    <row r="850" spans="1:10" outlineLevel="3">
      <c r="A850" s="858" t="s">
        <v>1649</v>
      </c>
      <c r="B850" s="2368" t="s">
        <v>30</v>
      </c>
      <c r="C850" s="3878" t="s">
        <v>876</v>
      </c>
      <c r="D850" s="5388"/>
      <c r="E850" s="6898" t="s">
        <v>32</v>
      </c>
      <c r="F850" s="8408" t="s">
        <v>877</v>
      </c>
      <c r="G850" s="9918" t="s">
        <v>27</v>
      </c>
      <c r="H850" s="11428">
        <v>4</v>
      </c>
      <c r="I850" s="12938"/>
      <c r="J850" t="s">
        <v>28</v>
      </c>
    </row>
    <row r="851" spans="1:10" outlineLevel="3">
      <c r="A851" s="859" t="s">
        <v>1650</v>
      </c>
      <c r="B851" s="2369" t="s">
        <v>35</v>
      </c>
      <c r="C851" s="3879" t="s">
        <v>1634</v>
      </c>
      <c r="D851" s="5389"/>
      <c r="E851" s="6899" t="s">
        <v>32</v>
      </c>
      <c r="F851" s="8409" t="s">
        <v>1651</v>
      </c>
      <c r="G851" s="9919" t="s">
        <v>15</v>
      </c>
      <c r="H851" s="11429">
        <v>1</v>
      </c>
      <c r="I851" s="12939" t="s">
        <v>16</v>
      </c>
      <c r="J851" t="s">
        <v>28</v>
      </c>
    </row>
    <row r="852" spans="1:10" outlineLevel="2">
      <c r="A852" s="860" t="s">
        <v>1652</v>
      </c>
      <c r="B852" s="2370" t="s">
        <v>1653</v>
      </c>
      <c r="C852" s="3880"/>
      <c r="D852" s="5390"/>
      <c r="E852" s="6900"/>
      <c r="F852" s="8410" t="s">
        <v>1654</v>
      </c>
      <c r="G852" s="9920" t="s">
        <v>15</v>
      </c>
      <c r="H852" s="11430">
        <v>1</v>
      </c>
      <c r="I852" s="12940"/>
      <c r="J852" t="s">
        <v>28</v>
      </c>
    </row>
    <row r="853" spans="1:10" outlineLevel="3">
      <c r="A853" s="861" t="s">
        <v>1655</v>
      </c>
      <c r="B853" s="2371" t="s">
        <v>23</v>
      </c>
      <c r="C853" s="3881" t="s">
        <v>879</v>
      </c>
      <c r="D853" s="5391"/>
      <c r="E853" s="6901" t="s">
        <v>32</v>
      </c>
      <c r="F853" s="8411" t="s">
        <v>880</v>
      </c>
      <c r="G853" s="9921" t="s">
        <v>27</v>
      </c>
      <c r="H853" s="11431">
        <v>4</v>
      </c>
      <c r="I853" s="12941" t="s">
        <v>16</v>
      </c>
      <c r="J853" t="s">
        <v>28</v>
      </c>
    </row>
    <row r="854" spans="1:10" outlineLevel="3">
      <c r="A854" s="862" t="s">
        <v>1656</v>
      </c>
      <c r="B854" s="2372" t="s">
        <v>30</v>
      </c>
      <c r="C854" s="3882" t="s">
        <v>876</v>
      </c>
      <c r="D854" s="5392"/>
      <c r="E854" s="6902" t="s">
        <v>32</v>
      </c>
      <c r="F854" s="8412" t="s">
        <v>877</v>
      </c>
      <c r="G854" s="9922" t="s">
        <v>27</v>
      </c>
      <c r="H854" s="11432">
        <v>4</v>
      </c>
      <c r="I854" s="12942"/>
      <c r="J854" t="s">
        <v>28</v>
      </c>
    </row>
    <row r="855" spans="1:10" outlineLevel="3">
      <c r="A855" s="863" t="s">
        <v>1657</v>
      </c>
      <c r="B855" s="2373" t="s">
        <v>35</v>
      </c>
      <c r="C855" s="3883" t="s">
        <v>1634</v>
      </c>
      <c r="D855" s="5393"/>
      <c r="E855" s="6903" t="s">
        <v>32</v>
      </c>
      <c r="F855" s="8413" t="s">
        <v>1658</v>
      </c>
      <c r="G855" s="9923" t="s">
        <v>15</v>
      </c>
      <c r="H855" s="11433">
        <v>1</v>
      </c>
      <c r="I855" s="12943" t="s">
        <v>16</v>
      </c>
      <c r="J855" t="s">
        <v>28</v>
      </c>
    </row>
    <row r="856" spans="1:10" outlineLevel="2">
      <c r="A856" s="864" t="s">
        <v>1659</v>
      </c>
      <c r="B856" s="2374" t="s">
        <v>1660</v>
      </c>
      <c r="C856" s="3884"/>
      <c r="D856" s="5394"/>
      <c r="E856" s="6904"/>
      <c r="F856" s="8414" t="s">
        <v>1661</v>
      </c>
      <c r="G856" s="9924" t="s">
        <v>15</v>
      </c>
      <c r="H856" s="11434">
        <v>1</v>
      </c>
      <c r="I856" s="12944"/>
      <c r="J856" t="s">
        <v>28</v>
      </c>
    </row>
    <row r="857" spans="1:10" outlineLevel="3">
      <c r="A857" s="865" t="s">
        <v>1662</v>
      </c>
      <c r="B857" s="2375" t="s">
        <v>23</v>
      </c>
      <c r="C857" s="3885" t="s">
        <v>879</v>
      </c>
      <c r="D857" s="5395"/>
      <c r="E857" s="6905" t="s">
        <v>32</v>
      </c>
      <c r="F857" s="8415" t="s">
        <v>880</v>
      </c>
      <c r="G857" s="9925" t="s">
        <v>27</v>
      </c>
      <c r="H857" s="11435">
        <v>4</v>
      </c>
      <c r="I857" s="12945" t="s">
        <v>16</v>
      </c>
      <c r="J857" t="s">
        <v>28</v>
      </c>
    </row>
    <row r="858" spans="1:10" outlineLevel="3">
      <c r="A858" s="866" t="s">
        <v>1663</v>
      </c>
      <c r="B858" s="2376" t="s">
        <v>30</v>
      </c>
      <c r="C858" s="3886" t="s">
        <v>876</v>
      </c>
      <c r="D858" s="5396"/>
      <c r="E858" s="6906" t="s">
        <v>32</v>
      </c>
      <c r="F858" s="8416" t="s">
        <v>877</v>
      </c>
      <c r="G858" s="9926" t="s">
        <v>27</v>
      </c>
      <c r="H858" s="11436">
        <v>4</v>
      </c>
      <c r="I858" s="12946"/>
      <c r="J858" t="s">
        <v>28</v>
      </c>
    </row>
    <row r="859" spans="1:10" outlineLevel="3">
      <c r="A859" s="867" t="s">
        <v>1664</v>
      </c>
      <c r="B859" s="2377" t="s">
        <v>35</v>
      </c>
      <c r="C859" s="3887" t="s">
        <v>1634</v>
      </c>
      <c r="D859" s="5397"/>
      <c r="E859" s="6907" t="s">
        <v>32</v>
      </c>
      <c r="F859" s="8417" t="s">
        <v>1665</v>
      </c>
      <c r="G859" s="9927" t="s">
        <v>15</v>
      </c>
      <c r="H859" s="11437">
        <v>1</v>
      </c>
      <c r="I859" s="12947" t="s">
        <v>16</v>
      </c>
      <c r="J859" t="s">
        <v>28</v>
      </c>
    </row>
    <row r="860" spans="1:10" outlineLevel="2">
      <c r="A860" s="868" t="s">
        <v>1666</v>
      </c>
      <c r="B860" s="2378" t="s">
        <v>1667</v>
      </c>
      <c r="C860" s="3888"/>
      <c r="D860" s="5398"/>
      <c r="E860" s="6908"/>
      <c r="F860" s="8418" t="s">
        <v>1668</v>
      </c>
      <c r="G860" s="9928" t="s">
        <v>15</v>
      </c>
      <c r="H860" s="11438">
        <v>1</v>
      </c>
      <c r="I860" s="12948"/>
      <c r="J860" t="s">
        <v>28</v>
      </c>
    </row>
    <row r="861" spans="1:10" outlineLevel="3">
      <c r="A861" s="869" t="s">
        <v>1669</v>
      </c>
      <c r="B861" s="2379" t="s">
        <v>23</v>
      </c>
      <c r="C861" s="3889" t="s">
        <v>879</v>
      </c>
      <c r="D861" s="5399"/>
      <c r="E861" s="6909" t="s">
        <v>32</v>
      </c>
      <c r="F861" s="8419" t="s">
        <v>880</v>
      </c>
      <c r="G861" s="9929" t="s">
        <v>27</v>
      </c>
      <c r="H861" s="11439">
        <v>4</v>
      </c>
      <c r="I861" s="12949" t="s">
        <v>16</v>
      </c>
      <c r="J861" t="s">
        <v>28</v>
      </c>
    </row>
    <row r="862" spans="1:10" outlineLevel="3">
      <c r="A862" s="870" t="s">
        <v>1670</v>
      </c>
      <c r="B862" s="2380" t="s">
        <v>30</v>
      </c>
      <c r="C862" s="3890" t="s">
        <v>876</v>
      </c>
      <c r="D862" s="5400"/>
      <c r="E862" s="6910" t="s">
        <v>32</v>
      </c>
      <c r="F862" s="8420" t="s">
        <v>877</v>
      </c>
      <c r="G862" s="9930" t="s">
        <v>27</v>
      </c>
      <c r="H862" s="11440">
        <v>4</v>
      </c>
      <c r="I862" s="12950"/>
      <c r="J862" t="s">
        <v>28</v>
      </c>
    </row>
    <row r="863" spans="1:10" outlineLevel="3">
      <c r="A863" s="871" t="s">
        <v>1671</v>
      </c>
      <c r="B863" s="2381" t="s">
        <v>35</v>
      </c>
      <c r="C863" s="3891" t="s">
        <v>1634</v>
      </c>
      <c r="D863" s="5401"/>
      <c r="E863" s="6911" t="s">
        <v>32</v>
      </c>
      <c r="F863" s="8421" t="s">
        <v>1672</v>
      </c>
      <c r="G863" s="9931" t="s">
        <v>15</v>
      </c>
      <c r="H863" s="11441">
        <v>1</v>
      </c>
      <c r="I863" s="12951" t="s">
        <v>16</v>
      </c>
      <c r="J863" t="s">
        <v>28</v>
      </c>
    </row>
    <row r="864" spans="1:10" outlineLevel="1">
      <c r="A864" s="872" t="s">
        <v>1673</v>
      </c>
      <c r="B864" s="2382" t="s">
        <v>1674</v>
      </c>
      <c r="C864" s="3892" t="s">
        <v>87</v>
      </c>
      <c r="D864" s="5402" t="s">
        <v>13</v>
      </c>
      <c r="E864" s="6912"/>
      <c r="F864" s="8422" t="s">
        <v>1675</v>
      </c>
      <c r="G864" s="9932" t="s">
        <v>15</v>
      </c>
      <c r="H864" s="11442">
        <v>1</v>
      </c>
      <c r="I864" s="12952" t="s">
        <v>16</v>
      </c>
      <c r="J864" t="s">
        <v>28</v>
      </c>
    </row>
    <row r="865" spans="1:10" outlineLevel="2">
      <c r="A865" s="873" t="s">
        <v>1676</v>
      </c>
      <c r="B865" s="2383" t="s">
        <v>90</v>
      </c>
      <c r="C865" s="3893" t="s">
        <v>91</v>
      </c>
      <c r="D865" s="5403"/>
      <c r="E865" s="6913" t="s">
        <v>92</v>
      </c>
      <c r="F865" s="8423" t="s">
        <v>1677</v>
      </c>
      <c r="G865" s="9933" t="s">
        <v>15</v>
      </c>
      <c r="H865" s="11443">
        <v>1</v>
      </c>
      <c r="I865" s="12953" t="s">
        <v>16</v>
      </c>
      <c r="J865" t="s">
        <v>28</v>
      </c>
    </row>
    <row r="866" spans="1:10" outlineLevel="2">
      <c r="A866" s="874" t="s">
        <v>1678</v>
      </c>
      <c r="B866" s="2384" t="s">
        <v>95</v>
      </c>
      <c r="C866" s="3894" t="s">
        <v>96</v>
      </c>
      <c r="D866" s="5404"/>
      <c r="E866" s="6914" t="s">
        <v>97</v>
      </c>
      <c r="F866" s="8424" t="s">
        <v>1679</v>
      </c>
      <c r="G866" s="9934" t="s">
        <v>15</v>
      </c>
      <c r="H866" s="11444">
        <v>1</v>
      </c>
      <c r="I866" s="12954" t="s">
        <v>16</v>
      </c>
      <c r="J866" t="s">
        <v>28</v>
      </c>
    </row>
    <row r="867" spans="1:10" outlineLevel="2">
      <c r="A867" s="875" t="s">
        <v>1680</v>
      </c>
      <c r="B867" s="2385" t="s">
        <v>95</v>
      </c>
      <c r="C867" s="3895" t="s">
        <v>100</v>
      </c>
      <c r="D867" s="5405"/>
      <c r="E867" s="6915" t="s">
        <v>97</v>
      </c>
      <c r="F867" s="8425" t="s">
        <v>1681</v>
      </c>
      <c r="G867" s="9935" t="s">
        <v>15</v>
      </c>
      <c r="H867" s="11445">
        <v>1</v>
      </c>
      <c r="I867" s="12955" t="s">
        <v>16</v>
      </c>
      <c r="J867" t="s">
        <v>28</v>
      </c>
    </row>
    <row r="868" spans="1:10" outlineLevel="2">
      <c r="A868" s="876" t="s">
        <v>1682</v>
      </c>
      <c r="B868" s="2386" t="s">
        <v>81</v>
      </c>
      <c r="C868" s="3896" t="s">
        <v>82</v>
      </c>
      <c r="D868" s="5406"/>
      <c r="E868" s="6916" t="s">
        <v>83</v>
      </c>
      <c r="F868" s="8426" t="s">
        <v>84</v>
      </c>
      <c r="G868" s="9936" t="s">
        <v>27</v>
      </c>
      <c r="H868" s="11446">
        <v>3</v>
      </c>
      <c r="I868" s="12956"/>
      <c r="J868" t="s">
        <v>28</v>
      </c>
    </row>
    <row r="869" spans="1:10" outlineLevel="2">
      <c r="A869" s="877" t="s">
        <v>1683</v>
      </c>
      <c r="B869" s="2387" t="s">
        <v>104</v>
      </c>
      <c r="C869" s="3897" t="s">
        <v>105</v>
      </c>
      <c r="D869" s="5407"/>
      <c r="E869" s="6917" t="s">
        <v>32</v>
      </c>
      <c r="F869" s="8427" t="s">
        <v>106</v>
      </c>
      <c r="G869" s="9937" t="s">
        <v>15</v>
      </c>
      <c r="H869" s="11447">
        <v>1</v>
      </c>
      <c r="I869" s="12957" t="s">
        <v>16</v>
      </c>
      <c r="J869" t="s">
        <v>28</v>
      </c>
    </row>
    <row r="870" spans="1:10" outlineLevel="2">
      <c r="A870" s="878" t="s">
        <v>1684</v>
      </c>
      <c r="B870" s="2388" t="s">
        <v>108</v>
      </c>
      <c r="C870" s="3898" t="s">
        <v>109</v>
      </c>
      <c r="D870" s="5408"/>
      <c r="E870" s="6918" t="s">
        <v>83</v>
      </c>
      <c r="F870" s="8428" t="s">
        <v>110</v>
      </c>
      <c r="G870" s="9938" t="s">
        <v>27</v>
      </c>
      <c r="H870" s="11448">
        <v>1</v>
      </c>
      <c r="I870" s="12958"/>
      <c r="J870" t="s">
        <v>28</v>
      </c>
    </row>
    <row r="871" spans="1:10" outlineLevel="1">
      <c r="A871" s="879" t="s">
        <v>1685</v>
      </c>
      <c r="B871" s="2389" t="s">
        <v>1686</v>
      </c>
      <c r="C871" s="3899" t="s">
        <v>113</v>
      </c>
      <c r="D871" s="5409" t="s">
        <v>13</v>
      </c>
      <c r="E871" s="6919"/>
      <c r="F871" s="8429" t="s">
        <v>1687</v>
      </c>
      <c r="G871" s="9939" t="s">
        <v>15</v>
      </c>
      <c r="H871" s="11449">
        <v>1</v>
      </c>
      <c r="I871" s="12959" t="s">
        <v>16</v>
      </c>
      <c r="J871" t="s">
        <v>28</v>
      </c>
    </row>
    <row r="872" spans="1:10" outlineLevel="2">
      <c r="A872" s="880" t="s">
        <v>1688</v>
      </c>
      <c r="B872" s="2390" t="s">
        <v>95</v>
      </c>
      <c r="C872" s="3900" t="s">
        <v>116</v>
      </c>
      <c r="D872" s="5410"/>
      <c r="E872" s="6920" t="s">
        <v>97</v>
      </c>
      <c r="F872" s="8430" t="s">
        <v>1689</v>
      </c>
      <c r="G872" s="9940" t="s">
        <v>15</v>
      </c>
      <c r="H872" s="11450">
        <v>1</v>
      </c>
      <c r="I872" s="12960" t="s">
        <v>16</v>
      </c>
      <c r="J872" t="s">
        <v>28</v>
      </c>
    </row>
    <row r="873" spans="1:10" outlineLevel="1">
      <c r="A873" s="881" t="s">
        <v>1690</v>
      </c>
      <c r="B873" s="2391" t="s">
        <v>1691</v>
      </c>
      <c r="C873" s="3901" t="s">
        <v>120</v>
      </c>
      <c r="D873" s="5411" t="s">
        <v>13</v>
      </c>
      <c r="E873" s="6921"/>
      <c r="F873" s="8431" t="s">
        <v>1692</v>
      </c>
      <c r="G873" s="9941" t="s">
        <v>15</v>
      </c>
      <c r="H873" s="11451">
        <v>1</v>
      </c>
      <c r="I873" s="12961" t="s">
        <v>16</v>
      </c>
      <c r="J873" t="s">
        <v>28</v>
      </c>
    </row>
    <row r="874" spans="1:10" outlineLevel="2">
      <c r="A874" s="882" t="s">
        <v>1693</v>
      </c>
      <c r="B874" s="2392" t="s">
        <v>95</v>
      </c>
      <c r="C874" s="3902" t="s">
        <v>123</v>
      </c>
      <c r="D874" s="5412"/>
      <c r="E874" s="6922" t="s">
        <v>97</v>
      </c>
      <c r="F874" s="8432" t="s">
        <v>1694</v>
      </c>
      <c r="G874" s="9942" t="s">
        <v>15</v>
      </c>
      <c r="H874" s="11452">
        <v>1</v>
      </c>
      <c r="I874" s="12962" t="s">
        <v>16</v>
      </c>
      <c r="J874" t="s">
        <v>28</v>
      </c>
    </row>
    <row r="875" spans="1:10">
      <c r="A875" s="883" t="s">
        <v>1695</v>
      </c>
      <c r="B875" s="2393" t="s">
        <v>1696</v>
      </c>
      <c r="C875" s="3903" t="s">
        <v>12</v>
      </c>
      <c r="D875" s="5413" t="s">
        <v>13</v>
      </c>
      <c r="E875" s="6923"/>
      <c r="F875" s="8433" t="s">
        <v>1697</v>
      </c>
      <c r="G875" s="9943" t="s">
        <v>15</v>
      </c>
      <c r="H875" s="11453">
        <v>1</v>
      </c>
      <c r="I875" s="12963" t="s">
        <v>16</v>
      </c>
      <c r="J875" t="s">
        <v>28</v>
      </c>
    </row>
    <row r="876" spans="1:10" ht="15.75" outlineLevel="1">
      <c r="A876" s="884" t="s">
        <v>1698</v>
      </c>
      <c r="B876" s="2394" t="s">
        <v>1699</v>
      </c>
      <c r="C876" s="3904" t="s">
        <v>19</v>
      </c>
      <c r="D876" s="5414" t="s">
        <v>1700</v>
      </c>
      <c r="E876" s="6924"/>
      <c r="F876" s="8434" t="s">
        <v>1701</v>
      </c>
      <c r="G876" s="9944" t="s">
        <v>15</v>
      </c>
      <c r="H876" s="11454">
        <v>1</v>
      </c>
      <c r="I876" s="12964" t="s">
        <v>16</v>
      </c>
      <c r="J876" s="13600" t="str">
        <f>HYPERLINK("\\192.168.170.18\drawings\5-Projects\2500 - Aabenraa\Area 04 - Digester Area\Piping\2500-04-BG058-08-- - Biogas pipe - DN250 - BG.pdf", "PDF")</f>
        <v>PDF</v>
      </c>
    </row>
    <row r="877" spans="1:10" outlineLevel="2">
      <c r="A877" s="885" t="s">
        <v>1702</v>
      </c>
      <c r="B877" s="2395" t="s">
        <v>23</v>
      </c>
      <c r="C877" s="3905" t="s">
        <v>24</v>
      </c>
      <c r="D877" s="5415"/>
      <c r="E877" s="6925" t="s">
        <v>25</v>
      </c>
      <c r="F877" s="8435" t="s">
        <v>26</v>
      </c>
      <c r="G877" s="9945" t="s">
        <v>27</v>
      </c>
      <c r="H877" s="11455">
        <v>21</v>
      </c>
      <c r="I877" s="12965"/>
      <c r="J877" t="s">
        <v>28</v>
      </c>
    </row>
    <row r="878" spans="1:10" outlineLevel="2">
      <c r="A878" s="886" t="s">
        <v>1703</v>
      </c>
      <c r="B878" s="2396" t="s">
        <v>30</v>
      </c>
      <c r="C878" s="3906" t="s">
        <v>31</v>
      </c>
      <c r="D878" s="5416"/>
      <c r="E878" s="6926" t="s">
        <v>32</v>
      </c>
      <c r="F878" s="8436" t="s">
        <v>33</v>
      </c>
      <c r="G878" s="9946" t="s">
        <v>27</v>
      </c>
      <c r="H878" s="11456">
        <v>21</v>
      </c>
      <c r="I878" s="12966"/>
      <c r="J878" t="s">
        <v>28</v>
      </c>
    </row>
    <row r="879" spans="1:10" outlineLevel="2">
      <c r="A879" s="887" t="s">
        <v>1704</v>
      </c>
      <c r="B879" s="2397" t="s">
        <v>35</v>
      </c>
      <c r="C879" s="3907" t="s">
        <v>1705</v>
      </c>
      <c r="D879" s="5417"/>
      <c r="E879" s="6927" t="s">
        <v>25</v>
      </c>
      <c r="F879" s="8437" t="s">
        <v>1706</v>
      </c>
      <c r="G879" s="9947" t="s">
        <v>15</v>
      </c>
      <c r="H879" s="11457">
        <v>1</v>
      </c>
      <c r="I879" s="12967" t="s">
        <v>16</v>
      </c>
      <c r="J879" t="s">
        <v>28</v>
      </c>
    </row>
    <row r="880" spans="1:10" outlineLevel="2">
      <c r="A880" s="888" t="s">
        <v>1707</v>
      </c>
      <c r="B880" s="2398" t="s">
        <v>39</v>
      </c>
      <c r="C880" s="3908" t="s">
        <v>40</v>
      </c>
      <c r="D880" s="5418"/>
      <c r="E880" s="6928" t="s">
        <v>41</v>
      </c>
      <c r="F880" s="8438" t="s">
        <v>42</v>
      </c>
      <c r="G880" s="9948" t="s">
        <v>27</v>
      </c>
      <c r="H880" s="11458">
        <v>1</v>
      </c>
      <c r="I880" s="12968" t="s">
        <v>16</v>
      </c>
      <c r="J880" t="s">
        <v>28</v>
      </c>
    </row>
    <row r="881" spans="1:10" outlineLevel="2">
      <c r="A881" s="889" t="s">
        <v>1708</v>
      </c>
      <c r="B881" s="2399" t="s">
        <v>44</v>
      </c>
      <c r="C881" s="3909" t="s">
        <v>45</v>
      </c>
      <c r="D881" s="5419"/>
      <c r="E881" s="6929" t="s">
        <v>41</v>
      </c>
      <c r="F881" s="8439" t="s">
        <v>46</v>
      </c>
      <c r="G881" s="9949" t="s">
        <v>15</v>
      </c>
      <c r="H881" s="11459">
        <v>2</v>
      </c>
      <c r="I881" s="12969" t="s">
        <v>16</v>
      </c>
      <c r="J881" t="s">
        <v>28</v>
      </c>
    </row>
    <row r="882" spans="1:10" outlineLevel="2">
      <c r="A882" s="890" t="s">
        <v>1709</v>
      </c>
      <c r="B882" s="2400" t="s">
        <v>48</v>
      </c>
      <c r="C882" s="3910" t="s">
        <v>49</v>
      </c>
      <c r="D882" s="5420"/>
      <c r="E882" s="6930" t="s">
        <v>25</v>
      </c>
      <c r="F882" s="8440" t="s">
        <v>50</v>
      </c>
      <c r="G882" s="9950" t="s">
        <v>27</v>
      </c>
      <c r="H882" s="11460">
        <v>4</v>
      </c>
      <c r="I882" s="12970" t="s">
        <v>16</v>
      </c>
      <c r="J882" t="s">
        <v>28</v>
      </c>
    </row>
    <row r="883" spans="1:10" ht="15.75" outlineLevel="2">
      <c r="A883" s="891" t="s">
        <v>1710</v>
      </c>
      <c r="B883" s="2401" t="s">
        <v>52</v>
      </c>
      <c r="C883" s="3911" t="s">
        <v>53</v>
      </c>
      <c r="D883" s="5421"/>
      <c r="E883" s="6931" t="s">
        <v>32</v>
      </c>
      <c r="F883" s="8441" t="s">
        <v>54</v>
      </c>
      <c r="G883" s="9951" t="s">
        <v>15</v>
      </c>
      <c r="H883" s="11461">
        <v>5</v>
      </c>
      <c r="I883" s="12971" t="s">
        <v>16</v>
      </c>
      <c r="J883" s="13600" t="str">
        <f>HYPERLINK("\\192.168.170.18\drawings\2-Basic Components\0000-342 - Pipe Holders\0000-342-285-- - Top mounting-Pipe Holder DN250-Ø273.pdf", "PDF")</f>
        <v>PDF</v>
      </c>
    </row>
    <row r="884" spans="1:10" ht="15.75" outlineLevel="2">
      <c r="A884" s="892" t="s">
        <v>1711</v>
      </c>
      <c r="B884" s="2402" t="s">
        <v>56</v>
      </c>
      <c r="C884" s="3912" t="s">
        <v>57</v>
      </c>
      <c r="D884" s="5422"/>
      <c r="E884" s="6932" t="s">
        <v>32</v>
      </c>
      <c r="F884" s="8442" t="s">
        <v>58</v>
      </c>
      <c r="G884" s="9952" t="s">
        <v>15</v>
      </c>
      <c r="H884" s="11462">
        <v>8</v>
      </c>
      <c r="I884" s="12972" t="s">
        <v>16</v>
      </c>
      <c r="J884" s="13600" t="str">
        <f>HYPERLINK("\\192.168.170.18\drawings\2-Basic Components\0000-342 - Pipe Holders\0000-342-031-- - Pipe Holder DN250-Ø273.pdf", "PDF")</f>
        <v>PDF</v>
      </c>
    </row>
    <row r="885" spans="1:10" outlineLevel="2">
      <c r="A885" s="893" t="s">
        <v>1712</v>
      </c>
      <c r="B885" s="2403" t="s">
        <v>60</v>
      </c>
      <c r="C885" s="3913" t="s">
        <v>61</v>
      </c>
      <c r="D885" s="5423"/>
      <c r="E885" s="6933" t="s">
        <v>25</v>
      </c>
      <c r="F885" s="8443" t="s">
        <v>62</v>
      </c>
      <c r="G885" s="9953" t="s">
        <v>15</v>
      </c>
      <c r="H885" s="11463">
        <v>2</v>
      </c>
      <c r="I885" s="12973" t="s">
        <v>16</v>
      </c>
      <c r="J885" t="s">
        <v>28</v>
      </c>
    </row>
    <row r="886" spans="1:10" outlineLevel="2">
      <c r="A886" s="894" t="s">
        <v>1713</v>
      </c>
      <c r="B886" s="2404" t="s">
        <v>48</v>
      </c>
      <c r="C886" s="3914" t="s">
        <v>64</v>
      </c>
      <c r="D886" s="5424"/>
      <c r="E886" s="6934" t="s">
        <v>25</v>
      </c>
      <c r="F886" s="8444" t="s">
        <v>65</v>
      </c>
      <c r="G886" s="9954" t="s">
        <v>27</v>
      </c>
      <c r="H886" s="11464">
        <v>2</v>
      </c>
      <c r="I886" s="12974"/>
      <c r="J886" t="s">
        <v>28</v>
      </c>
    </row>
    <row r="887" spans="1:10" outlineLevel="2">
      <c r="A887" s="895" t="s">
        <v>1714</v>
      </c>
      <c r="B887" s="2405" t="s">
        <v>67</v>
      </c>
      <c r="C887" s="3915" t="s">
        <v>68</v>
      </c>
      <c r="D887" s="5425"/>
      <c r="E887" s="6935" t="s">
        <v>25</v>
      </c>
      <c r="F887" s="8445" t="s">
        <v>69</v>
      </c>
      <c r="G887" s="9955" t="s">
        <v>27</v>
      </c>
      <c r="H887" s="11465">
        <v>1</v>
      </c>
      <c r="I887" s="12975" t="s">
        <v>16</v>
      </c>
      <c r="J887" t="s">
        <v>28</v>
      </c>
    </row>
    <row r="888" spans="1:10" outlineLevel="2">
      <c r="A888" s="896" t="s">
        <v>1715</v>
      </c>
      <c r="B888" s="2406" t="s">
        <v>23</v>
      </c>
      <c r="C888" s="3916" t="s">
        <v>71</v>
      </c>
      <c r="D888" s="5426"/>
      <c r="E888" s="6936" t="s">
        <v>25</v>
      </c>
      <c r="F888" s="8446" t="s">
        <v>72</v>
      </c>
      <c r="G888" s="9956" t="s">
        <v>27</v>
      </c>
      <c r="H888" s="11466">
        <v>1</v>
      </c>
      <c r="I888" s="12976"/>
      <c r="J888" t="s">
        <v>28</v>
      </c>
    </row>
    <row r="889" spans="1:10" outlineLevel="2">
      <c r="A889" s="897" t="s">
        <v>1716</v>
      </c>
      <c r="B889" s="2407" t="s">
        <v>30</v>
      </c>
      <c r="C889" s="3917" t="s">
        <v>74</v>
      </c>
      <c r="D889" s="5427"/>
      <c r="E889" s="6937" t="s">
        <v>32</v>
      </c>
      <c r="F889" s="8447" t="s">
        <v>75</v>
      </c>
      <c r="G889" s="9957" t="s">
        <v>27</v>
      </c>
      <c r="H889" s="11467">
        <v>1</v>
      </c>
      <c r="I889" s="12977"/>
      <c r="J889" t="s">
        <v>28</v>
      </c>
    </row>
    <row r="890" spans="1:10" outlineLevel="2">
      <c r="A890" s="898" t="s">
        <v>1717</v>
      </c>
      <c r="B890" s="2408" t="s">
        <v>77</v>
      </c>
      <c r="C890" s="3918" t="s">
        <v>78</v>
      </c>
      <c r="D890" s="5428"/>
      <c r="E890" s="6938" t="s">
        <v>25</v>
      </c>
      <c r="F890" s="8448" t="s">
        <v>79</v>
      </c>
      <c r="G890" s="9958" t="s">
        <v>27</v>
      </c>
      <c r="H890" s="11468">
        <v>1</v>
      </c>
      <c r="I890" s="12978"/>
      <c r="J890" t="s">
        <v>28</v>
      </c>
    </row>
    <row r="891" spans="1:10" outlineLevel="2">
      <c r="A891" s="899" t="s">
        <v>1718</v>
      </c>
      <c r="B891" s="2409" t="s">
        <v>81</v>
      </c>
      <c r="C891" s="3919" t="s">
        <v>82</v>
      </c>
      <c r="D891" s="5429"/>
      <c r="E891" s="6939" t="s">
        <v>83</v>
      </c>
      <c r="F891" s="8449" t="s">
        <v>84</v>
      </c>
      <c r="G891" s="9959" t="s">
        <v>27</v>
      </c>
      <c r="H891" s="11469">
        <v>1</v>
      </c>
      <c r="I891" s="12979"/>
      <c r="J891" t="s">
        <v>28</v>
      </c>
    </row>
    <row r="892" spans="1:10" outlineLevel="1">
      <c r="A892" s="900" t="s">
        <v>1719</v>
      </c>
      <c r="B892" s="2410" t="s">
        <v>1720</v>
      </c>
      <c r="C892" s="3920" t="s">
        <v>87</v>
      </c>
      <c r="D892" s="5430" t="s">
        <v>13</v>
      </c>
      <c r="E892" s="6940"/>
      <c r="F892" s="8450" t="s">
        <v>1721</v>
      </c>
      <c r="G892" s="9960" t="s">
        <v>15</v>
      </c>
      <c r="H892" s="11470">
        <v>1</v>
      </c>
      <c r="I892" s="12980" t="s">
        <v>16</v>
      </c>
      <c r="J892" t="s">
        <v>28</v>
      </c>
    </row>
    <row r="893" spans="1:10" outlineLevel="2">
      <c r="A893" s="901" t="s">
        <v>1722</v>
      </c>
      <c r="B893" s="2411" t="s">
        <v>90</v>
      </c>
      <c r="C893" s="3921" t="s">
        <v>91</v>
      </c>
      <c r="D893" s="5431"/>
      <c r="E893" s="6941" t="s">
        <v>92</v>
      </c>
      <c r="F893" s="8451" t="s">
        <v>1723</v>
      </c>
      <c r="G893" s="9961" t="s">
        <v>15</v>
      </c>
      <c r="H893" s="11471">
        <v>1</v>
      </c>
      <c r="I893" s="12981" t="s">
        <v>16</v>
      </c>
      <c r="J893" t="s">
        <v>28</v>
      </c>
    </row>
    <row r="894" spans="1:10" outlineLevel="2">
      <c r="A894" s="902" t="s">
        <v>1724</v>
      </c>
      <c r="B894" s="2412" t="s">
        <v>95</v>
      </c>
      <c r="C894" s="3922" t="s">
        <v>96</v>
      </c>
      <c r="D894" s="5432"/>
      <c r="E894" s="6942" t="s">
        <v>97</v>
      </c>
      <c r="F894" s="8452" t="s">
        <v>1725</v>
      </c>
      <c r="G894" s="9962" t="s">
        <v>15</v>
      </c>
      <c r="H894" s="11472">
        <v>1</v>
      </c>
      <c r="I894" s="12982" t="s">
        <v>16</v>
      </c>
      <c r="J894" t="s">
        <v>28</v>
      </c>
    </row>
    <row r="895" spans="1:10" outlineLevel="2">
      <c r="A895" s="903" t="s">
        <v>1726</v>
      </c>
      <c r="B895" s="2413" t="s">
        <v>95</v>
      </c>
      <c r="C895" s="3923" t="s">
        <v>100</v>
      </c>
      <c r="D895" s="5433"/>
      <c r="E895" s="6943" t="s">
        <v>97</v>
      </c>
      <c r="F895" s="8453" t="s">
        <v>1727</v>
      </c>
      <c r="G895" s="9963" t="s">
        <v>15</v>
      </c>
      <c r="H895" s="11473">
        <v>1</v>
      </c>
      <c r="I895" s="12983" t="s">
        <v>16</v>
      </c>
      <c r="J895" t="s">
        <v>28</v>
      </c>
    </row>
    <row r="896" spans="1:10" outlineLevel="2">
      <c r="A896" s="904" t="s">
        <v>1728</v>
      </c>
      <c r="B896" s="2414" t="s">
        <v>81</v>
      </c>
      <c r="C896" s="3924" t="s">
        <v>82</v>
      </c>
      <c r="D896" s="5434"/>
      <c r="E896" s="6944" t="s">
        <v>83</v>
      </c>
      <c r="F896" s="8454" t="s">
        <v>84</v>
      </c>
      <c r="G896" s="9964" t="s">
        <v>27</v>
      </c>
      <c r="H896" s="11474">
        <v>3</v>
      </c>
      <c r="I896" s="12984"/>
      <c r="J896" t="s">
        <v>28</v>
      </c>
    </row>
    <row r="897" spans="1:10" outlineLevel="2">
      <c r="A897" s="905" t="s">
        <v>1729</v>
      </c>
      <c r="B897" s="2415" t="s">
        <v>104</v>
      </c>
      <c r="C897" s="3925" t="s">
        <v>105</v>
      </c>
      <c r="D897" s="5435"/>
      <c r="E897" s="6945" t="s">
        <v>32</v>
      </c>
      <c r="F897" s="8455" t="s">
        <v>106</v>
      </c>
      <c r="G897" s="9965" t="s">
        <v>15</v>
      </c>
      <c r="H897" s="11475">
        <v>1</v>
      </c>
      <c r="I897" s="12985" t="s">
        <v>16</v>
      </c>
      <c r="J897" t="s">
        <v>28</v>
      </c>
    </row>
    <row r="898" spans="1:10" outlineLevel="2">
      <c r="A898" s="906" t="s">
        <v>1730</v>
      </c>
      <c r="B898" s="2416" t="s">
        <v>108</v>
      </c>
      <c r="C898" s="3926" t="s">
        <v>109</v>
      </c>
      <c r="D898" s="5436"/>
      <c r="E898" s="6946" t="s">
        <v>83</v>
      </c>
      <c r="F898" s="8456" t="s">
        <v>110</v>
      </c>
      <c r="G898" s="9966" t="s">
        <v>27</v>
      </c>
      <c r="H898" s="11476">
        <v>1</v>
      </c>
      <c r="I898" s="12986"/>
      <c r="J898" t="s">
        <v>28</v>
      </c>
    </row>
    <row r="899" spans="1:10" outlineLevel="1">
      <c r="A899" s="907" t="s">
        <v>1731</v>
      </c>
      <c r="B899" s="2417" t="s">
        <v>1732</v>
      </c>
      <c r="C899" s="3927" t="s">
        <v>113</v>
      </c>
      <c r="D899" s="5437" t="s">
        <v>13</v>
      </c>
      <c r="E899" s="6947"/>
      <c r="F899" s="8457" t="s">
        <v>1733</v>
      </c>
      <c r="G899" s="9967" t="s">
        <v>15</v>
      </c>
      <c r="H899" s="11477">
        <v>1</v>
      </c>
      <c r="I899" s="12987" t="s">
        <v>16</v>
      </c>
      <c r="J899" t="s">
        <v>28</v>
      </c>
    </row>
    <row r="900" spans="1:10" outlineLevel="2">
      <c r="A900" s="908" t="s">
        <v>1734</v>
      </c>
      <c r="B900" s="2418" t="s">
        <v>1735</v>
      </c>
      <c r="C900" s="3928" t="s">
        <v>116</v>
      </c>
      <c r="D900" s="5438"/>
      <c r="E900" s="6948" t="s">
        <v>97</v>
      </c>
      <c r="F900" s="8458" t="s">
        <v>1736</v>
      </c>
      <c r="G900" s="9968" t="s">
        <v>15</v>
      </c>
      <c r="H900" s="11478">
        <v>1</v>
      </c>
      <c r="I900" s="12988" t="s">
        <v>16</v>
      </c>
      <c r="J900" t="s">
        <v>28</v>
      </c>
    </row>
    <row r="901" spans="1:10" outlineLevel="1">
      <c r="A901" s="909" t="s">
        <v>1737</v>
      </c>
      <c r="B901" s="2419" t="s">
        <v>1738</v>
      </c>
      <c r="C901" s="3929" t="s">
        <v>120</v>
      </c>
      <c r="D901" s="5439" t="s">
        <v>13</v>
      </c>
      <c r="E901" s="6949"/>
      <c r="F901" s="8459" t="s">
        <v>1739</v>
      </c>
      <c r="G901" s="9969" t="s">
        <v>15</v>
      </c>
      <c r="H901" s="11479">
        <v>1</v>
      </c>
      <c r="I901" s="12989" t="s">
        <v>16</v>
      </c>
      <c r="J901" t="s">
        <v>28</v>
      </c>
    </row>
    <row r="902" spans="1:10" outlineLevel="2">
      <c r="A902" s="910" t="s">
        <v>1740</v>
      </c>
      <c r="B902" s="2420" t="s">
        <v>1741</v>
      </c>
      <c r="C902" s="3930" t="s">
        <v>123</v>
      </c>
      <c r="D902" s="5440"/>
      <c r="E902" s="6950" t="s">
        <v>97</v>
      </c>
      <c r="F902" s="8460" t="s">
        <v>1742</v>
      </c>
      <c r="G902" s="9970" t="s">
        <v>15</v>
      </c>
      <c r="H902" s="11480">
        <v>1</v>
      </c>
      <c r="I902" s="12990" t="s">
        <v>16</v>
      </c>
      <c r="J902" t="s">
        <v>28</v>
      </c>
    </row>
    <row r="903" spans="1:10" outlineLevel="1">
      <c r="A903" s="911" t="s">
        <v>1743</v>
      </c>
      <c r="B903" s="2421" t="s">
        <v>1744</v>
      </c>
      <c r="C903" s="3931" t="s">
        <v>152</v>
      </c>
      <c r="D903" s="5441" t="s">
        <v>13</v>
      </c>
      <c r="E903" s="6951" t="s">
        <v>153</v>
      </c>
      <c r="F903" s="8461" t="s">
        <v>1745</v>
      </c>
      <c r="G903" s="9971" t="s">
        <v>15</v>
      </c>
      <c r="H903" s="11481">
        <v>1</v>
      </c>
      <c r="I903" s="12991" t="s">
        <v>16</v>
      </c>
      <c r="J903" t="s">
        <v>28</v>
      </c>
    </row>
    <row r="904" spans="1:10" ht="15.75" outlineLevel="1">
      <c r="A904" s="912" t="s">
        <v>1746</v>
      </c>
      <c r="B904" s="2422" t="s">
        <v>1747</v>
      </c>
      <c r="C904" s="3932" t="s">
        <v>157</v>
      </c>
      <c r="D904" s="5442" t="s">
        <v>1700</v>
      </c>
      <c r="E904" s="6952"/>
      <c r="F904" s="8462" t="s">
        <v>1748</v>
      </c>
      <c r="G904" s="9972" t="s">
        <v>15</v>
      </c>
      <c r="H904" s="11482">
        <v>1</v>
      </c>
      <c r="I904" s="12992" t="s">
        <v>16</v>
      </c>
      <c r="J904" s="13600" t="str">
        <f>HYPERLINK("\\192.168.170.18\drawings\5-Projects\2500 - Aabenraa\Area 04 - Digester Area\Eqiupment\2500-615 Digester\2500-615-008-- - Digester - Assembly - 9500m³.pdf", "PDF")</f>
        <v>PDF</v>
      </c>
    </row>
    <row r="905" spans="1:10" ht="15.75" outlineLevel="2">
      <c r="A905" s="913" t="s">
        <v>1749</v>
      </c>
      <c r="B905" s="2423" t="s">
        <v>1750</v>
      </c>
      <c r="C905" s="3933" t="s">
        <v>161</v>
      </c>
      <c r="D905" s="5443" t="s">
        <v>1751</v>
      </c>
      <c r="E905" s="6953"/>
      <c r="F905" s="8463" t="s">
        <v>1752</v>
      </c>
      <c r="G905" s="9973" t="s">
        <v>15</v>
      </c>
      <c r="H905" s="11483">
        <v>1</v>
      </c>
      <c r="I905" s="12993" t="s">
        <v>16</v>
      </c>
      <c r="J905" s="13600" t="str">
        <f>HYPERLINK("\\192.168.170.18\drawings\5-Projects\2500 - Aabenraa\Area 04 - Digester Area\Eqiupment\2500-615 Digester\2500-615-908-- - Digester 9500m³.pdf", "PDF")</f>
        <v>PDF</v>
      </c>
    </row>
    <row r="906" spans="1:10" outlineLevel="3">
      <c r="A906" s="914" t="s">
        <v>1753</v>
      </c>
      <c r="B906" s="2424" t="s">
        <v>1754</v>
      </c>
      <c r="C906" s="3934" t="s">
        <v>166</v>
      </c>
      <c r="D906" s="5444"/>
      <c r="E906" s="6954" t="s">
        <v>32</v>
      </c>
      <c r="F906" s="8464" t="s">
        <v>1755</v>
      </c>
      <c r="G906" s="9974" t="s">
        <v>15</v>
      </c>
      <c r="H906" s="11484">
        <v>1</v>
      </c>
      <c r="I906" s="12994" t="s">
        <v>16</v>
      </c>
      <c r="J906" t="s">
        <v>28</v>
      </c>
    </row>
    <row r="907" spans="1:10" outlineLevel="3">
      <c r="A907" s="915" t="s">
        <v>1756</v>
      </c>
      <c r="B907" s="2425" t="s">
        <v>1757</v>
      </c>
      <c r="C907" s="3935" t="s">
        <v>170</v>
      </c>
      <c r="D907" s="5445"/>
      <c r="E907" s="6955" t="s">
        <v>32</v>
      </c>
      <c r="F907" s="8465" t="s">
        <v>1758</v>
      </c>
      <c r="G907" s="9975" t="s">
        <v>15</v>
      </c>
      <c r="H907" s="11485">
        <v>1</v>
      </c>
      <c r="I907" s="12995" t="s">
        <v>16</v>
      </c>
      <c r="J907" t="s">
        <v>28</v>
      </c>
    </row>
    <row r="908" spans="1:10" outlineLevel="3">
      <c r="A908" s="916" t="s">
        <v>1759</v>
      </c>
      <c r="B908" s="2426" t="s">
        <v>1760</v>
      </c>
      <c r="C908" s="3936" t="s">
        <v>174</v>
      </c>
      <c r="D908" s="5446"/>
      <c r="E908" s="6956" t="s">
        <v>41</v>
      </c>
      <c r="F908" s="8466" t="s">
        <v>1761</v>
      </c>
      <c r="G908" s="9976" t="s">
        <v>15</v>
      </c>
      <c r="H908" s="11486">
        <v>1</v>
      </c>
      <c r="I908" s="12996" t="s">
        <v>16</v>
      </c>
      <c r="J908" t="s">
        <v>28</v>
      </c>
    </row>
    <row r="909" spans="1:10" outlineLevel="3">
      <c r="A909" s="917" t="s">
        <v>1762</v>
      </c>
      <c r="B909" s="2427" t="s">
        <v>1763</v>
      </c>
      <c r="C909" s="3937" t="s">
        <v>178</v>
      </c>
      <c r="D909" s="5447"/>
      <c r="E909" s="6957" t="s">
        <v>32</v>
      </c>
      <c r="F909" s="8467" t="s">
        <v>1764</v>
      </c>
      <c r="G909" s="9977" t="s">
        <v>15</v>
      </c>
      <c r="H909" s="11487">
        <v>1</v>
      </c>
      <c r="I909" s="12997" t="s">
        <v>16</v>
      </c>
      <c r="J909" t="s">
        <v>28</v>
      </c>
    </row>
    <row r="910" spans="1:10" outlineLevel="3">
      <c r="A910" s="918" t="s">
        <v>1765</v>
      </c>
      <c r="B910" s="2428" t="s">
        <v>1766</v>
      </c>
      <c r="C910" s="3938"/>
      <c r="D910" s="5448"/>
      <c r="E910" s="6958" t="s">
        <v>182</v>
      </c>
      <c r="F910" s="8468" t="s">
        <v>1767</v>
      </c>
      <c r="G910" s="9978" t="s">
        <v>15</v>
      </c>
      <c r="H910" s="11488">
        <v>1</v>
      </c>
      <c r="I910" s="12998" t="s">
        <v>16</v>
      </c>
      <c r="J910" t="s">
        <v>28</v>
      </c>
    </row>
    <row r="911" spans="1:10" outlineLevel="3">
      <c r="A911" s="919" t="s">
        <v>1768</v>
      </c>
      <c r="B911" s="2429" t="s">
        <v>1769</v>
      </c>
      <c r="C911" s="3939" t="s">
        <v>186</v>
      </c>
      <c r="D911" s="5449"/>
      <c r="E911" s="6959" t="s">
        <v>32</v>
      </c>
      <c r="F911" s="8469" t="s">
        <v>1770</v>
      </c>
      <c r="G911" s="9979" t="s">
        <v>15</v>
      </c>
      <c r="H911" s="11489">
        <v>1</v>
      </c>
      <c r="I911" s="12999" t="s">
        <v>16</v>
      </c>
      <c r="J911" t="s">
        <v>28</v>
      </c>
    </row>
    <row r="912" spans="1:10" outlineLevel="2">
      <c r="A912" s="920" t="s">
        <v>1771</v>
      </c>
      <c r="B912" s="2430" t="s">
        <v>81</v>
      </c>
      <c r="C912" s="3940" t="s">
        <v>82</v>
      </c>
      <c r="D912" s="5450"/>
      <c r="E912" s="6960" t="s">
        <v>83</v>
      </c>
      <c r="F912" s="8470" t="s">
        <v>84</v>
      </c>
      <c r="G912" s="9980" t="s">
        <v>27</v>
      </c>
      <c r="H912" s="11490">
        <v>2</v>
      </c>
      <c r="I912" s="13000"/>
      <c r="J912" t="s">
        <v>28</v>
      </c>
    </row>
    <row r="913" spans="1:10" outlineLevel="2">
      <c r="A913" s="921" t="s">
        <v>1772</v>
      </c>
      <c r="B913" s="2431" t="s">
        <v>190</v>
      </c>
      <c r="C913" s="3941" t="s">
        <v>191</v>
      </c>
      <c r="D913" s="5451"/>
      <c r="E913" s="6961" t="s">
        <v>16</v>
      </c>
      <c r="F913" s="8471" t="s">
        <v>192</v>
      </c>
      <c r="G913" s="9981" t="s">
        <v>27</v>
      </c>
      <c r="H913" s="11491">
        <v>1</v>
      </c>
      <c r="I913" s="13001"/>
      <c r="J913" t="s">
        <v>28</v>
      </c>
    </row>
    <row r="914" spans="1:10" outlineLevel="2">
      <c r="A914" s="922" t="s">
        <v>1773</v>
      </c>
      <c r="B914" s="2432" t="s">
        <v>194</v>
      </c>
      <c r="C914" s="3942" t="s">
        <v>195</v>
      </c>
      <c r="D914" s="5452"/>
      <c r="E914" s="6962" t="s">
        <v>16</v>
      </c>
      <c r="F914" s="8472" t="s">
        <v>196</v>
      </c>
      <c r="G914" s="9982" t="s">
        <v>27</v>
      </c>
      <c r="H914" s="11492">
        <v>2</v>
      </c>
      <c r="I914" s="13002"/>
      <c r="J914" t="s">
        <v>28</v>
      </c>
    </row>
    <row r="915" spans="1:10" outlineLevel="2">
      <c r="A915" s="923" t="s">
        <v>1774</v>
      </c>
      <c r="B915" s="2433" t="s">
        <v>81</v>
      </c>
      <c r="C915" s="3943" t="s">
        <v>198</v>
      </c>
      <c r="D915" s="5453"/>
      <c r="E915" s="6963" t="s">
        <v>32</v>
      </c>
      <c r="F915" s="8473" t="s">
        <v>199</v>
      </c>
      <c r="G915" s="9983" t="s">
        <v>15</v>
      </c>
      <c r="H915" s="11493">
        <v>2</v>
      </c>
      <c r="I915" s="13003"/>
      <c r="J915" t="s">
        <v>28</v>
      </c>
    </row>
    <row r="916" spans="1:10" outlineLevel="2">
      <c r="A916" s="924" t="s">
        <v>1775</v>
      </c>
      <c r="B916" s="2434" t="s">
        <v>201</v>
      </c>
      <c r="C916" s="3944" t="s">
        <v>202</v>
      </c>
      <c r="D916" s="5454"/>
      <c r="E916" s="6964" t="s">
        <v>203</v>
      </c>
      <c r="F916" s="8474" t="s">
        <v>204</v>
      </c>
      <c r="G916" s="9984" t="s">
        <v>27</v>
      </c>
      <c r="H916" s="11494">
        <v>3</v>
      </c>
      <c r="I916" s="13004" t="s">
        <v>16</v>
      </c>
      <c r="J916" t="s">
        <v>28</v>
      </c>
    </row>
    <row r="917" spans="1:10" outlineLevel="2">
      <c r="A917" s="925" t="s">
        <v>1776</v>
      </c>
      <c r="B917" s="2435" t="s">
        <v>206</v>
      </c>
      <c r="C917" s="3945" t="s">
        <v>207</v>
      </c>
      <c r="D917" s="5455"/>
      <c r="E917" s="6965" t="s">
        <v>208</v>
      </c>
      <c r="F917" s="8475" t="s">
        <v>209</v>
      </c>
      <c r="G917" s="9985" t="s">
        <v>27</v>
      </c>
      <c r="H917" s="11495">
        <v>2</v>
      </c>
      <c r="I917" s="13005" t="s">
        <v>16</v>
      </c>
      <c r="J917" t="s">
        <v>28</v>
      </c>
    </row>
    <row r="918" spans="1:10" outlineLevel="2">
      <c r="A918" s="926" t="s">
        <v>1777</v>
      </c>
      <c r="B918" s="2436" t="s">
        <v>247</v>
      </c>
      <c r="C918" s="3946" t="s">
        <v>444</v>
      </c>
      <c r="D918" s="5456" t="s">
        <v>445</v>
      </c>
      <c r="E918" s="6966" t="s">
        <v>25</v>
      </c>
      <c r="F918" s="8476" t="s">
        <v>446</v>
      </c>
      <c r="G918" s="9986" t="s">
        <v>27</v>
      </c>
      <c r="H918" s="11496">
        <v>3</v>
      </c>
      <c r="I918" s="13006" t="s">
        <v>16</v>
      </c>
      <c r="J918" t="s">
        <v>28</v>
      </c>
    </row>
    <row r="919" spans="1:10" ht="15.75" outlineLevel="2">
      <c r="A919" s="927" t="s">
        <v>1778</v>
      </c>
      <c r="B919" s="2437" t="s">
        <v>211</v>
      </c>
      <c r="C919" s="3947" t="s">
        <v>212</v>
      </c>
      <c r="D919" s="5457"/>
      <c r="E919" s="6967" t="s">
        <v>32</v>
      </c>
      <c r="F919" s="8477" t="s">
        <v>213</v>
      </c>
      <c r="G919" s="9987" t="s">
        <v>15</v>
      </c>
      <c r="H919" s="11497">
        <v>2</v>
      </c>
      <c r="I919" s="13007" t="s">
        <v>16</v>
      </c>
      <c r="J919" s="13600" t="str">
        <f>HYPERLINK("\\192.168.170.18\drawings\2-Basic Components\0000-301 - Tank Connection\0000-301-038-A - TC- Flange DN40 - 1½'' L=200- BM.pdf", "PDF")</f>
        <v>PDF</v>
      </c>
    </row>
    <row r="920" spans="1:10" ht="15.75" outlineLevel="2">
      <c r="A920" s="928" t="s">
        <v>1779</v>
      </c>
      <c r="B920" s="2438" t="s">
        <v>215</v>
      </c>
      <c r="C920" s="3948" t="s">
        <v>216</v>
      </c>
      <c r="D920" s="5458"/>
      <c r="E920" s="6968" t="s">
        <v>32</v>
      </c>
      <c r="F920" s="8478" t="s">
        <v>217</v>
      </c>
      <c r="G920" s="9988" t="s">
        <v>15</v>
      </c>
      <c r="H920" s="11498">
        <v>3</v>
      </c>
      <c r="I920" s="13008" t="s">
        <v>16</v>
      </c>
      <c r="J920" s="13600" t="str">
        <f>HYPERLINK("\\192.168.170.18\drawings\2-Basic Components\0000-301 - Tank Connection\0000-301-037-- - TC- Socket DN15-½'' L=168- BM.pdf", "PDF")</f>
        <v>PDF</v>
      </c>
    </row>
    <row r="921" spans="1:10" ht="15.75" outlineLevel="2">
      <c r="A921" s="929" t="s">
        <v>1780</v>
      </c>
      <c r="B921" s="2439" t="s">
        <v>219</v>
      </c>
      <c r="C921" s="3949" t="s">
        <v>220</v>
      </c>
      <c r="D921" s="5459"/>
      <c r="E921" s="6969" t="s">
        <v>32</v>
      </c>
      <c r="F921" s="8479" t="s">
        <v>221</v>
      </c>
      <c r="G921" s="9989" t="s">
        <v>15</v>
      </c>
      <c r="H921" s="11499">
        <v>3</v>
      </c>
      <c r="I921" s="13009" t="s">
        <v>16</v>
      </c>
      <c r="J921" s="13600" t="str">
        <f>HYPERLINK("\\192.168.170.18\drawings\2-Basic Components\0000-301 - Tank Connection\0000-301-001-A - TC - Nipple DN15 - ½'' L=40- BG.pdf", "PDF")</f>
        <v>PDF</v>
      </c>
    </row>
    <row r="922" spans="1:10" ht="15.75" outlineLevel="2">
      <c r="A922" s="930" t="s">
        <v>1781</v>
      </c>
      <c r="B922" s="2440" t="s">
        <v>223</v>
      </c>
      <c r="C922" s="3950" t="s">
        <v>224</v>
      </c>
      <c r="D922" s="5460"/>
      <c r="E922" s="6970" t="s">
        <v>32</v>
      </c>
      <c r="F922" s="8480" t="s">
        <v>225</v>
      </c>
      <c r="G922" s="9990" t="s">
        <v>15</v>
      </c>
      <c r="H922" s="11500">
        <v>15</v>
      </c>
      <c r="I922" s="13010" t="s">
        <v>16</v>
      </c>
      <c r="J922" s="13600" t="str">
        <f>HYPERLINK("\\192.168.170.18\drawings\2-Basic Components\0000-342 - Pipe Holders\0000-342-022-- - Pipe holder foot L=400.pdf", "PDF")</f>
        <v>PDF</v>
      </c>
    </row>
    <row r="923" spans="1:10" outlineLevel="2">
      <c r="A923" s="931" t="s">
        <v>1782</v>
      </c>
      <c r="B923" s="2441" t="s">
        <v>227</v>
      </c>
      <c r="C923" s="3951" t="s">
        <v>228</v>
      </c>
      <c r="D923" s="5461"/>
      <c r="E923" s="6971" t="s">
        <v>32</v>
      </c>
      <c r="F923" s="8481" t="s">
        <v>229</v>
      </c>
      <c r="G923" s="9991" t="s">
        <v>15</v>
      </c>
      <c r="H923" s="11501">
        <v>1</v>
      </c>
      <c r="I923" s="13011" t="s">
        <v>16</v>
      </c>
      <c r="J923" t="s">
        <v>28</v>
      </c>
    </row>
    <row r="924" spans="1:10" outlineLevel="2">
      <c r="A924" s="932" t="s">
        <v>1783</v>
      </c>
      <c r="B924" s="2442" t="s">
        <v>227</v>
      </c>
      <c r="C924" s="3952" t="s">
        <v>231</v>
      </c>
      <c r="D924" s="5462"/>
      <c r="E924" s="6972" t="s">
        <v>32</v>
      </c>
      <c r="F924" s="8482" t="s">
        <v>232</v>
      </c>
      <c r="G924" s="9992" t="s">
        <v>15</v>
      </c>
      <c r="H924" s="11502">
        <v>1</v>
      </c>
      <c r="I924" s="13012" t="s">
        <v>16</v>
      </c>
      <c r="J924" t="s">
        <v>28</v>
      </c>
    </row>
    <row r="925" spans="1:10" ht="15.75" outlineLevel="2">
      <c r="A925" s="933" t="s">
        <v>1784</v>
      </c>
      <c r="B925" s="2443" t="s">
        <v>234</v>
      </c>
      <c r="C925" s="3953" t="s">
        <v>235</v>
      </c>
      <c r="D925" s="5463" t="s">
        <v>236</v>
      </c>
      <c r="E925" s="6973" t="s">
        <v>32</v>
      </c>
      <c r="F925" s="8483" t="s">
        <v>237</v>
      </c>
      <c r="G925" s="9993" t="s">
        <v>15</v>
      </c>
      <c r="H925" s="11503">
        <v>2</v>
      </c>
      <c r="I925" s="13013" t="s">
        <v>16</v>
      </c>
      <c r="J925" s="13600" t="str">
        <f>HYPERLINK("\\192.168.170.18\drawings\2-Basic Components\0000-310 - Sightglass\0000-310-005-A - Sightglass w.Wiper - DN200 PN0 - Welded.pdf", "PDF")</f>
        <v>PDF</v>
      </c>
    </row>
    <row r="926" spans="1:10" ht="15.75" outlineLevel="2">
      <c r="A926" s="934" t="s">
        <v>1785</v>
      </c>
      <c r="B926" s="2444" t="s">
        <v>239</v>
      </c>
      <c r="C926" s="3954" t="s">
        <v>240</v>
      </c>
      <c r="D926" s="5464"/>
      <c r="E926" s="6974" t="s">
        <v>32</v>
      </c>
      <c r="F926" s="8484" t="s">
        <v>241</v>
      </c>
      <c r="G926" s="9994" t="s">
        <v>15</v>
      </c>
      <c r="H926" s="11504">
        <v>52</v>
      </c>
      <c r="I926" s="13014" t="s">
        <v>16</v>
      </c>
      <c r="J926" s="13600" t="str">
        <f>HYPERLINK("\\192.168.170.18\drawings\2-Basic Components\0000-342 - Pipe Holders\0000-342-034-- - Pipe holder foot L=300.pdf", "PDF")</f>
        <v>PDF</v>
      </c>
    </row>
    <row r="927" spans="1:10" outlineLevel="2">
      <c r="A927" s="935" t="s">
        <v>1786</v>
      </c>
      <c r="B927" s="2445" t="s">
        <v>243</v>
      </c>
      <c r="C927" s="3955" t="s">
        <v>244</v>
      </c>
      <c r="D927" s="5465"/>
      <c r="E927" s="6975" t="s">
        <v>32</v>
      </c>
      <c r="F927" s="8485" t="s">
        <v>245</v>
      </c>
      <c r="G927" s="9995" t="s">
        <v>15</v>
      </c>
      <c r="H927" s="11505">
        <v>2</v>
      </c>
      <c r="I927" s="13015"/>
      <c r="J927" t="s">
        <v>28</v>
      </c>
    </row>
    <row r="928" spans="1:10" outlineLevel="2">
      <c r="A928" s="936" t="s">
        <v>1787</v>
      </c>
      <c r="B928" s="2446" t="s">
        <v>247</v>
      </c>
      <c r="C928" s="3956" t="s">
        <v>248</v>
      </c>
      <c r="D928" s="5466"/>
      <c r="E928" s="6976" t="s">
        <v>32</v>
      </c>
      <c r="F928" s="8486" t="s">
        <v>249</v>
      </c>
      <c r="G928" s="9996" t="s">
        <v>27</v>
      </c>
      <c r="H928" s="11506">
        <v>4</v>
      </c>
      <c r="I928" s="13016"/>
      <c r="J928" t="s">
        <v>28</v>
      </c>
    </row>
    <row r="929" spans="1:10" ht="15.75" outlineLevel="2">
      <c r="A929" s="937" t="s">
        <v>1788</v>
      </c>
      <c r="B929" s="2447" t="s">
        <v>251</v>
      </c>
      <c r="C929" s="3957" t="s">
        <v>252</v>
      </c>
      <c r="D929" s="5467" t="s">
        <v>253</v>
      </c>
      <c r="E929" s="6977" t="s">
        <v>32</v>
      </c>
      <c r="F929" s="8487" t="s">
        <v>254</v>
      </c>
      <c r="G929" s="9997" t="s">
        <v>15</v>
      </c>
      <c r="H929" s="11507">
        <v>1</v>
      </c>
      <c r="I929" s="13017" t="s">
        <v>16</v>
      </c>
      <c r="J929" s="13600" t="str">
        <f>HYPERLINK("\\192.168.170.18\drawings\2-Basic Components\0000-314 - Agitator\0000-314-504-A - Agitator Drive.pdf", "PDF")</f>
        <v>PDF</v>
      </c>
    </row>
    <row r="930" spans="1:10" ht="15.75" outlineLevel="2">
      <c r="A930" s="938" t="s">
        <v>1789</v>
      </c>
      <c r="B930" s="2448" t="s">
        <v>256</v>
      </c>
      <c r="C930" s="3958" t="s">
        <v>257</v>
      </c>
      <c r="D930" s="5468" t="s">
        <v>253</v>
      </c>
      <c r="E930" s="6978" t="s">
        <v>25</v>
      </c>
      <c r="F930" s="8488" t="s">
        <v>258</v>
      </c>
      <c r="G930" s="9998" t="s">
        <v>15</v>
      </c>
      <c r="H930" s="11508">
        <v>1</v>
      </c>
      <c r="I930" s="13018" t="s">
        <v>16</v>
      </c>
      <c r="J930" s="13600" t="str">
        <f>HYPERLINK("\\192.168.170.18\drawings\2-Basic Components\0000-314 - Agitator\0000-314-300-- - Agitator L=19152.pdf", "PDF")</f>
        <v>PDF</v>
      </c>
    </row>
    <row r="931" spans="1:10" outlineLevel="2">
      <c r="A931" s="939" t="s">
        <v>1790</v>
      </c>
      <c r="B931" s="2449" t="s">
        <v>260</v>
      </c>
      <c r="C931" s="3959" t="s">
        <v>261</v>
      </c>
      <c r="D931" s="5469"/>
      <c r="E931" s="6979" t="s">
        <v>41</v>
      </c>
      <c r="F931" s="8489" t="s">
        <v>262</v>
      </c>
      <c r="G931" s="9999" t="s">
        <v>15</v>
      </c>
      <c r="H931" s="11509">
        <v>1</v>
      </c>
      <c r="I931" s="13019" t="s">
        <v>16</v>
      </c>
      <c r="J931" t="s">
        <v>28</v>
      </c>
    </row>
    <row r="932" spans="1:10" ht="15.75" outlineLevel="2">
      <c r="A932" s="940" t="s">
        <v>1791</v>
      </c>
      <c r="B932" s="2450" t="s">
        <v>264</v>
      </c>
      <c r="C932" s="3960" t="s">
        <v>265</v>
      </c>
      <c r="D932" s="5470"/>
      <c r="E932" s="6980" t="s">
        <v>32</v>
      </c>
      <c r="F932" s="8490" t="s">
        <v>266</v>
      </c>
      <c r="G932" s="10000" t="s">
        <v>15</v>
      </c>
      <c r="H932" s="11510">
        <v>3</v>
      </c>
      <c r="I932" s="13020" t="s">
        <v>16</v>
      </c>
      <c r="J932" s="13600" t="str">
        <f>HYPERLINK("\\192.168.170.18\drawings\2-Basic Components\0000-301 - Tank Connection\0000-301-071-B - TC- Flange 15° DN50 PN10 L=170- BG.pdf", "PDF")</f>
        <v>PDF</v>
      </c>
    </row>
    <row r="933" spans="1:10" outlineLevel="2">
      <c r="A933" s="941" t="s">
        <v>1792</v>
      </c>
      <c r="B933" s="2451" t="s">
        <v>268</v>
      </c>
      <c r="C933" s="3961" t="s">
        <v>269</v>
      </c>
      <c r="D933" s="5471"/>
      <c r="E933" s="6981" t="s">
        <v>41</v>
      </c>
      <c r="F933" s="8491" t="s">
        <v>270</v>
      </c>
      <c r="G933" s="10001" t="s">
        <v>15</v>
      </c>
      <c r="H933" s="11511">
        <v>2</v>
      </c>
      <c r="I933" s="13021" t="s">
        <v>16</v>
      </c>
      <c r="J933" t="s">
        <v>28</v>
      </c>
    </row>
    <row r="934" spans="1:10" outlineLevel="2">
      <c r="A934" s="942" t="s">
        <v>1793</v>
      </c>
      <c r="B934" s="2452" t="s">
        <v>268</v>
      </c>
      <c r="C934" s="3962" t="s">
        <v>272</v>
      </c>
      <c r="D934" s="5472"/>
      <c r="E934" s="6982" t="s">
        <v>41</v>
      </c>
      <c r="F934" s="8492" t="s">
        <v>273</v>
      </c>
      <c r="G934" s="10002" t="s">
        <v>15</v>
      </c>
      <c r="H934" s="11512">
        <v>4</v>
      </c>
      <c r="I934" s="13022" t="s">
        <v>16</v>
      </c>
      <c r="J934" t="s">
        <v>28</v>
      </c>
    </row>
    <row r="935" spans="1:10" outlineLevel="2">
      <c r="A935" s="943" t="s">
        <v>1794</v>
      </c>
      <c r="B935" s="2453" t="s">
        <v>275</v>
      </c>
      <c r="C935" s="3963" t="s">
        <v>276</v>
      </c>
      <c r="D935" s="5473"/>
      <c r="E935" s="6983" t="s">
        <v>41</v>
      </c>
      <c r="F935" s="8493" t="s">
        <v>277</v>
      </c>
      <c r="G935" s="10003" t="s">
        <v>15</v>
      </c>
      <c r="H935" s="11513">
        <v>2</v>
      </c>
      <c r="I935" s="13023" t="s">
        <v>16</v>
      </c>
      <c r="J935" t="s">
        <v>28</v>
      </c>
    </row>
    <row r="936" spans="1:10" outlineLevel="2">
      <c r="A936" s="944" t="s">
        <v>1795</v>
      </c>
      <c r="B936" s="2454" t="s">
        <v>268</v>
      </c>
      <c r="C936" s="3964" t="s">
        <v>279</v>
      </c>
      <c r="D936" s="5474"/>
      <c r="E936" s="6984" t="s">
        <v>41</v>
      </c>
      <c r="F936" s="8494" t="s">
        <v>280</v>
      </c>
      <c r="G936" s="10004" t="s">
        <v>15</v>
      </c>
      <c r="H936" s="11514">
        <v>2</v>
      </c>
      <c r="I936" s="13024" t="s">
        <v>16</v>
      </c>
      <c r="J936" t="s">
        <v>28</v>
      </c>
    </row>
    <row r="937" spans="1:10" ht="15.75" outlineLevel="2">
      <c r="A937" s="945" t="s">
        <v>1796</v>
      </c>
      <c r="B937" s="2455" t="s">
        <v>282</v>
      </c>
      <c r="C937" s="3965" t="s">
        <v>283</v>
      </c>
      <c r="D937" s="5475"/>
      <c r="E937" s="6985" t="s">
        <v>25</v>
      </c>
      <c r="F937" s="8495" t="s">
        <v>284</v>
      </c>
      <c r="G937" s="10005" t="s">
        <v>15</v>
      </c>
      <c r="H937" s="11515">
        <v>1</v>
      </c>
      <c r="I937" s="13025" t="s">
        <v>16</v>
      </c>
      <c r="J937" s="13600" t="str">
        <f>HYPERLINK("\\192.168.170.18\drawings\2-Basic Components\0000-315 - Central Flange\0000-315-003-A - Trap DN500 - pressure = 35 mbar_vacuum = -3 mbar.pdf", "PDF")</f>
        <v>PDF</v>
      </c>
    </row>
    <row r="938" spans="1:10" ht="15.75" outlineLevel="2">
      <c r="A938" s="946" t="s">
        <v>1797</v>
      </c>
      <c r="B938" s="2456" t="s">
        <v>286</v>
      </c>
      <c r="C938" s="3966" t="s">
        <v>287</v>
      </c>
      <c r="D938" s="5476"/>
      <c r="E938" s="6986" t="s">
        <v>32</v>
      </c>
      <c r="F938" s="8496" t="s">
        <v>288</v>
      </c>
      <c r="G938" s="10006" t="s">
        <v>15</v>
      </c>
      <c r="H938" s="11516">
        <v>4</v>
      </c>
      <c r="I938" s="13026" t="s">
        <v>16</v>
      </c>
      <c r="J938" s="13600" t="str">
        <f>HYPERLINK("\\192.168.170.18\drawings\2-Basic Components\0000-301 - Tank Connection\0000-301-120-- - TC- Flange Elbow DN150 PN10 L=450 - BM.pdf", "PDF")</f>
        <v>PDF</v>
      </c>
    </row>
    <row r="939" spans="1:10" ht="15.75" outlineLevel="2">
      <c r="A939" s="947" t="s">
        <v>1798</v>
      </c>
      <c r="B939" s="2457" t="s">
        <v>290</v>
      </c>
      <c r="C939" s="3967" t="s">
        <v>291</v>
      </c>
      <c r="D939" s="5477"/>
      <c r="E939" s="6987" t="s">
        <v>32</v>
      </c>
      <c r="F939" s="8497" t="s">
        <v>292</v>
      </c>
      <c r="G939" s="10007" t="s">
        <v>15</v>
      </c>
      <c r="H939" s="11517">
        <v>1</v>
      </c>
      <c r="I939" s="13027"/>
      <c r="J939" s="13600" t="str">
        <f>HYPERLINK("\\192.168.170.18\drawings\2-Basic Components\0000-321 - Straight Connection\0000-321-106-- - Biomass - Straight Connection - DN100x6m.pdf", "PDF")</f>
        <v>PDF</v>
      </c>
    </row>
    <row r="940" spans="1:10" ht="15.75" outlineLevel="2">
      <c r="A940" s="948" t="s">
        <v>1799</v>
      </c>
      <c r="B940" s="2458" t="s">
        <v>294</v>
      </c>
      <c r="C940" s="3968" t="s">
        <v>295</v>
      </c>
      <c r="D940" s="5478"/>
      <c r="E940" s="6988" t="s">
        <v>32</v>
      </c>
      <c r="F940" s="8498" t="s">
        <v>296</v>
      </c>
      <c r="G940" s="10008" t="s">
        <v>15</v>
      </c>
      <c r="H940" s="11518">
        <v>4</v>
      </c>
      <c r="I940" s="13028"/>
      <c r="J940" s="13600" t="str">
        <f>HYPERLINK("\\192.168.170.18\drawings\2-Basic Components\0000-342 - Pipe Holders\0000-342-270-B - DN100 Pipeholder for bottom mounting.pdf", "PDF")</f>
        <v>PDF</v>
      </c>
    </row>
    <row r="941" spans="1:10" ht="15.75" outlineLevel="2">
      <c r="A941" s="949" t="s">
        <v>1800</v>
      </c>
      <c r="B941" s="2459" t="s">
        <v>298</v>
      </c>
      <c r="C941" s="3969" t="s">
        <v>299</v>
      </c>
      <c r="D941" s="5479"/>
      <c r="E941" s="6989" t="s">
        <v>32</v>
      </c>
      <c r="F941" s="8499" t="s">
        <v>300</v>
      </c>
      <c r="G941" s="10009" t="s">
        <v>15</v>
      </c>
      <c r="H941" s="11519">
        <v>2</v>
      </c>
      <c r="I941" s="13029" t="s">
        <v>16</v>
      </c>
      <c r="J941" s="13600" t="str">
        <f>HYPERLINK("\\192.168.170.18\drawings\2-Basic Components\0000-301 - Tank Connection\0000-301-119-- - TC- Flange DN150 PN10 L=330 - BM.pdf", "PDF")</f>
        <v>PDF</v>
      </c>
    </row>
    <row r="942" spans="1:10" ht="15.75" outlineLevel="2">
      <c r="A942" s="950" t="s">
        <v>1801</v>
      </c>
      <c r="B942" s="2460" t="s">
        <v>302</v>
      </c>
      <c r="C942" s="3970" t="s">
        <v>303</v>
      </c>
      <c r="D942" s="5480" t="s">
        <v>304</v>
      </c>
      <c r="E942" s="6990" t="s">
        <v>32</v>
      </c>
      <c r="F942" s="8500" t="s">
        <v>305</v>
      </c>
      <c r="G942" s="10010" t="s">
        <v>15</v>
      </c>
      <c r="H942" s="11520">
        <v>1</v>
      </c>
      <c r="I942" s="13030" t="s">
        <v>16</v>
      </c>
      <c r="J942" s="13600" t="str">
        <f>HYPERLINK("\\192.168.170.18\drawings\2-Basic Components\0000-321 - Straight Connection\0000-321-103-A - Outlet pipe DN100 - Biomass.pdf", "PDF")</f>
        <v>PDF</v>
      </c>
    </row>
    <row r="943" spans="1:10" ht="15.75" outlineLevel="2">
      <c r="A943" s="951" t="s">
        <v>1802</v>
      </c>
      <c r="B943" s="2461" t="s">
        <v>307</v>
      </c>
      <c r="C943" s="3971" t="s">
        <v>308</v>
      </c>
      <c r="D943" s="5481"/>
      <c r="E943" s="6991" t="s">
        <v>32</v>
      </c>
      <c r="F943" s="8501" t="s">
        <v>309</v>
      </c>
      <c r="G943" s="10011" t="s">
        <v>15</v>
      </c>
      <c r="H943" s="11521">
        <v>2</v>
      </c>
      <c r="I943" s="13031" t="s">
        <v>16</v>
      </c>
      <c r="J943" s="13600" t="str">
        <f>HYPERLINK("\\192.168.170.18\drawings\2-Basic Components\0000-301 - Tank Connection\0000-301-122-- - TC- Flange DN150 PN10 L=330 - BM.pdf", "PDF")</f>
        <v>PDF</v>
      </c>
    </row>
    <row r="944" spans="1:10" outlineLevel="2">
      <c r="A944" s="952" t="s">
        <v>1803</v>
      </c>
      <c r="B944" s="2462" t="s">
        <v>247</v>
      </c>
      <c r="C944" s="3972" t="s">
        <v>311</v>
      </c>
      <c r="D944" s="5482"/>
      <c r="E944" s="6992" t="s">
        <v>25</v>
      </c>
      <c r="F944" s="8502" t="s">
        <v>312</v>
      </c>
      <c r="G944" s="10012" t="s">
        <v>27</v>
      </c>
      <c r="H944" s="11522">
        <v>1</v>
      </c>
      <c r="I944" s="13032"/>
      <c r="J944" t="s">
        <v>28</v>
      </c>
    </row>
    <row r="945" spans="1:10" ht="15.75" outlineLevel="2">
      <c r="A945" s="953" t="s">
        <v>1804</v>
      </c>
      <c r="B945" s="2463" t="s">
        <v>314</v>
      </c>
      <c r="C945" s="3973" t="s">
        <v>315</v>
      </c>
      <c r="D945" s="5483"/>
      <c r="E945" s="6993" t="s">
        <v>32</v>
      </c>
      <c r="F945" s="8503" t="s">
        <v>316</v>
      </c>
      <c r="G945" s="10013" t="s">
        <v>15</v>
      </c>
      <c r="H945" s="11523">
        <v>1</v>
      </c>
      <c r="I945" s="13033" t="s">
        <v>16</v>
      </c>
      <c r="J945" s="13600" t="str">
        <f>HYPERLINK("\\192.168.170.18\drawings\2-Basic Components\0000-321 - Straight Connection\0000-321-109-- - Biomass - Straight Connection - DN100x6m.pdf", "PDF")</f>
        <v>PDF</v>
      </c>
    </row>
    <row r="946" spans="1:10" ht="15.75" outlineLevel="2">
      <c r="A946" s="954" t="s">
        <v>1805</v>
      </c>
      <c r="B946" s="2464" t="s">
        <v>318</v>
      </c>
      <c r="C946" s="3974" t="s">
        <v>319</v>
      </c>
      <c r="D946" s="5484"/>
      <c r="E946" s="6994" t="s">
        <v>32</v>
      </c>
      <c r="F946" s="8504" t="s">
        <v>320</v>
      </c>
      <c r="G946" s="10014" t="s">
        <v>15</v>
      </c>
      <c r="H946" s="11524">
        <v>4</v>
      </c>
      <c r="I946" s="13034" t="s">
        <v>16</v>
      </c>
      <c r="J946" s="13600" t="str">
        <f>HYPERLINK("\\192.168.170.18\drawings\2-Basic Components\0000-342 - Pipe Holders\0000-342-274-- - DN125 Pipeholder for bottom mounting.pdf", "PDF")</f>
        <v>PDF</v>
      </c>
    </row>
    <row r="947" spans="1:10" ht="15.75" outlineLevel="2">
      <c r="A947" s="955" t="s">
        <v>1806</v>
      </c>
      <c r="B947" s="2465" t="s">
        <v>322</v>
      </c>
      <c r="C947" s="3975" t="s">
        <v>323</v>
      </c>
      <c r="D947" s="5485"/>
      <c r="E947" s="6995" t="s">
        <v>32</v>
      </c>
      <c r="F947" s="8505" t="s">
        <v>324</v>
      </c>
      <c r="G947" s="10015" t="s">
        <v>15</v>
      </c>
      <c r="H947" s="11525">
        <v>3</v>
      </c>
      <c r="I947" s="13035" t="s">
        <v>16</v>
      </c>
      <c r="J947" s="13600" t="str">
        <f>HYPERLINK("\\192.168.170.18\drawings\2-Basic Components\0000-301 - Tank Connection\0000-301-123-- - TC- Flange Elbow DN200 PN10 L=450 - BM.pdf", "PDF")</f>
        <v>PDF</v>
      </c>
    </row>
    <row r="948" spans="1:10" ht="15.75" outlineLevel="2">
      <c r="A948" s="956" t="s">
        <v>1807</v>
      </c>
      <c r="B948" s="2466" t="s">
        <v>326</v>
      </c>
      <c r="C948" s="3976" t="s">
        <v>327</v>
      </c>
      <c r="D948" s="5486"/>
      <c r="E948" s="6996" t="s">
        <v>32</v>
      </c>
      <c r="F948" s="8506" t="s">
        <v>328</v>
      </c>
      <c r="G948" s="10016" t="s">
        <v>15</v>
      </c>
      <c r="H948" s="11526">
        <v>6</v>
      </c>
      <c r="I948" s="13036" t="s">
        <v>16</v>
      </c>
      <c r="J948" s="13600" t="str">
        <f>HYPERLINK("\\192.168.170.18\drawings\2-Basic Components\0000-301 - Tank Connection\0000-301-124-- - TC- Flange DN200 PN10 L=330 - BM.pdf", "PDF")</f>
        <v>PDF</v>
      </c>
    </row>
    <row r="949" spans="1:10" ht="15.75" outlineLevel="2">
      <c r="A949" s="957" t="s">
        <v>1808</v>
      </c>
      <c r="B949" s="2467" t="s">
        <v>330</v>
      </c>
      <c r="C949" s="3977" t="s">
        <v>331</v>
      </c>
      <c r="D949" s="5487"/>
      <c r="E949" s="6997" t="s">
        <v>32</v>
      </c>
      <c r="F949" s="8507" t="s">
        <v>332</v>
      </c>
      <c r="G949" s="10017" t="s">
        <v>15</v>
      </c>
      <c r="H949" s="11527">
        <v>3</v>
      </c>
      <c r="I949" s="13037" t="s">
        <v>16</v>
      </c>
      <c r="J949" s="13600" t="str">
        <f>HYPERLINK("\\192.168.170.18\drawings\2-Basic Components\0000-321 - Straight Connection\0000-321-157-- - Biomass - Straigth Connection - DN200x6m.pdf", "PDF")</f>
        <v>PDF</v>
      </c>
    </row>
    <row r="950" spans="1:10" outlineLevel="2">
      <c r="A950" s="958" t="s">
        <v>1809</v>
      </c>
      <c r="B950" s="2468" t="s">
        <v>334</v>
      </c>
      <c r="C950" s="3978" t="s">
        <v>335</v>
      </c>
      <c r="D950" s="5488"/>
      <c r="E950" s="6998" t="s">
        <v>32</v>
      </c>
      <c r="F950" s="8508" t="s">
        <v>336</v>
      </c>
      <c r="G950" s="10018" t="s">
        <v>15</v>
      </c>
      <c r="H950" s="11528">
        <v>12</v>
      </c>
      <c r="I950" s="13038" t="s">
        <v>16</v>
      </c>
      <c r="J950" t="s">
        <v>28</v>
      </c>
    </row>
    <row r="951" spans="1:10" outlineLevel="2">
      <c r="A951" s="959" t="s">
        <v>1810</v>
      </c>
      <c r="B951" s="2469" t="s">
        <v>1811</v>
      </c>
      <c r="C951" s="3979" t="s">
        <v>488</v>
      </c>
      <c r="D951" s="5489" t="s">
        <v>340</v>
      </c>
      <c r="E951" s="6999" t="s">
        <v>341</v>
      </c>
      <c r="F951" s="8509" t="s">
        <v>1812</v>
      </c>
      <c r="G951" s="10019" t="s">
        <v>15</v>
      </c>
      <c r="H951" s="11529">
        <v>1</v>
      </c>
      <c r="I951" s="13039" t="s">
        <v>16</v>
      </c>
      <c r="J951" t="s">
        <v>28</v>
      </c>
    </row>
    <row r="952" spans="1:10" ht="15.75" outlineLevel="2">
      <c r="A952" s="960" t="s">
        <v>1813</v>
      </c>
      <c r="B952" s="2470" t="s">
        <v>344</v>
      </c>
      <c r="C952" s="3980" t="s">
        <v>345</v>
      </c>
      <c r="D952" s="5490" t="s">
        <v>346</v>
      </c>
      <c r="E952" s="7000" t="s">
        <v>32</v>
      </c>
      <c r="F952" s="8510" t="s">
        <v>347</v>
      </c>
      <c r="G952" s="10020" t="s">
        <v>15</v>
      </c>
      <c r="H952" s="11530">
        <v>1</v>
      </c>
      <c r="I952" s="13040" t="s">
        <v>16</v>
      </c>
      <c r="J952" s="13600" t="str">
        <f>HYPERLINK("\\192.168.170.18\drawings\2-Basic Components\0000-315 - Central Flange\0000-315-005-A - Central flange 5200 - DN250 assembly.pdf", "PDF")</f>
        <v>PDF</v>
      </c>
    </row>
    <row r="953" spans="1:10" ht="15.75" outlineLevel="2">
      <c r="A953" s="961" t="s">
        <v>1814</v>
      </c>
      <c r="B953" s="2471" t="s">
        <v>349</v>
      </c>
      <c r="C953" s="3981" t="s">
        <v>350</v>
      </c>
      <c r="D953" s="5491" t="s">
        <v>304</v>
      </c>
      <c r="E953" s="7001" t="s">
        <v>32</v>
      </c>
      <c r="F953" s="8511" t="s">
        <v>351</v>
      </c>
      <c r="G953" s="10021" t="s">
        <v>15</v>
      </c>
      <c r="H953" s="11531">
        <v>3</v>
      </c>
      <c r="I953" s="13041" t="s">
        <v>16</v>
      </c>
      <c r="J953" s="13600" t="str">
        <f>HYPERLINK("\\192.168.170.18\drawings\2-Basic Components\0000-321 - Straight Connection\0000-321-158-A - Outlet Pipe DN200 - Biomass.pdf", "PDF")</f>
        <v>PDF</v>
      </c>
    </row>
    <row r="954" spans="1:10" ht="15.75" outlineLevel="2">
      <c r="A954" s="962" t="s">
        <v>1815</v>
      </c>
      <c r="B954" s="2472" t="s">
        <v>353</v>
      </c>
      <c r="C954" s="3982" t="s">
        <v>354</v>
      </c>
      <c r="D954" s="5492" t="s">
        <v>304</v>
      </c>
      <c r="E954" s="7002" t="s">
        <v>32</v>
      </c>
      <c r="F954" s="8512" t="s">
        <v>355</v>
      </c>
      <c r="G954" s="10022" t="s">
        <v>15</v>
      </c>
      <c r="H954" s="11532">
        <v>1</v>
      </c>
      <c r="I954" s="13042" t="s">
        <v>16</v>
      </c>
      <c r="J954" s="13600" t="str">
        <f>HYPERLINK("\\192.168.170.18\drawings\2-Basic Components\0000-321 - Straight Connection\0000-321-108-A - Outlet pipe DN125 - Biomass.pdf", "PDF")</f>
        <v>PDF</v>
      </c>
    </row>
    <row r="955" spans="1:10" outlineLevel="2">
      <c r="A955" s="963" t="s">
        <v>1816</v>
      </c>
      <c r="B955" s="2473" t="s">
        <v>357</v>
      </c>
      <c r="C955" s="3983" t="s">
        <v>358</v>
      </c>
      <c r="D955" s="5493" t="s">
        <v>359</v>
      </c>
      <c r="E955" s="7003" t="s">
        <v>32</v>
      </c>
      <c r="F955" s="8513" t="s">
        <v>360</v>
      </c>
      <c r="G955" s="10023" t="s">
        <v>15</v>
      </c>
      <c r="H955" s="11533">
        <v>2</v>
      </c>
      <c r="I955" s="13043" t="s">
        <v>16</v>
      </c>
      <c r="J955" t="s">
        <v>28</v>
      </c>
    </row>
    <row r="956" spans="1:10" outlineLevel="2">
      <c r="A956" s="964" t="s">
        <v>1817</v>
      </c>
      <c r="B956" s="2474" t="s">
        <v>357</v>
      </c>
      <c r="C956" s="3984" t="s">
        <v>362</v>
      </c>
      <c r="D956" s="5494" t="s">
        <v>363</v>
      </c>
      <c r="E956" s="7004" t="s">
        <v>128</v>
      </c>
      <c r="F956" s="8514" t="s">
        <v>364</v>
      </c>
      <c r="G956" s="10024" t="s">
        <v>15</v>
      </c>
      <c r="H956" s="11534">
        <v>2</v>
      </c>
      <c r="I956" s="13044" t="s">
        <v>16</v>
      </c>
      <c r="J956" t="s">
        <v>28</v>
      </c>
    </row>
    <row r="957" spans="1:10" outlineLevel="2">
      <c r="A957" s="965" t="s">
        <v>1818</v>
      </c>
      <c r="B957" s="2475" t="s">
        <v>357</v>
      </c>
      <c r="C957" s="3985" t="s">
        <v>366</v>
      </c>
      <c r="D957" s="5495" t="s">
        <v>367</v>
      </c>
      <c r="E957" s="7005" t="s">
        <v>32</v>
      </c>
      <c r="F957" s="8515" t="s">
        <v>368</v>
      </c>
      <c r="G957" s="10025" t="s">
        <v>15</v>
      </c>
      <c r="H957" s="11535">
        <v>4</v>
      </c>
      <c r="I957" s="13045" t="s">
        <v>16</v>
      </c>
      <c r="J957" t="s">
        <v>28</v>
      </c>
    </row>
    <row r="958" spans="1:10" outlineLevel="2">
      <c r="A958" s="966" t="s">
        <v>1819</v>
      </c>
      <c r="B958" s="2476" t="s">
        <v>357</v>
      </c>
      <c r="C958" s="3986" t="s">
        <v>370</v>
      </c>
      <c r="D958" s="5496"/>
      <c r="E958" s="7006" t="s">
        <v>32</v>
      </c>
      <c r="F958" s="8516" t="s">
        <v>371</v>
      </c>
      <c r="G958" s="10026" t="s">
        <v>15</v>
      </c>
      <c r="H958" s="11536">
        <v>2</v>
      </c>
      <c r="I958" s="13046" t="s">
        <v>16</v>
      </c>
      <c r="J958" t="s">
        <v>28</v>
      </c>
    </row>
    <row r="959" spans="1:10" outlineLevel="2">
      <c r="A959" s="967" t="s">
        <v>1820</v>
      </c>
      <c r="B959" s="2477" t="s">
        <v>357</v>
      </c>
      <c r="C959" s="3987" t="s">
        <v>373</v>
      </c>
      <c r="D959" s="5497"/>
      <c r="E959" s="7007" t="s">
        <v>32</v>
      </c>
      <c r="F959" s="8517" t="s">
        <v>374</v>
      </c>
      <c r="G959" s="10027" t="s">
        <v>15</v>
      </c>
      <c r="H959" s="11537">
        <v>4</v>
      </c>
      <c r="I959" s="13047" t="s">
        <v>16</v>
      </c>
      <c r="J959" t="s">
        <v>28</v>
      </c>
    </row>
    <row r="960" spans="1:10" outlineLevel="2">
      <c r="A960" s="968" t="s">
        <v>1821</v>
      </c>
      <c r="B960" s="2478" t="s">
        <v>247</v>
      </c>
      <c r="C960" s="3988" t="s">
        <v>311</v>
      </c>
      <c r="D960" s="5498"/>
      <c r="E960" s="7008" t="s">
        <v>83</v>
      </c>
      <c r="F960" s="8518" t="s">
        <v>376</v>
      </c>
      <c r="G960" s="10028" t="s">
        <v>27</v>
      </c>
      <c r="H960" s="11538">
        <v>4</v>
      </c>
      <c r="I960" s="13048"/>
      <c r="J960" t="s">
        <v>28</v>
      </c>
    </row>
    <row r="961" spans="1:10" outlineLevel="2">
      <c r="A961" s="969" t="s">
        <v>1822</v>
      </c>
      <c r="B961" s="2479" t="s">
        <v>247</v>
      </c>
      <c r="C961" s="3989" t="s">
        <v>378</v>
      </c>
      <c r="D961" s="5499"/>
      <c r="E961" s="7009" t="s">
        <v>32</v>
      </c>
      <c r="F961" s="8519" t="s">
        <v>379</v>
      </c>
      <c r="G961" s="10029" t="s">
        <v>27</v>
      </c>
      <c r="H961" s="11539">
        <v>2</v>
      </c>
      <c r="I961" s="13049"/>
      <c r="J961" t="s">
        <v>28</v>
      </c>
    </row>
    <row r="962" spans="1:10" outlineLevel="2">
      <c r="A962" s="970" t="s">
        <v>1823</v>
      </c>
      <c r="B962" s="2480" t="s">
        <v>357</v>
      </c>
      <c r="C962" s="3990" t="s">
        <v>381</v>
      </c>
      <c r="D962" s="5500" t="s">
        <v>382</v>
      </c>
      <c r="E962" s="7010" t="s">
        <v>32</v>
      </c>
      <c r="F962" s="8520" t="s">
        <v>383</v>
      </c>
      <c r="G962" s="10030" t="s">
        <v>15</v>
      </c>
      <c r="H962" s="11540">
        <v>2</v>
      </c>
      <c r="I962" s="13050" t="s">
        <v>16</v>
      </c>
      <c r="J962" t="s">
        <v>28</v>
      </c>
    </row>
    <row r="963" spans="1:10" outlineLevel="2">
      <c r="A963" s="971" t="s">
        <v>1824</v>
      </c>
      <c r="B963" s="2481" t="s">
        <v>247</v>
      </c>
      <c r="C963" s="3991" t="s">
        <v>385</v>
      </c>
      <c r="D963" s="5501" t="s">
        <v>386</v>
      </c>
      <c r="E963" s="7011" t="s">
        <v>25</v>
      </c>
      <c r="F963" s="8521" t="s">
        <v>387</v>
      </c>
      <c r="G963" s="10031" t="s">
        <v>27</v>
      </c>
      <c r="H963" s="11541">
        <v>2</v>
      </c>
      <c r="I963" s="13051" t="s">
        <v>16</v>
      </c>
      <c r="J963" t="s">
        <v>28</v>
      </c>
    </row>
    <row r="964" spans="1:10" outlineLevel="2">
      <c r="A964" s="972" t="s">
        <v>1825</v>
      </c>
      <c r="B964" s="2482" t="s">
        <v>247</v>
      </c>
      <c r="C964" s="3992" t="s">
        <v>389</v>
      </c>
      <c r="D964" s="5502"/>
      <c r="E964" s="7012" t="s">
        <v>83</v>
      </c>
      <c r="F964" s="8522" t="s">
        <v>390</v>
      </c>
      <c r="G964" s="10032" t="s">
        <v>27</v>
      </c>
      <c r="H964" s="11542">
        <v>6</v>
      </c>
      <c r="I964" s="13052"/>
      <c r="J964" t="s">
        <v>28</v>
      </c>
    </row>
    <row r="965" spans="1:10" outlineLevel="2">
      <c r="A965" s="973" t="s">
        <v>1826</v>
      </c>
      <c r="B965" s="2483" t="s">
        <v>243</v>
      </c>
      <c r="C965" s="3993" t="s">
        <v>392</v>
      </c>
      <c r="D965" s="5503"/>
      <c r="E965" s="7013" t="s">
        <v>32</v>
      </c>
      <c r="F965" s="8523" t="s">
        <v>393</v>
      </c>
      <c r="G965" s="10033" t="s">
        <v>15</v>
      </c>
      <c r="H965" s="11543">
        <v>6</v>
      </c>
      <c r="I965" s="13053" t="s">
        <v>16</v>
      </c>
      <c r="J965" t="s">
        <v>28</v>
      </c>
    </row>
    <row r="966" spans="1:10" outlineLevel="1">
      <c r="A966" s="974" t="s">
        <v>1827</v>
      </c>
      <c r="B966" s="2484" t="s">
        <v>1828</v>
      </c>
      <c r="C966" s="3994" t="s">
        <v>152</v>
      </c>
      <c r="D966" s="5504" t="s">
        <v>13</v>
      </c>
      <c r="E966" s="7014" t="s">
        <v>153</v>
      </c>
      <c r="F966" s="8524" t="s">
        <v>1829</v>
      </c>
      <c r="G966" s="10034" t="s">
        <v>15</v>
      </c>
      <c r="H966" s="11544">
        <v>1</v>
      </c>
      <c r="I966" s="13054" t="s">
        <v>16</v>
      </c>
      <c r="J966" t="s">
        <v>28</v>
      </c>
    </row>
    <row r="967" spans="1:10" outlineLevel="1">
      <c r="A967" s="975" t="s">
        <v>1830</v>
      </c>
      <c r="B967" s="2485" t="s">
        <v>402</v>
      </c>
      <c r="C967" s="3995" t="s">
        <v>403</v>
      </c>
      <c r="D967" s="5505" t="s">
        <v>13</v>
      </c>
      <c r="E967" s="7015" t="s">
        <v>153</v>
      </c>
      <c r="F967" s="8525" t="s">
        <v>404</v>
      </c>
      <c r="G967" s="10035" t="s">
        <v>15</v>
      </c>
      <c r="H967" s="11545">
        <v>1</v>
      </c>
      <c r="I967" s="13055" t="s">
        <v>16</v>
      </c>
      <c r="J967" t="s">
        <v>28</v>
      </c>
    </row>
    <row r="968" spans="1:10" ht="15.75" outlineLevel="1">
      <c r="A968" s="976" t="s">
        <v>1831</v>
      </c>
      <c r="B968" s="2486" t="s">
        <v>1832</v>
      </c>
      <c r="C968" s="3996" t="s">
        <v>157</v>
      </c>
      <c r="D968" s="5506" t="s">
        <v>1833</v>
      </c>
      <c r="E968" s="7016"/>
      <c r="F968" s="8526" t="s">
        <v>1834</v>
      </c>
      <c r="G968" s="10036" t="s">
        <v>15</v>
      </c>
      <c r="H968" s="11546">
        <v>1</v>
      </c>
      <c r="I968" s="13056" t="s">
        <v>16</v>
      </c>
      <c r="J968" s="13600" t="str">
        <f>HYPERLINK("\\192.168.170.18\drawings\5-Projects\2500 - Aabenraa\Area 04 - Digester Area\Eqiupment\2500-615 Digester\2500-615-007-- - Digester - Assembly - 9500m³.pdf", "PDF")</f>
        <v>PDF</v>
      </c>
    </row>
    <row r="969" spans="1:10" ht="15.75" outlineLevel="2">
      <c r="A969" s="977" t="s">
        <v>1835</v>
      </c>
      <c r="B969" s="2487" t="s">
        <v>1836</v>
      </c>
      <c r="C969" s="3997" t="s">
        <v>161</v>
      </c>
      <c r="D969" s="5507" t="s">
        <v>1837</v>
      </c>
      <c r="E969" s="7017"/>
      <c r="F969" s="8527" t="s">
        <v>1838</v>
      </c>
      <c r="G969" s="10037" t="s">
        <v>15</v>
      </c>
      <c r="H969" s="11547">
        <v>1</v>
      </c>
      <c r="I969" s="13057" t="s">
        <v>16</v>
      </c>
      <c r="J969" s="13600" t="str">
        <f>HYPERLINK("\\192.168.170.18\drawings\5-Projects\2500 - Aabenraa\Area 04 - Digester Area\Eqiupment\2500-615 Digester\2500-615-907-- - Digester 9500m³.pdf", "PDF")</f>
        <v>PDF</v>
      </c>
    </row>
    <row r="970" spans="1:10" outlineLevel="3">
      <c r="A970" s="978" t="s">
        <v>1839</v>
      </c>
      <c r="B970" s="2488" t="s">
        <v>1840</v>
      </c>
      <c r="C970" s="3998" t="s">
        <v>166</v>
      </c>
      <c r="D970" s="5508"/>
      <c r="E970" s="7018" t="s">
        <v>32</v>
      </c>
      <c r="F970" s="8528" t="s">
        <v>1841</v>
      </c>
      <c r="G970" s="10038" t="s">
        <v>15</v>
      </c>
      <c r="H970" s="11548">
        <v>1</v>
      </c>
      <c r="I970" s="13058" t="s">
        <v>16</v>
      </c>
      <c r="J970" t="s">
        <v>28</v>
      </c>
    </row>
    <row r="971" spans="1:10" outlineLevel="3">
      <c r="A971" s="979" t="s">
        <v>1842</v>
      </c>
      <c r="B971" s="2489" t="s">
        <v>1843</v>
      </c>
      <c r="C971" s="3999" t="s">
        <v>170</v>
      </c>
      <c r="D971" s="5509"/>
      <c r="E971" s="7019" t="s">
        <v>32</v>
      </c>
      <c r="F971" s="8529" t="s">
        <v>1844</v>
      </c>
      <c r="G971" s="10039" t="s">
        <v>15</v>
      </c>
      <c r="H971" s="11549">
        <v>1</v>
      </c>
      <c r="I971" s="13059" t="s">
        <v>16</v>
      </c>
      <c r="J971" t="s">
        <v>28</v>
      </c>
    </row>
    <row r="972" spans="1:10" outlineLevel="3">
      <c r="A972" s="980" t="s">
        <v>1845</v>
      </c>
      <c r="B972" s="2490" t="s">
        <v>1846</v>
      </c>
      <c r="C972" s="4000" t="s">
        <v>174</v>
      </c>
      <c r="D972" s="5510"/>
      <c r="E972" s="7020" t="s">
        <v>41</v>
      </c>
      <c r="F972" s="8530" t="s">
        <v>1847</v>
      </c>
      <c r="G972" s="10040" t="s">
        <v>15</v>
      </c>
      <c r="H972" s="11550">
        <v>1</v>
      </c>
      <c r="I972" s="13060" t="s">
        <v>16</v>
      </c>
      <c r="J972" t="s">
        <v>28</v>
      </c>
    </row>
    <row r="973" spans="1:10" outlineLevel="3">
      <c r="A973" s="981" t="s">
        <v>1848</v>
      </c>
      <c r="B973" s="2491" t="s">
        <v>1849</v>
      </c>
      <c r="C973" s="4001" t="s">
        <v>178</v>
      </c>
      <c r="D973" s="5511"/>
      <c r="E973" s="7021" t="s">
        <v>32</v>
      </c>
      <c r="F973" s="8531" t="s">
        <v>1850</v>
      </c>
      <c r="G973" s="10041" t="s">
        <v>15</v>
      </c>
      <c r="H973" s="11551">
        <v>1</v>
      </c>
      <c r="I973" s="13061" t="s">
        <v>16</v>
      </c>
      <c r="J973" t="s">
        <v>28</v>
      </c>
    </row>
    <row r="974" spans="1:10" outlineLevel="3">
      <c r="A974" s="982" t="s">
        <v>1851</v>
      </c>
      <c r="B974" s="2492" t="s">
        <v>1852</v>
      </c>
      <c r="C974" s="4002"/>
      <c r="D974" s="5512"/>
      <c r="E974" s="7022" t="s">
        <v>182</v>
      </c>
      <c r="F974" s="8532" t="s">
        <v>1853</v>
      </c>
      <c r="G974" s="10042" t="s">
        <v>15</v>
      </c>
      <c r="H974" s="11552">
        <v>1</v>
      </c>
      <c r="I974" s="13062" t="s">
        <v>16</v>
      </c>
      <c r="J974" t="s">
        <v>28</v>
      </c>
    </row>
    <row r="975" spans="1:10" outlineLevel="3">
      <c r="A975" s="983" t="s">
        <v>1854</v>
      </c>
      <c r="B975" s="2493" t="s">
        <v>1855</v>
      </c>
      <c r="C975" s="4003" t="s">
        <v>186</v>
      </c>
      <c r="D975" s="5513"/>
      <c r="E975" s="7023" t="s">
        <v>32</v>
      </c>
      <c r="F975" s="8533" t="s">
        <v>1856</v>
      </c>
      <c r="G975" s="10043" t="s">
        <v>15</v>
      </c>
      <c r="H975" s="11553">
        <v>1</v>
      </c>
      <c r="I975" s="13063" t="s">
        <v>16</v>
      </c>
      <c r="J975" t="s">
        <v>28</v>
      </c>
    </row>
    <row r="976" spans="1:10" outlineLevel="2">
      <c r="A976" s="984" t="s">
        <v>1857</v>
      </c>
      <c r="B976" s="2494" t="s">
        <v>81</v>
      </c>
      <c r="C976" s="4004" t="s">
        <v>82</v>
      </c>
      <c r="D976" s="5514"/>
      <c r="E976" s="7024" t="s">
        <v>83</v>
      </c>
      <c r="F976" s="8534" t="s">
        <v>84</v>
      </c>
      <c r="G976" s="10044" t="s">
        <v>27</v>
      </c>
      <c r="H976" s="11554">
        <v>2</v>
      </c>
      <c r="I976" s="13064"/>
      <c r="J976" t="s">
        <v>28</v>
      </c>
    </row>
    <row r="977" spans="1:10" outlineLevel="2">
      <c r="A977" s="985" t="s">
        <v>1858</v>
      </c>
      <c r="B977" s="2495" t="s">
        <v>190</v>
      </c>
      <c r="C977" s="4005" t="s">
        <v>191</v>
      </c>
      <c r="D977" s="5515"/>
      <c r="E977" s="7025" t="s">
        <v>16</v>
      </c>
      <c r="F977" s="8535" t="s">
        <v>192</v>
      </c>
      <c r="G977" s="10045" t="s">
        <v>27</v>
      </c>
      <c r="H977" s="11555">
        <v>1</v>
      </c>
      <c r="I977" s="13065"/>
      <c r="J977" t="s">
        <v>28</v>
      </c>
    </row>
    <row r="978" spans="1:10" outlineLevel="2">
      <c r="A978" s="986" t="s">
        <v>1859</v>
      </c>
      <c r="B978" s="2496" t="s">
        <v>194</v>
      </c>
      <c r="C978" s="4006" t="s">
        <v>195</v>
      </c>
      <c r="D978" s="5516"/>
      <c r="E978" s="7026" t="s">
        <v>16</v>
      </c>
      <c r="F978" s="8536" t="s">
        <v>196</v>
      </c>
      <c r="G978" s="10046" t="s">
        <v>27</v>
      </c>
      <c r="H978" s="11556">
        <v>2</v>
      </c>
      <c r="I978" s="13066"/>
      <c r="J978" t="s">
        <v>28</v>
      </c>
    </row>
    <row r="979" spans="1:10" outlineLevel="2">
      <c r="A979" s="987" t="s">
        <v>1860</v>
      </c>
      <c r="B979" s="2497" t="s">
        <v>81</v>
      </c>
      <c r="C979" s="4007" t="s">
        <v>198</v>
      </c>
      <c r="D979" s="5517"/>
      <c r="E979" s="7027" t="s">
        <v>32</v>
      </c>
      <c r="F979" s="8537" t="s">
        <v>199</v>
      </c>
      <c r="G979" s="10047" t="s">
        <v>15</v>
      </c>
      <c r="H979" s="11557">
        <v>2</v>
      </c>
      <c r="I979" s="13067"/>
      <c r="J979" t="s">
        <v>28</v>
      </c>
    </row>
    <row r="980" spans="1:10" outlineLevel="2">
      <c r="A980" s="988" t="s">
        <v>1861</v>
      </c>
      <c r="B980" s="2498" t="s">
        <v>201</v>
      </c>
      <c r="C980" s="4008" t="s">
        <v>202</v>
      </c>
      <c r="D980" s="5518"/>
      <c r="E980" s="7028" t="s">
        <v>203</v>
      </c>
      <c r="F980" s="8538" t="s">
        <v>204</v>
      </c>
      <c r="G980" s="10048" t="s">
        <v>27</v>
      </c>
      <c r="H980" s="11558">
        <v>3</v>
      </c>
      <c r="I980" s="13068" t="s">
        <v>16</v>
      </c>
      <c r="J980" t="s">
        <v>28</v>
      </c>
    </row>
    <row r="981" spans="1:10" outlineLevel="2">
      <c r="A981" s="989" t="s">
        <v>1862</v>
      </c>
      <c r="B981" s="2499" t="s">
        <v>206</v>
      </c>
      <c r="C981" s="4009" t="s">
        <v>207</v>
      </c>
      <c r="D981" s="5519"/>
      <c r="E981" s="7029" t="s">
        <v>208</v>
      </c>
      <c r="F981" s="8539" t="s">
        <v>209</v>
      </c>
      <c r="G981" s="10049" t="s">
        <v>27</v>
      </c>
      <c r="H981" s="11559">
        <v>2</v>
      </c>
      <c r="I981" s="13069" t="s">
        <v>16</v>
      </c>
      <c r="J981" t="s">
        <v>28</v>
      </c>
    </row>
    <row r="982" spans="1:10" outlineLevel="2">
      <c r="A982" s="990" t="s">
        <v>1863</v>
      </c>
      <c r="B982" s="2500" t="s">
        <v>247</v>
      </c>
      <c r="C982" s="4010" t="s">
        <v>444</v>
      </c>
      <c r="D982" s="5520" t="s">
        <v>445</v>
      </c>
      <c r="E982" s="7030" t="s">
        <v>25</v>
      </c>
      <c r="F982" s="8540" t="s">
        <v>446</v>
      </c>
      <c r="G982" s="10050" t="s">
        <v>27</v>
      </c>
      <c r="H982" s="11560">
        <v>3</v>
      </c>
      <c r="I982" s="13070" t="s">
        <v>16</v>
      </c>
      <c r="J982" t="s">
        <v>28</v>
      </c>
    </row>
    <row r="983" spans="1:10" ht="15.75" outlineLevel="2">
      <c r="A983" s="991" t="s">
        <v>1864</v>
      </c>
      <c r="B983" s="2501" t="s">
        <v>211</v>
      </c>
      <c r="C983" s="4011" t="s">
        <v>212</v>
      </c>
      <c r="D983" s="5521"/>
      <c r="E983" s="7031" t="s">
        <v>32</v>
      </c>
      <c r="F983" s="8541" t="s">
        <v>213</v>
      </c>
      <c r="G983" s="10051" t="s">
        <v>15</v>
      </c>
      <c r="H983" s="11561">
        <v>2</v>
      </c>
      <c r="I983" s="13071" t="s">
        <v>16</v>
      </c>
      <c r="J983" s="13600" t="str">
        <f>HYPERLINK("\\192.168.170.18\drawings\2-Basic Components\0000-301 - Tank Connection\0000-301-038-A - TC- Flange DN40 - 1½'' L=200- BM.pdf", "PDF")</f>
        <v>PDF</v>
      </c>
    </row>
    <row r="984" spans="1:10" ht="15.75" outlineLevel="2">
      <c r="A984" s="992" t="s">
        <v>1865</v>
      </c>
      <c r="B984" s="2502" t="s">
        <v>215</v>
      </c>
      <c r="C984" s="4012" t="s">
        <v>216</v>
      </c>
      <c r="D984" s="5522"/>
      <c r="E984" s="7032" t="s">
        <v>32</v>
      </c>
      <c r="F984" s="8542" t="s">
        <v>217</v>
      </c>
      <c r="G984" s="10052" t="s">
        <v>15</v>
      </c>
      <c r="H984" s="11562">
        <v>3</v>
      </c>
      <c r="I984" s="13072" t="s">
        <v>16</v>
      </c>
      <c r="J984" s="13600" t="str">
        <f>HYPERLINK("\\192.168.170.18\drawings\2-Basic Components\0000-301 - Tank Connection\0000-301-037-- - TC- Socket DN15-½'' L=168- BM.pdf", "PDF")</f>
        <v>PDF</v>
      </c>
    </row>
    <row r="985" spans="1:10" ht="15.75" outlineLevel="2">
      <c r="A985" s="993" t="s">
        <v>1866</v>
      </c>
      <c r="B985" s="2503" t="s">
        <v>219</v>
      </c>
      <c r="C985" s="4013" t="s">
        <v>220</v>
      </c>
      <c r="D985" s="5523"/>
      <c r="E985" s="7033" t="s">
        <v>32</v>
      </c>
      <c r="F985" s="8543" t="s">
        <v>221</v>
      </c>
      <c r="G985" s="10053" t="s">
        <v>15</v>
      </c>
      <c r="H985" s="11563">
        <v>3</v>
      </c>
      <c r="I985" s="13073" t="s">
        <v>16</v>
      </c>
      <c r="J985" s="13600" t="str">
        <f>HYPERLINK("\\192.168.170.18\drawings\2-Basic Components\0000-301 - Tank Connection\0000-301-001-A - TC - Nipple DN15 - ½'' L=40- BG.pdf", "PDF")</f>
        <v>PDF</v>
      </c>
    </row>
    <row r="986" spans="1:10" ht="15.75" outlineLevel="2">
      <c r="A986" s="994" t="s">
        <v>1867</v>
      </c>
      <c r="B986" s="2504" t="s">
        <v>223</v>
      </c>
      <c r="C986" s="4014" t="s">
        <v>224</v>
      </c>
      <c r="D986" s="5524"/>
      <c r="E986" s="7034" t="s">
        <v>32</v>
      </c>
      <c r="F986" s="8544" t="s">
        <v>225</v>
      </c>
      <c r="G986" s="10054" t="s">
        <v>15</v>
      </c>
      <c r="H986" s="11564">
        <v>17</v>
      </c>
      <c r="I986" s="13074" t="s">
        <v>16</v>
      </c>
      <c r="J986" s="13600" t="str">
        <f>HYPERLINK("\\192.168.170.18\drawings\2-Basic Components\0000-342 - Pipe Holders\0000-342-022-- - Pipe holder foot L=400.pdf", "PDF")</f>
        <v>PDF</v>
      </c>
    </row>
    <row r="987" spans="1:10" outlineLevel="2">
      <c r="A987" s="995" t="s">
        <v>1868</v>
      </c>
      <c r="B987" s="2505" t="s">
        <v>227</v>
      </c>
      <c r="C987" s="4015" t="s">
        <v>228</v>
      </c>
      <c r="D987" s="5525"/>
      <c r="E987" s="7035" t="s">
        <v>32</v>
      </c>
      <c r="F987" s="8545" t="s">
        <v>229</v>
      </c>
      <c r="G987" s="10055" t="s">
        <v>15</v>
      </c>
      <c r="H987" s="11565">
        <v>1</v>
      </c>
      <c r="I987" s="13075" t="s">
        <v>16</v>
      </c>
      <c r="J987" t="s">
        <v>28</v>
      </c>
    </row>
    <row r="988" spans="1:10" outlineLevel="2">
      <c r="A988" s="996" t="s">
        <v>1869</v>
      </c>
      <c r="B988" s="2506" t="s">
        <v>227</v>
      </c>
      <c r="C988" s="4016" t="s">
        <v>231</v>
      </c>
      <c r="D988" s="5526"/>
      <c r="E988" s="7036" t="s">
        <v>32</v>
      </c>
      <c r="F988" s="8546" t="s">
        <v>232</v>
      </c>
      <c r="G988" s="10056" t="s">
        <v>15</v>
      </c>
      <c r="H988" s="11566">
        <v>1</v>
      </c>
      <c r="I988" s="13076" t="s">
        <v>16</v>
      </c>
      <c r="J988" t="s">
        <v>28</v>
      </c>
    </row>
    <row r="989" spans="1:10" ht="15.75" outlineLevel="2">
      <c r="A989" s="997" t="s">
        <v>1870</v>
      </c>
      <c r="B989" s="2507" t="s">
        <v>234</v>
      </c>
      <c r="C989" s="4017" t="s">
        <v>235</v>
      </c>
      <c r="D989" s="5527" t="s">
        <v>236</v>
      </c>
      <c r="E989" s="7037" t="s">
        <v>32</v>
      </c>
      <c r="F989" s="8547" t="s">
        <v>237</v>
      </c>
      <c r="G989" s="10057" t="s">
        <v>15</v>
      </c>
      <c r="H989" s="11567">
        <v>2</v>
      </c>
      <c r="I989" s="13077" t="s">
        <v>16</v>
      </c>
      <c r="J989" s="13600" t="str">
        <f>HYPERLINK("\\192.168.170.18\drawings\2-Basic Components\0000-310 - Sightglass\0000-310-005-A - Sightglass w.Wiper - DN200 PN0 - Welded.pdf", "PDF")</f>
        <v>PDF</v>
      </c>
    </row>
    <row r="990" spans="1:10" ht="15.75" outlineLevel="2">
      <c r="A990" s="998" t="s">
        <v>1871</v>
      </c>
      <c r="B990" s="2508" t="s">
        <v>239</v>
      </c>
      <c r="C990" s="4018" t="s">
        <v>240</v>
      </c>
      <c r="D990" s="5528"/>
      <c r="E990" s="7038" t="s">
        <v>32</v>
      </c>
      <c r="F990" s="8548" t="s">
        <v>241</v>
      </c>
      <c r="G990" s="10058" t="s">
        <v>15</v>
      </c>
      <c r="H990" s="11568">
        <v>52</v>
      </c>
      <c r="I990" s="13078" t="s">
        <v>16</v>
      </c>
      <c r="J990" s="13600" t="str">
        <f>HYPERLINK("\\192.168.170.18\drawings\2-Basic Components\0000-342 - Pipe Holders\0000-342-034-- - Pipe holder foot L=300.pdf", "PDF")</f>
        <v>PDF</v>
      </c>
    </row>
    <row r="991" spans="1:10" ht="15.75" outlineLevel="2">
      <c r="A991" s="999" t="s">
        <v>1872</v>
      </c>
      <c r="B991" s="2509" t="s">
        <v>251</v>
      </c>
      <c r="C991" s="4019" t="s">
        <v>252</v>
      </c>
      <c r="D991" s="5529" t="s">
        <v>253</v>
      </c>
      <c r="E991" s="7039" t="s">
        <v>32</v>
      </c>
      <c r="F991" s="8549" t="s">
        <v>254</v>
      </c>
      <c r="G991" s="10059" t="s">
        <v>15</v>
      </c>
      <c r="H991" s="11569">
        <v>1</v>
      </c>
      <c r="I991" s="13079" t="s">
        <v>16</v>
      </c>
      <c r="J991" s="13600" t="str">
        <f>HYPERLINK("\\192.168.170.18\drawings\2-Basic Components\0000-314 - Agitator\0000-314-504-A - Agitator Drive.pdf", "PDF")</f>
        <v>PDF</v>
      </c>
    </row>
    <row r="992" spans="1:10" ht="15.75" outlineLevel="2">
      <c r="A992" s="1000" t="s">
        <v>1873</v>
      </c>
      <c r="B992" s="2510" t="s">
        <v>256</v>
      </c>
      <c r="C992" s="4020" t="s">
        <v>257</v>
      </c>
      <c r="D992" s="5530" t="s">
        <v>253</v>
      </c>
      <c r="E992" s="7040" t="s">
        <v>25</v>
      </c>
      <c r="F992" s="8550" t="s">
        <v>258</v>
      </c>
      <c r="G992" s="10060" t="s">
        <v>15</v>
      </c>
      <c r="H992" s="11570">
        <v>1</v>
      </c>
      <c r="I992" s="13080" t="s">
        <v>16</v>
      </c>
      <c r="J992" s="13600" t="str">
        <f>HYPERLINK("\\192.168.170.18\drawings\2-Basic Components\0000-314 - Agitator\0000-314-300-- - Agitator L=19152.pdf", "PDF")</f>
        <v>PDF</v>
      </c>
    </row>
    <row r="993" spans="1:10" outlineLevel="2">
      <c r="A993" s="1001" t="s">
        <v>1874</v>
      </c>
      <c r="B993" s="2511" t="s">
        <v>260</v>
      </c>
      <c r="C993" s="4021" t="s">
        <v>261</v>
      </c>
      <c r="D993" s="5531"/>
      <c r="E993" s="7041" t="s">
        <v>41</v>
      </c>
      <c r="F993" s="8551" t="s">
        <v>262</v>
      </c>
      <c r="G993" s="10061" t="s">
        <v>15</v>
      </c>
      <c r="H993" s="11571">
        <v>1</v>
      </c>
      <c r="I993" s="13081" t="s">
        <v>16</v>
      </c>
      <c r="J993" t="s">
        <v>28</v>
      </c>
    </row>
    <row r="994" spans="1:10" ht="15.75" outlineLevel="2">
      <c r="A994" s="1002" t="s">
        <v>1875</v>
      </c>
      <c r="B994" s="2512" t="s">
        <v>264</v>
      </c>
      <c r="C994" s="4022" t="s">
        <v>265</v>
      </c>
      <c r="D994" s="5532"/>
      <c r="E994" s="7042" t="s">
        <v>32</v>
      </c>
      <c r="F994" s="8552" t="s">
        <v>266</v>
      </c>
      <c r="G994" s="10062" t="s">
        <v>15</v>
      </c>
      <c r="H994" s="11572">
        <v>3</v>
      </c>
      <c r="I994" s="13082" t="s">
        <v>16</v>
      </c>
      <c r="J994" s="13600" t="str">
        <f>HYPERLINK("\\192.168.170.18\drawings\2-Basic Components\0000-301 - Tank Connection\0000-301-071-B - TC- Flange 15° DN50 PN10 L=170- BG.pdf", "PDF")</f>
        <v>PDF</v>
      </c>
    </row>
    <row r="995" spans="1:10" outlineLevel="2">
      <c r="A995" s="1003" t="s">
        <v>1876</v>
      </c>
      <c r="B995" s="2513" t="s">
        <v>357</v>
      </c>
      <c r="C995" s="4023" t="s">
        <v>358</v>
      </c>
      <c r="D995" s="5533" t="s">
        <v>359</v>
      </c>
      <c r="E995" s="7043" t="s">
        <v>32</v>
      </c>
      <c r="F995" s="8553" t="s">
        <v>360</v>
      </c>
      <c r="G995" s="10063" t="s">
        <v>15</v>
      </c>
      <c r="H995" s="11573">
        <v>2</v>
      </c>
      <c r="I995" s="13083" t="s">
        <v>16</v>
      </c>
      <c r="J995" t="s">
        <v>28</v>
      </c>
    </row>
    <row r="996" spans="1:10" outlineLevel="2">
      <c r="A996" s="1004" t="s">
        <v>1877</v>
      </c>
      <c r="B996" s="2514" t="s">
        <v>357</v>
      </c>
      <c r="C996" s="4024" t="s">
        <v>362</v>
      </c>
      <c r="D996" s="5534" t="s">
        <v>363</v>
      </c>
      <c r="E996" s="7044" t="s">
        <v>128</v>
      </c>
      <c r="F996" s="8554" t="s">
        <v>364</v>
      </c>
      <c r="G996" s="10064" t="s">
        <v>15</v>
      </c>
      <c r="H996" s="11574">
        <v>2</v>
      </c>
      <c r="I996" s="13084" t="s">
        <v>16</v>
      </c>
      <c r="J996" t="s">
        <v>28</v>
      </c>
    </row>
    <row r="997" spans="1:10" outlineLevel="2">
      <c r="A997" s="1005" t="s">
        <v>1878</v>
      </c>
      <c r="B997" s="2515" t="s">
        <v>357</v>
      </c>
      <c r="C997" s="4025" t="s">
        <v>366</v>
      </c>
      <c r="D997" s="5535" t="s">
        <v>367</v>
      </c>
      <c r="E997" s="7045" t="s">
        <v>32</v>
      </c>
      <c r="F997" s="8555" t="s">
        <v>368</v>
      </c>
      <c r="G997" s="10065" t="s">
        <v>15</v>
      </c>
      <c r="H997" s="11575">
        <v>4</v>
      </c>
      <c r="I997" s="13085" t="s">
        <v>16</v>
      </c>
      <c r="J997" t="s">
        <v>28</v>
      </c>
    </row>
    <row r="998" spans="1:10" outlineLevel="2">
      <c r="A998" s="1006" t="s">
        <v>1879</v>
      </c>
      <c r="B998" s="2516" t="s">
        <v>357</v>
      </c>
      <c r="C998" s="4026" t="s">
        <v>370</v>
      </c>
      <c r="D998" s="5536"/>
      <c r="E998" s="7046" t="s">
        <v>32</v>
      </c>
      <c r="F998" s="8556" t="s">
        <v>371</v>
      </c>
      <c r="G998" s="10066" t="s">
        <v>15</v>
      </c>
      <c r="H998" s="11576">
        <v>2</v>
      </c>
      <c r="I998" s="13086" t="s">
        <v>16</v>
      </c>
      <c r="J998" t="s">
        <v>28</v>
      </c>
    </row>
    <row r="999" spans="1:10" outlineLevel="2">
      <c r="A999" s="1007" t="s">
        <v>1880</v>
      </c>
      <c r="B999" s="2517" t="s">
        <v>357</v>
      </c>
      <c r="C999" s="4027" t="s">
        <v>373</v>
      </c>
      <c r="D999" s="5537"/>
      <c r="E999" s="7047" t="s">
        <v>32</v>
      </c>
      <c r="F999" s="8557" t="s">
        <v>374</v>
      </c>
      <c r="G999" s="10067" t="s">
        <v>15</v>
      </c>
      <c r="H999" s="11577">
        <v>4</v>
      </c>
      <c r="I999" s="13087" t="s">
        <v>16</v>
      </c>
      <c r="J999" t="s">
        <v>28</v>
      </c>
    </row>
    <row r="1000" spans="1:10" outlineLevel="2">
      <c r="A1000" s="1008" t="s">
        <v>1881</v>
      </c>
      <c r="B1000" s="2518" t="s">
        <v>247</v>
      </c>
      <c r="C1000" s="4028" t="s">
        <v>311</v>
      </c>
      <c r="D1000" s="5538"/>
      <c r="E1000" s="7048" t="s">
        <v>83</v>
      </c>
      <c r="F1000" s="8558" t="s">
        <v>376</v>
      </c>
      <c r="G1000" s="10068" t="s">
        <v>27</v>
      </c>
      <c r="H1000" s="11578">
        <v>4</v>
      </c>
      <c r="I1000" s="13088"/>
      <c r="J1000" t="s">
        <v>28</v>
      </c>
    </row>
    <row r="1001" spans="1:10" outlineLevel="2">
      <c r="A1001" s="1009" t="s">
        <v>1882</v>
      </c>
      <c r="B1001" s="2519" t="s">
        <v>247</v>
      </c>
      <c r="C1001" s="4029" t="s">
        <v>248</v>
      </c>
      <c r="D1001" s="5539"/>
      <c r="E1001" s="7049" t="s">
        <v>32</v>
      </c>
      <c r="F1001" s="8559" t="s">
        <v>249</v>
      </c>
      <c r="G1001" s="10069" t="s">
        <v>27</v>
      </c>
      <c r="H1001" s="11579">
        <v>4</v>
      </c>
      <c r="I1001" s="13089"/>
      <c r="J1001" t="s">
        <v>28</v>
      </c>
    </row>
    <row r="1002" spans="1:10" outlineLevel="2">
      <c r="A1002" s="1010" t="s">
        <v>1883</v>
      </c>
      <c r="B1002" s="2520" t="s">
        <v>247</v>
      </c>
      <c r="C1002" s="4030" t="s">
        <v>378</v>
      </c>
      <c r="D1002" s="5540"/>
      <c r="E1002" s="7050" t="s">
        <v>32</v>
      </c>
      <c r="F1002" s="8560" t="s">
        <v>379</v>
      </c>
      <c r="G1002" s="10070" t="s">
        <v>27</v>
      </c>
      <c r="H1002" s="11580">
        <v>2</v>
      </c>
      <c r="I1002" s="13090"/>
      <c r="J1002" t="s">
        <v>28</v>
      </c>
    </row>
    <row r="1003" spans="1:10" outlineLevel="2">
      <c r="A1003" s="1011" t="s">
        <v>1884</v>
      </c>
      <c r="B1003" s="2521" t="s">
        <v>357</v>
      </c>
      <c r="C1003" s="4031" t="s">
        <v>381</v>
      </c>
      <c r="D1003" s="5541" t="s">
        <v>382</v>
      </c>
      <c r="E1003" s="7051" t="s">
        <v>32</v>
      </c>
      <c r="F1003" s="8561" t="s">
        <v>383</v>
      </c>
      <c r="G1003" s="10071" t="s">
        <v>15</v>
      </c>
      <c r="H1003" s="11581">
        <v>2</v>
      </c>
      <c r="I1003" s="13091" t="s">
        <v>16</v>
      </c>
      <c r="J1003" t="s">
        <v>28</v>
      </c>
    </row>
    <row r="1004" spans="1:10" outlineLevel="2">
      <c r="A1004" s="1012" t="s">
        <v>1885</v>
      </c>
      <c r="B1004" s="2522" t="s">
        <v>247</v>
      </c>
      <c r="C1004" s="4032" t="s">
        <v>385</v>
      </c>
      <c r="D1004" s="5542" t="s">
        <v>386</v>
      </c>
      <c r="E1004" s="7052" t="s">
        <v>25</v>
      </c>
      <c r="F1004" s="8562" t="s">
        <v>387</v>
      </c>
      <c r="G1004" s="10072" t="s">
        <v>27</v>
      </c>
      <c r="H1004" s="11582">
        <v>2</v>
      </c>
      <c r="I1004" s="13092" t="s">
        <v>16</v>
      </c>
      <c r="J1004" t="s">
        <v>28</v>
      </c>
    </row>
    <row r="1005" spans="1:10" outlineLevel="2">
      <c r="A1005" s="1013" t="s">
        <v>1886</v>
      </c>
      <c r="B1005" s="2523" t="s">
        <v>268</v>
      </c>
      <c r="C1005" s="4033" t="s">
        <v>269</v>
      </c>
      <c r="D1005" s="5543"/>
      <c r="E1005" s="7053" t="s">
        <v>41</v>
      </c>
      <c r="F1005" s="8563" t="s">
        <v>270</v>
      </c>
      <c r="G1005" s="10073" t="s">
        <v>15</v>
      </c>
      <c r="H1005" s="11583">
        <v>2</v>
      </c>
      <c r="I1005" s="13093" t="s">
        <v>16</v>
      </c>
      <c r="J1005" t="s">
        <v>28</v>
      </c>
    </row>
    <row r="1006" spans="1:10" outlineLevel="2">
      <c r="A1006" s="1014" t="s">
        <v>1887</v>
      </c>
      <c r="B1006" s="2524" t="s">
        <v>268</v>
      </c>
      <c r="C1006" s="4034" t="s">
        <v>272</v>
      </c>
      <c r="D1006" s="5544"/>
      <c r="E1006" s="7054" t="s">
        <v>41</v>
      </c>
      <c r="F1006" s="8564" t="s">
        <v>273</v>
      </c>
      <c r="G1006" s="10074" t="s">
        <v>15</v>
      </c>
      <c r="H1006" s="11584">
        <v>4</v>
      </c>
      <c r="I1006" s="13094" t="s">
        <v>16</v>
      </c>
      <c r="J1006" t="s">
        <v>28</v>
      </c>
    </row>
    <row r="1007" spans="1:10" outlineLevel="2">
      <c r="A1007" s="1015" t="s">
        <v>1888</v>
      </c>
      <c r="B1007" s="2525" t="s">
        <v>275</v>
      </c>
      <c r="C1007" s="4035" t="s">
        <v>276</v>
      </c>
      <c r="D1007" s="5545"/>
      <c r="E1007" s="7055" t="s">
        <v>41</v>
      </c>
      <c r="F1007" s="8565" t="s">
        <v>277</v>
      </c>
      <c r="G1007" s="10075" t="s">
        <v>15</v>
      </c>
      <c r="H1007" s="11585">
        <v>2</v>
      </c>
      <c r="I1007" s="13095" t="s">
        <v>16</v>
      </c>
      <c r="J1007" t="s">
        <v>28</v>
      </c>
    </row>
    <row r="1008" spans="1:10" outlineLevel="2">
      <c r="A1008" s="1016" t="s">
        <v>1889</v>
      </c>
      <c r="B1008" s="2526" t="s">
        <v>268</v>
      </c>
      <c r="C1008" s="4036" t="s">
        <v>279</v>
      </c>
      <c r="D1008" s="5546"/>
      <c r="E1008" s="7056" t="s">
        <v>41</v>
      </c>
      <c r="F1008" s="8566" t="s">
        <v>280</v>
      </c>
      <c r="G1008" s="10076" t="s">
        <v>15</v>
      </c>
      <c r="H1008" s="11586">
        <v>2</v>
      </c>
      <c r="I1008" s="13096" t="s">
        <v>16</v>
      </c>
      <c r="J1008" t="s">
        <v>28</v>
      </c>
    </row>
    <row r="1009" spans="1:10" ht="15.75" outlineLevel="2">
      <c r="A1009" s="1017" t="s">
        <v>1890</v>
      </c>
      <c r="B1009" s="2527" t="s">
        <v>282</v>
      </c>
      <c r="C1009" s="4037" t="s">
        <v>283</v>
      </c>
      <c r="D1009" s="5547"/>
      <c r="E1009" s="7057" t="s">
        <v>25</v>
      </c>
      <c r="F1009" s="8567" t="s">
        <v>284</v>
      </c>
      <c r="G1009" s="10077" t="s">
        <v>15</v>
      </c>
      <c r="H1009" s="11587">
        <v>1</v>
      </c>
      <c r="I1009" s="13097" t="s">
        <v>16</v>
      </c>
      <c r="J1009" s="13600" t="str">
        <f>HYPERLINK("\\192.168.170.18\drawings\2-Basic Components\0000-315 - Central Flange\0000-315-003-A - Trap DN500 - pressure = 35 mbar_vacuum = -3 mbar.pdf", "PDF")</f>
        <v>PDF</v>
      </c>
    </row>
    <row r="1010" spans="1:10" ht="15.75" outlineLevel="2">
      <c r="A1010" s="1018" t="s">
        <v>1891</v>
      </c>
      <c r="B1010" s="2528" t="s">
        <v>286</v>
      </c>
      <c r="C1010" s="4038" t="s">
        <v>287</v>
      </c>
      <c r="D1010" s="5548"/>
      <c r="E1010" s="7058" t="s">
        <v>32</v>
      </c>
      <c r="F1010" s="8568" t="s">
        <v>288</v>
      </c>
      <c r="G1010" s="10078" t="s">
        <v>15</v>
      </c>
      <c r="H1010" s="11588">
        <v>4</v>
      </c>
      <c r="I1010" s="13098" t="s">
        <v>16</v>
      </c>
      <c r="J1010" s="13600" t="str">
        <f>HYPERLINK("\\192.168.170.18\drawings\2-Basic Components\0000-301 - Tank Connection\0000-301-120-- - TC- Flange Elbow DN150 PN10 L=450 - BM.pdf", "PDF")</f>
        <v>PDF</v>
      </c>
    </row>
    <row r="1011" spans="1:10" ht="15.75" outlineLevel="2">
      <c r="A1011" s="1019" t="s">
        <v>1892</v>
      </c>
      <c r="B1011" s="2529" t="s">
        <v>290</v>
      </c>
      <c r="C1011" s="4039" t="s">
        <v>291</v>
      </c>
      <c r="D1011" s="5549"/>
      <c r="E1011" s="7059" t="s">
        <v>32</v>
      </c>
      <c r="F1011" s="8569" t="s">
        <v>292</v>
      </c>
      <c r="G1011" s="10079" t="s">
        <v>15</v>
      </c>
      <c r="H1011" s="11589">
        <v>1</v>
      </c>
      <c r="I1011" s="13099"/>
      <c r="J1011" s="13600" t="str">
        <f>HYPERLINK("\\192.168.170.18\drawings\2-Basic Components\0000-321 - Straight Connection\0000-321-106-- - Biomass - Straight Connection - DN100x6m.pdf", "PDF")</f>
        <v>PDF</v>
      </c>
    </row>
    <row r="1012" spans="1:10" ht="15.75" outlineLevel="2">
      <c r="A1012" s="1020" t="s">
        <v>1893</v>
      </c>
      <c r="B1012" s="2530" t="s">
        <v>294</v>
      </c>
      <c r="C1012" s="4040" t="s">
        <v>295</v>
      </c>
      <c r="D1012" s="5550"/>
      <c r="E1012" s="7060" t="s">
        <v>32</v>
      </c>
      <c r="F1012" s="8570" t="s">
        <v>296</v>
      </c>
      <c r="G1012" s="10080" t="s">
        <v>15</v>
      </c>
      <c r="H1012" s="11590">
        <v>4</v>
      </c>
      <c r="I1012" s="13100"/>
      <c r="J1012" s="13600" t="str">
        <f>HYPERLINK("\\192.168.170.18\drawings\2-Basic Components\0000-342 - Pipe Holders\0000-342-270-B - DN100 Pipeholder for bottom mounting.pdf", "PDF")</f>
        <v>PDF</v>
      </c>
    </row>
    <row r="1013" spans="1:10" ht="15.75" outlineLevel="2">
      <c r="A1013" s="1021" t="s">
        <v>1894</v>
      </c>
      <c r="B1013" s="2531" t="s">
        <v>298</v>
      </c>
      <c r="C1013" s="4041" t="s">
        <v>299</v>
      </c>
      <c r="D1013" s="5551"/>
      <c r="E1013" s="7061" t="s">
        <v>32</v>
      </c>
      <c r="F1013" s="8571" t="s">
        <v>300</v>
      </c>
      <c r="G1013" s="10081" t="s">
        <v>15</v>
      </c>
      <c r="H1013" s="11591">
        <v>2</v>
      </c>
      <c r="I1013" s="13101" t="s">
        <v>16</v>
      </c>
      <c r="J1013" s="13600" t="str">
        <f>HYPERLINK("\\192.168.170.18\drawings\2-Basic Components\0000-301 - Tank Connection\0000-301-119-- - TC- Flange DN150 PN10 L=330 - BM.pdf", "PDF")</f>
        <v>PDF</v>
      </c>
    </row>
    <row r="1014" spans="1:10" ht="15.75" outlineLevel="2">
      <c r="A1014" s="1022" t="s">
        <v>1895</v>
      </c>
      <c r="B1014" s="2532" t="s">
        <v>302</v>
      </c>
      <c r="C1014" s="4042" t="s">
        <v>303</v>
      </c>
      <c r="D1014" s="5552" t="s">
        <v>304</v>
      </c>
      <c r="E1014" s="7062" t="s">
        <v>32</v>
      </c>
      <c r="F1014" s="8572" t="s">
        <v>305</v>
      </c>
      <c r="G1014" s="10082" t="s">
        <v>15</v>
      </c>
      <c r="H1014" s="11592">
        <v>1</v>
      </c>
      <c r="I1014" s="13102" t="s">
        <v>16</v>
      </c>
      <c r="J1014" s="13600" t="str">
        <f>HYPERLINK("\\192.168.170.18\drawings\2-Basic Components\0000-321 - Straight Connection\0000-321-103-A - Outlet pipe DN100 - Biomass.pdf", "PDF")</f>
        <v>PDF</v>
      </c>
    </row>
    <row r="1015" spans="1:10" ht="15.75" outlineLevel="2">
      <c r="A1015" s="1023" t="s">
        <v>1896</v>
      </c>
      <c r="B1015" s="2533" t="s">
        <v>307</v>
      </c>
      <c r="C1015" s="4043" t="s">
        <v>308</v>
      </c>
      <c r="D1015" s="5553"/>
      <c r="E1015" s="7063" t="s">
        <v>32</v>
      </c>
      <c r="F1015" s="8573" t="s">
        <v>309</v>
      </c>
      <c r="G1015" s="10083" t="s">
        <v>15</v>
      </c>
      <c r="H1015" s="11593">
        <v>2</v>
      </c>
      <c r="I1015" s="13103" t="s">
        <v>16</v>
      </c>
      <c r="J1015" s="13600" t="str">
        <f>HYPERLINK("\\192.168.170.18\drawings\2-Basic Components\0000-301 - Tank Connection\0000-301-122-- - TC- Flange DN150 PN10 L=330 - BM.pdf", "PDF")</f>
        <v>PDF</v>
      </c>
    </row>
    <row r="1016" spans="1:10" outlineLevel="2">
      <c r="A1016" s="1024" t="s">
        <v>1897</v>
      </c>
      <c r="B1016" s="2534" t="s">
        <v>247</v>
      </c>
      <c r="C1016" s="4044" t="s">
        <v>311</v>
      </c>
      <c r="D1016" s="5554"/>
      <c r="E1016" s="7064" t="s">
        <v>25</v>
      </c>
      <c r="F1016" s="8574" t="s">
        <v>312</v>
      </c>
      <c r="G1016" s="10084" t="s">
        <v>27</v>
      </c>
      <c r="H1016" s="11594">
        <v>1</v>
      </c>
      <c r="I1016" s="13104"/>
      <c r="J1016" t="s">
        <v>28</v>
      </c>
    </row>
    <row r="1017" spans="1:10" ht="15.75" outlineLevel="2">
      <c r="A1017" s="1025" t="s">
        <v>1898</v>
      </c>
      <c r="B1017" s="2535" t="s">
        <v>314</v>
      </c>
      <c r="C1017" s="4045" t="s">
        <v>315</v>
      </c>
      <c r="D1017" s="5555"/>
      <c r="E1017" s="7065" t="s">
        <v>32</v>
      </c>
      <c r="F1017" s="8575" t="s">
        <v>316</v>
      </c>
      <c r="G1017" s="10085" t="s">
        <v>15</v>
      </c>
      <c r="H1017" s="11595">
        <v>1</v>
      </c>
      <c r="I1017" s="13105" t="s">
        <v>16</v>
      </c>
      <c r="J1017" s="13600" t="str">
        <f>HYPERLINK("\\192.168.170.18\drawings\2-Basic Components\0000-321 - Straight Connection\0000-321-109-- - Biomass - Straight Connection - DN100x6m.pdf", "PDF")</f>
        <v>PDF</v>
      </c>
    </row>
    <row r="1018" spans="1:10" ht="15.75" outlineLevel="2">
      <c r="A1018" s="1026" t="s">
        <v>1899</v>
      </c>
      <c r="B1018" s="2536" t="s">
        <v>318</v>
      </c>
      <c r="C1018" s="4046" t="s">
        <v>319</v>
      </c>
      <c r="D1018" s="5556"/>
      <c r="E1018" s="7066" t="s">
        <v>32</v>
      </c>
      <c r="F1018" s="8576" t="s">
        <v>320</v>
      </c>
      <c r="G1018" s="10086" t="s">
        <v>15</v>
      </c>
      <c r="H1018" s="11596">
        <v>4</v>
      </c>
      <c r="I1018" s="13106" t="s">
        <v>16</v>
      </c>
      <c r="J1018" s="13600" t="str">
        <f>HYPERLINK("\\192.168.170.18\drawings\2-Basic Components\0000-342 - Pipe Holders\0000-342-274-- - DN125 Pipeholder for bottom mounting.pdf", "PDF")</f>
        <v>PDF</v>
      </c>
    </row>
    <row r="1019" spans="1:10" ht="15.75" outlineLevel="2">
      <c r="A1019" s="1027" t="s">
        <v>1900</v>
      </c>
      <c r="B1019" s="2537" t="s">
        <v>322</v>
      </c>
      <c r="C1019" s="4047" t="s">
        <v>323</v>
      </c>
      <c r="D1019" s="5557"/>
      <c r="E1019" s="7067" t="s">
        <v>32</v>
      </c>
      <c r="F1019" s="8577" t="s">
        <v>324</v>
      </c>
      <c r="G1019" s="10087" t="s">
        <v>15</v>
      </c>
      <c r="H1019" s="11597">
        <v>3</v>
      </c>
      <c r="I1019" s="13107" t="s">
        <v>16</v>
      </c>
      <c r="J1019" s="13600" t="str">
        <f>HYPERLINK("\\192.168.170.18\drawings\2-Basic Components\0000-301 - Tank Connection\0000-301-123-- - TC- Flange Elbow DN200 PN10 L=450 - BM.pdf", "PDF")</f>
        <v>PDF</v>
      </c>
    </row>
    <row r="1020" spans="1:10" ht="15.75" outlineLevel="2">
      <c r="A1020" s="1028" t="s">
        <v>1901</v>
      </c>
      <c r="B1020" s="2538" t="s">
        <v>326</v>
      </c>
      <c r="C1020" s="4048" t="s">
        <v>327</v>
      </c>
      <c r="D1020" s="5558"/>
      <c r="E1020" s="7068" t="s">
        <v>32</v>
      </c>
      <c r="F1020" s="8578" t="s">
        <v>328</v>
      </c>
      <c r="G1020" s="10088" t="s">
        <v>15</v>
      </c>
      <c r="H1020" s="11598">
        <v>6</v>
      </c>
      <c r="I1020" s="13108" t="s">
        <v>16</v>
      </c>
      <c r="J1020" s="13600" t="str">
        <f>HYPERLINK("\\192.168.170.18\drawings\2-Basic Components\0000-301 - Tank Connection\0000-301-124-- - TC- Flange DN200 PN10 L=330 - BM.pdf", "PDF")</f>
        <v>PDF</v>
      </c>
    </row>
    <row r="1021" spans="1:10" ht="15.75" outlineLevel="2">
      <c r="A1021" s="1029" t="s">
        <v>1902</v>
      </c>
      <c r="B1021" s="2539" t="s">
        <v>330</v>
      </c>
      <c r="C1021" s="4049" t="s">
        <v>331</v>
      </c>
      <c r="D1021" s="5559"/>
      <c r="E1021" s="7069" t="s">
        <v>32</v>
      </c>
      <c r="F1021" s="8579" t="s">
        <v>332</v>
      </c>
      <c r="G1021" s="10089" t="s">
        <v>15</v>
      </c>
      <c r="H1021" s="11599">
        <v>3</v>
      </c>
      <c r="I1021" s="13109" t="s">
        <v>16</v>
      </c>
      <c r="J1021" s="13600" t="str">
        <f>HYPERLINK("\\192.168.170.18\drawings\2-Basic Components\0000-321 - Straight Connection\0000-321-157-- - Biomass - Straigth Connection - DN200x6m.pdf", "PDF")</f>
        <v>PDF</v>
      </c>
    </row>
    <row r="1022" spans="1:10" outlineLevel="2">
      <c r="A1022" s="1030" t="s">
        <v>1903</v>
      </c>
      <c r="B1022" s="2540" t="s">
        <v>334</v>
      </c>
      <c r="C1022" s="4050" t="s">
        <v>335</v>
      </c>
      <c r="D1022" s="5560"/>
      <c r="E1022" s="7070" t="s">
        <v>32</v>
      </c>
      <c r="F1022" s="8580" t="s">
        <v>336</v>
      </c>
      <c r="G1022" s="10090" t="s">
        <v>15</v>
      </c>
      <c r="H1022" s="11600">
        <v>12</v>
      </c>
      <c r="I1022" s="13110" t="s">
        <v>16</v>
      </c>
      <c r="J1022" t="s">
        <v>28</v>
      </c>
    </row>
    <row r="1023" spans="1:10" ht="15.75" outlineLevel="2">
      <c r="A1023" s="1031" t="s">
        <v>1904</v>
      </c>
      <c r="B1023" s="2541" t="s">
        <v>344</v>
      </c>
      <c r="C1023" s="4051" t="s">
        <v>345</v>
      </c>
      <c r="D1023" s="5561" t="s">
        <v>346</v>
      </c>
      <c r="E1023" s="7071" t="s">
        <v>32</v>
      </c>
      <c r="F1023" s="8581" t="s">
        <v>347</v>
      </c>
      <c r="G1023" s="10091" t="s">
        <v>15</v>
      </c>
      <c r="H1023" s="11601">
        <v>1</v>
      </c>
      <c r="I1023" s="13111" t="s">
        <v>16</v>
      </c>
      <c r="J1023" s="13600" t="str">
        <f>HYPERLINK("\\192.168.170.18\drawings\2-Basic Components\0000-315 - Central Flange\0000-315-005-A - Central flange 5200 - DN250 assembly.pdf", "PDF")</f>
        <v>PDF</v>
      </c>
    </row>
    <row r="1024" spans="1:10" ht="15.75" outlineLevel="2">
      <c r="A1024" s="1032" t="s">
        <v>1905</v>
      </c>
      <c r="B1024" s="2542" t="s">
        <v>349</v>
      </c>
      <c r="C1024" s="4052" t="s">
        <v>350</v>
      </c>
      <c r="D1024" s="5562" t="s">
        <v>304</v>
      </c>
      <c r="E1024" s="7072" t="s">
        <v>32</v>
      </c>
      <c r="F1024" s="8582" t="s">
        <v>351</v>
      </c>
      <c r="G1024" s="10092" t="s">
        <v>15</v>
      </c>
      <c r="H1024" s="11602">
        <v>3</v>
      </c>
      <c r="I1024" s="13112" t="s">
        <v>16</v>
      </c>
      <c r="J1024" s="13600" t="str">
        <f>HYPERLINK("\\192.168.170.18\drawings\2-Basic Components\0000-321 - Straight Connection\0000-321-158-A - Outlet Pipe DN200 - Biomass.pdf", "PDF")</f>
        <v>PDF</v>
      </c>
    </row>
    <row r="1025" spans="1:10" ht="15.75" outlineLevel="2">
      <c r="A1025" s="1033" t="s">
        <v>1906</v>
      </c>
      <c r="B1025" s="2543" t="s">
        <v>353</v>
      </c>
      <c r="C1025" s="4053" t="s">
        <v>354</v>
      </c>
      <c r="D1025" s="5563" t="s">
        <v>304</v>
      </c>
      <c r="E1025" s="7073" t="s">
        <v>32</v>
      </c>
      <c r="F1025" s="8583" t="s">
        <v>355</v>
      </c>
      <c r="G1025" s="10093" t="s">
        <v>15</v>
      </c>
      <c r="H1025" s="11603">
        <v>1</v>
      </c>
      <c r="I1025" s="13113" t="s">
        <v>16</v>
      </c>
      <c r="J1025" s="13600" t="str">
        <f>HYPERLINK("\\192.168.170.18\drawings\2-Basic Components\0000-321 - Straight Connection\0000-321-108-A - Outlet pipe DN125 - Biomass.pdf", "PDF")</f>
        <v>PDF</v>
      </c>
    </row>
    <row r="1026" spans="1:10" outlineLevel="2">
      <c r="A1026" s="1034" t="s">
        <v>1907</v>
      </c>
      <c r="B1026" s="2544" t="s">
        <v>247</v>
      </c>
      <c r="C1026" s="4054" t="s">
        <v>389</v>
      </c>
      <c r="D1026" s="5564"/>
      <c r="E1026" s="7074" t="s">
        <v>83</v>
      </c>
      <c r="F1026" s="8584" t="s">
        <v>390</v>
      </c>
      <c r="G1026" s="10094" t="s">
        <v>27</v>
      </c>
      <c r="H1026" s="11604">
        <v>6</v>
      </c>
      <c r="I1026" s="13114"/>
      <c r="J1026" t="s">
        <v>28</v>
      </c>
    </row>
    <row r="1027" spans="1:10" outlineLevel="2">
      <c r="A1027" s="1035" t="s">
        <v>1908</v>
      </c>
      <c r="B1027" s="2545" t="s">
        <v>243</v>
      </c>
      <c r="C1027" s="4055" t="s">
        <v>244</v>
      </c>
      <c r="D1027" s="5565"/>
      <c r="E1027" s="7075" t="s">
        <v>32</v>
      </c>
      <c r="F1027" s="8585" t="s">
        <v>245</v>
      </c>
      <c r="G1027" s="10095" t="s">
        <v>15</v>
      </c>
      <c r="H1027" s="11605">
        <v>2</v>
      </c>
      <c r="I1027" s="13115"/>
      <c r="J1027" t="s">
        <v>28</v>
      </c>
    </row>
    <row r="1028" spans="1:10" outlineLevel="2">
      <c r="A1028" s="1036" t="s">
        <v>1909</v>
      </c>
      <c r="B1028" s="2546" t="s">
        <v>243</v>
      </c>
      <c r="C1028" s="4056" t="s">
        <v>392</v>
      </c>
      <c r="D1028" s="5566"/>
      <c r="E1028" s="7076" t="s">
        <v>32</v>
      </c>
      <c r="F1028" s="8586" t="s">
        <v>393</v>
      </c>
      <c r="G1028" s="10096" t="s">
        <v>15</v>
      </c>
      <c r="H1028" s="11606">
        <v>6</v>
      </c>
      <c r="I1028" s="13116" t="s">
        <v>16</v>
      </c>
      <c r="J1028" t="s">
        <v>28</v>
      </c>
    </row>
    <row r="1029" spans="1:10" outlineLevel="2">
      <c r="A1029" s="1037" t="s">
        <v>1910</v>
      </c>
      <c r="B1029" s="2547" t="s">
        <v>1911</v>
      </c>
      <c r="C1029" s="4057" t="s">
        <v>488</v>
      </c>
      <c r="D1029" s="5567" t="s">
        <v>340</v>
      </c>
      <c r="E1029" s="7077" t="s">
        <v>341</v>
      </c>
      <c r="F1029" s="8587" t="s">
        <v>1912</v>
      </c>
      <c r="G1029" s="10097" t="s">
        <v>15</v>
      </c>
      <c r="H1029" s="11607">
        <v>1</v>
      </c>
      <c r="I1029" s="13117" t="s">
        <v>16</v>
      </c>
      <c r="J1029" t="s">
        <v>28</v>
      </c>
    </row>
    <row r="1030" spans="1:10" outlineLevel="1">
      <c r="A1030" s="1038" t="s">
        <v>1913</v>
      </c>
      <c r="B1030" s="2548" t="s">
        <v>497</v>
      </c>
      <c r="C1030" s="4058" t="s">
        <v>498</v>
      </c>
      <c r="D1030" s="5568" t="s">
        <v>13</v>
      </c>
      <c r="E1030" s="7078" t="s">
        <v>153</v>
      </c>
      <c r="F1030" s="8588" t="s">
        <v>499</v>
      </c>
      <c r="G1030" s="10098" t="s">
        <v>15</v>
      </c>
      <c r="H1030" s="11608">
        <v>1</v>
      </c>
      <c r="I1030" s="13118" t="s">
        <v>16</v>
      </c>
      <c r="J1030" t="s">
        <v>28</v>
      </c>
    </row>
    <row r="1031" spans="1:10" outlineLevel="1">
      <c r="A1031" s="1039" t="s">
        <v>1914</v>
      </c>
      <c r="B1031" s="2549" t="s">
        <v>501</v>
      </c>
      <c r="C1031" s="4059" t="s">
        <v>502</v>
      </c>
      <c r="D1031" s="5569"/>
      <c r="E1031" s="7079" t="s">
        <v>41</v>
      </c>
      <c r="F1031" s="8589" t="s">
        <v>503</v>
      </c>
      <c r="G1031" s="10099" t="s">
        <v>15</v>
      </c>
      <c r="H1031" s="11609">
        <v>2</v>
      </c>
      <c r="I1031" s="13119" t="s">
        <v>16</v>
      </c>
      <c r="J1031" t="s">
        <v>28</v>
      </c>
    </row>
    <row r="1032" spans="1:10" outlineLevel="1">
      <c r="A1032" s="1040" t="s">
        <v>1915</v>
      </c>
      <c r="B1032" s="2550" t="s">
        <v>501</v>
      </c>
      <c r="C1032" s="4060" t="s">
        <v>505</v>
      </c>
      <c r="D1032" s="5570"/>
      <c r="E1032" s="7080" t="s">
        <v>41</v>
      </c>
      <c r="F1032" s="8590" t="s">
        <v>506</v>
      </c>
      <c r="G1032" s="10100" t="s">
        <v>15</v>
      </c>
      <c r="H1032" s="11610">
        <v>1</v>
      </c>
      <c r="I1032" s="13120" t="s">
        <v>16</v>
      </c>
      <c r="J1032" t="s">
        <v>28</v>
      </c>
    </row>
    <row r="1033" spans="1:10" outlineLevel="1">
      <c r="A1033" s="1041" t="s">
        <v>1916</v>
      </c>
      <c r="B1033" s="2551" t="s">
        <v>508</v>
      </c>
      <c r="C1033" s="4061"/>
      <c r="D1033" s="5571"/>
      <c r="E1033" s="7081" t="s">
        <v>32</v>
      </c>
      <c r="F1033" s="8591" t="s">
        <v>509</v>
      </c>
      <c r="G1033" s="10101" t="s">
        <v>15</v>
      </c>
      <c r="H1033" s="11611">
        <v>1</v>
      </c>
      <c r="I1033" s="13121" t="s">
        <v>16</v>
      </c>
      <c r="J1033" t="s">
        <v>28</v>
      </c>
    </row>
    <row r="1034" spans="1:10" outlineLevel="1">
      <c r="A1034" s="1042" t="s">
        <v>1917</v>
      </c>
      <c r="B1034" s="2552" t="s">
        <v>511</v>
      </c>
      <c r="C1034" s="4062"/>
      <c r="D1034" s="5572"/>
      <c r="E1034" s="7082" t="s">
        <v>512</v>
      </c>
      <c r="F1034" s="8592" t="s">
        <v>513</v>
      </c>
      <c r="G1034" s="10102" t="s">
        <v>15</v>
      </c>
      <c r="H1034" s="11612">
        <v>1</v>
      </c>
      <c r="I1034" s="13122" t="s">
        <v>16</v>
      </c>
      <c r="J1034" t="s">
        <v>28</v>
      </c>
    </row>
    <row r="1035" spans="1:10" outlineLevel="1">
      <c r="A1035" s="1043" t="s">
        <v>1918</v>
      </c>
      <c r="B1035" s="2553" t="s">
        <v>515</v>
      </c>
      <c r="C1035" s="4063"/>
      <c r="D1035" s="5573"/>
      <c r="E1035" s="7083" t="s">
        <v>32</v>
      </c>
      <c r="F1035" s="8593" t="s">
        <v>516</v>
      </c>
      <c r="G1035" s="10103" t="s">
        <v>15</v>
      </c>
      <c r="H1035" s="11613">
        <v>1</v>
      </c>
      <c r="I1035" s="13123" t="s">
        <v>16</v>
      </c>
      <c r="J1035" t="s">
        <v>28</v>
      </c>
    </row>
    <row r="1036" spans="1:10" outlineLevel="1">
      <c r="A1036" s="1044" t="s">
        <v>1919</v>
      </c>
      <c r="B1036" s="2554" t="s">
        <v>1920</v>
      </c>
      <c r="C1036" s="4064"/>
      <c r="D1036" s="5574"/>
      <c r="E1036" s="7084"/>
      <c r="F1036" s="8594" t="s">
        <v>1921</v>
      </c>
      <c r="G1036" s="10104" t="s">
        <v>15</v>
      </c>
      <c r="H1036" s="11614">
        <v>1</v>
      </c>
      <c r="I1036" s="13124" t="s">
        <v>16</v>
      </c>
      <c r="J1036" t="s">
        <v>28</v>
      </c>
    </row>
    <row r="1037" spans="1:10" ht="15.75" outlineLevel="2">
      <c r="A1037" s="1045" t="s">
        <v>1922</v>
      </c>
      <c r="B1037" s="2555" t="s">
        <v>521</v>
      </c>
      <c r="C1037" s="4065" t="s">
        <v>522</v>
      </c>
      <c r="D1037" s="5575"/>
      <c r="E1037" s="7085" t="s">
        <v>41</v>
      </c>
      <c r="F1037" s="8595" t="s">
        <v>523</v>
      </c>
      <c r="G1037" s="10105" t="s">
        <v>15</v>
      </c>
      <c r="H1037" s="11615">
        <v>1</v>
      </c>
      <c r="I1037" s="13125" t="s">
        <v>16</v>
      </c>
      <c r="J1037" s="13600" t="str">
        <f>HYPERLINK("\\192.168.170.18\drawings\2-Basic Components\0000-316 - Heat-Exchangers\0000-316-011-- - 4 HEX Water-Biomass Ver. 02.pdf", "PDF")</f>
        <v>PDF</v>
      </c>
    </row>
    <row r="1038" spans="1:10" outlineLevel="2">
      <c r="A1038" s="1046" t="s">
        <v>1923</v>
      </c>
      <c r="B1038" s="2556" t="s">
        <v>525</v>
      </c>
      <c r="C1038" s="4066" t="s">
        <v>526</v>
      </c>
      <c r="D1038" s="5576"/>
      <c r="E1038" s="7086" t="s">
        <v>208</v>
      </c>
      <c r="F1038" s="8596" t="s">
        <v>527</v>
      </c>
      <c r="G1038" s="10106" t="s">
        <v>27</v>
      </c>
      <c r="H1038" s="11616">
        <v>4</v>
      </c>
      <c r="I1038" s="13126"/>
      <c r="J1038" t="s">
        <v>28</v>
      </c>
    </row>
    <row r="1039" spans="1:10" outlineLevel="2">
      <c r="A1039" s="1047" t="s">
        <v>1924</v>
      </c>
      <c r="B1039" s="2557" t="s">
        <v>81</v>
      </c>
      <c r="C1039" s="4067" t="s">
        <v>529</v>
      </c>
      <c r="D1039" s="5577"/>
      <c r="E1039" s="7087" t="s">
        <v>97</v>
      </c>
      <c r="F1039" s="8597" t="s">
        <v>530</v>
      </c>
      <c r="G1039" s="10107" t="s">
        <v>15</v>
      </c>
      <c r="H1039" s="11617">
        <v>4</v>
      </c>
      <c r="I1039" s="13127"/>
      <c r="J1039" t="s">
        <v>28</v>
      </c>
    </row>
    <row r="1040" spans="1:10" outlineLevel="2">
      <c r="A1040" s="1048" t="s">
        <v>1925</v>
      </c>
      <c r="B1040" s="2558" t="s">
        <v>532</v>
      </c>
      <c r="C1040" s="4068" t="s">
        <v>533</v>
      </c>
      <c r="D1040" s="5578"/>
      <c r="E1040" s="7088" t="s">
        <v>16</v>
      </c>
      <c r="F1040" s="8598" t="s">
        <v>534</v>
      </c>
      <c r="G1040" s="10108" t="s">
        <v>27</v>
      </c>
      <c r="H1040" s="11618">
        <v>4</v>
      </c>
      <c r="I1040" s="13128"/>
      <c r="J1040" t="s">
        <v>28</v>
      </c>
    </row>
    <row r="1041" spans="1:10" outlineLevel="2">
      <c r="A1041" s="1049" t="s">
        <v>1926</v>
      </c>
      <c r="B1041" s="2559" t="s">
        <v>536</v>
      </c>
      <c r="C1041" s="4069" t="s">
        <v>537</v>
      </c>
      <c r="D1041" s="5579"/>
      <c r="E1041" s="7089" t="s">
        <v>208</v>
      </c>
      <c r="F1041" s="8599" t="s">
        <v>538</v>
      </c>
      <c r="G1041" s="10109" t="s">
        <v>27</v>
      </c>
      <c r="H1041" s="11619">
        <v>4</v>
      </c>
      <c r="I1041" s="13129" t="s">
        <v>16</v>
      </c>
      <c r="J1041" t="s">
        <v>28</v>
      </c>
    </row>
    <row r="1042" spans="1:10" outlineLevel="1">
      <c r="A1042" s="1050" t="s">
        <v>1927</v>
      </c>
      <c r="B1042" s="2560" t="s">
        <v>1928</v>
      </c>
      <c r="C1042" s="4070" t="s">
        <v>541</v>
      </c>
      <c r="D1042" s="5580" t="s">
        <v>542</v>
      </c>
      <c r="E1042" s="7090"/>
      <c r="F1042" s="8600" t="s">
        <v>1929</v>
      </c>
      <c r="G1042" s="10110" t="s">
        <v>15</v>
      </c>
      <c r="H1042" s="11620">
        <v>1</v>
      </c>
      <c r="I1042" s="13130" t="s">
        <v>16</v>
      </c>
      <c r="J1042" t="s">
        <v>28</v>
      </c>
    </row>
    <row r="1043" spans="1:10" outlineLevel="2">
      <c r="A1043" s="1051" t="s">
        <v>1930</v>
      </c>
      <c r="B1043" s="2561" t="s">
        <v>1931</v>
      </c>
      <c r="C1043" s="4071" t="s">
        <v>546</v>
      </c>
      <c r="D1043" s="5581" t="s">
        <v>547</v>
      </c>
      <c r="E1043" s="7091" t="s">
        <v>153</v>
      </c>
      <c r="F1043" s="8601" t="s">
        <v>1932</v>
      </c>
      <c r="G1043" s="10111" t="s">
        <v>15</v>
      </c>
      <c r="H1043" s="11621">
        <v>1</v>
      </c>
      <c r="I1043" s="13131" t="s">
        <v>16</v>
      </c>
      <c r="J1043" t="s">
        <v>28</v>
      </c>
    </row>
    <row r="1044" spans="1:10" outlineLevel="2">
      <c r="A1044" s="1052" t="s">
        <v>1933</v>
      </c>
      <c r="B1044" s="2562" t="s">
        <v>108</v>
      </c>
      <c r="C1044" s="4072" t="s">
        <v>550</v>
      </c>
      <c r="D1044" s="5582"/>
      <c r="E1044" s="7092" t="s">
        <v>83</v>
      </c>
      <c r="F1044" s="8602" t="s">
        <v>551</v>
      </c>
      <c r="G1044" s="10112" t="s">
        <v>27</v>
      </c>
      <c r="H1044" s="11622">
        <v>1</v>
      </c>
      <c r="I1044" s="13132"/>
      <c r="J1044" t="s">
        <v>28</v>
      </c>
    </row>
    <row r="1045" spans="1:10" outlineLevel="2">
      <c r="A1045" s="1053" t="s">
        <v>1934</v>
      </c>
      <c r="B1045" s="2563" t="s">
        <v>1935</v>
      </c>
      <c r="C1045" s="4073" t="s">
        <v>554</v>
      </c>
      <c r="D1045" s="5583"/>
      <c r="E1045" s="7093" t="s">
        <v>41</v>
      </c>
      <c r="F1045" s="8603" t="s">
        <v>1936</v>
      </c>
      <c r="G1045" s="10113" t="s">
        <v>15</v>
      </c>
      <c r="H1045" s="11623">
        <v>1</v>
      </c>
      <c r="I1045" s="13133" t="s">
        <v>16</v>
      </c>
      <c r="J1045" t="s">
        <v>28</v>
      </c>
    </row>
    <row r="1046" spans="1:10" outlineLevel="2">
      <c r="A1046" s="1054" t="s">
        <v>1937</v>
      </c>
      <c r="B1046" s="2564" t="s">
        <v>1938</v>
      </c>
      <c r="C1046" s="4074" t="s">
        <v>558</v>
      </c>
      <c r="D1046" s="5584" t="s">
        <v>559</v>
      </c>
      <c r="E1046" s="7094" t="s">
        <v>32</v>
      </c>
      <c r="F1046" s="8604" t="s">
        <v>1939</v>
      </c>
      <c r="G1046" s="10114" t="s">
        <v>15</v>
      </c>
      <c r="H1046" s="11624">
        <v>1</v>
      </c>
      <c r="I1046" s="13134" t="s">
        <v>16</v>
      </c>
      <c r="J1046" t="s">
        <v>28</v>
      </c>
    </row>
    <row r="1047" spans="1:10" outlineLevel="2">
      <c r="A1047" s="1055" t="s">
        <v>1940</v>
      </c>
      <c r="B1047" s="2565" t="s">
        <v>562</v>
      </c>
      <c r="C1047" s="4075" t="s">
        <v>563</v>
      </c>
      <c r="D1047" s="5585"/>
      <c r="E1047" s="7095" t="s">
        <v>41</v>
      </c>
      <c r="F1047" s="8605" t="s">
        <v>564</v>
      </c>
      <c r="G1047" s="10115" t="s">
        <v>27</v>
      </c>
      <c r="H1047" s="11625">
        <v>1</v>
      </c>
      <c r="I1047" s="13135" t="s">
        <v>16</v>
      </c>
      <c r="J1047" t="s">
        <v>28</v>
      </c>
    </row>
    <row r="1048" spans="1:10" outlineLevel="2">
      <c r="A1048" s="1056" t="s">
        <v>1941</v>
      </c>
      <c r="B1048" s="2566" t="s">
        <v>1942</v>
      </c>
      <c r="C1048" s="4076" t="s">
        <v>567</v>
      </c>
      <c r="D1048" s="5586"/>
      <c r="E1048" s="7096" t="s">
        <v>41</v>
      </c>
      <c r="F1048" s="8606" t="s">
        <v>1943</v>
      </c>
      <c r="G1048" s="10116" t="s">
        <v>15</v>
      </c>
      <c r="H1048" s="11626">
        <v>1</v>
      </c>
      <c r="I1048" s="13136" t="s">
        <v>16</v>
      </c>
      <c r="J1048" t="s">
        <v>28</v>
      </c>
    </row>
    <row r="1049" spans="1:10" outlineLevel="1">
      <c r="A1049" s="1057" t="s">
        <v>1944</v>
      </c>
      <c r="B1049" s="2567" t="s">
        <v>1945</v>
      </c>
      <c r="C1049" s="4077"/>
      <c r="D1049" s="5587"/>
      <c r="E1049" s="7097" t="s">
        <v>32</v>
      </c>
      <c r="F1049" s="8607" t="s">
        <v>1946</v>
      </c>
      <c r="G1049" s="10117" t="s">
        <v>15</v>
      </c>
      <c r="H1049" s="11627">
        <v>1</v>
      </c>
      <c r="I1049" s="13137"/>
      <c r="J1049" t="s">
        <v>28</v>
      </c>
    </row>
    <row r="1050" spans="1:10" outlineLevel="1">
      <c r="A1050" s="1058" t="s">
        <v>1947</v>
      </c>
      <c r="B1050" s="2568" t="s">
        <v>1948</v>
      </c>
      <c r="C1050" s="4078"/>
      <c r="D1050" s="5588"/>
      <c r="E1050" s="7098" t="s">
        <v>32</v>
      </c>
      <c r="F1050" s="8608" t="s">
        <v>1949</v>
      </c>
      <c r="G1050" s="10118" t="s">
        <v>15</v>
      </c>
      <c r="H1050" s="11628">
        <v>1</v>
      </c>
      <c r="I1050" s="13138"/>
      <c r="J1050" t="s">
        <v>28</v>
      </c>
    </row>
    <row r="1051" spans="1:10" outlineLevel="1">
      <c r="A1051" s="1059" t="s">
        <v>1950</v>
      </c>
      <c r="B1051" s="2569" t="s">
        <v>1951</v>
      </c>
      <c r="C1051" s="4079"/>
      <c r="D1051" s="5589"/>
      <c r="E1051" s="7099" t="s">
        <v>32</v>
      </c>
      <c r="F1051" s="8609" t="s">
        <v>1952</v>
      </c>
      <c r="G1051" s="10119" t="s">
        <v>15</v>
      </c>
      <c r="H1051" s="11629">
        <v>1</v>
      </c>
      <c r="I1051" s="13139"/>
      <c r="J1051" t="s">
        <v>28</v>
      </c>
    </row>
    <row r="1052" spans="1:10" outlineLevel="1">
      <c r="A1052" s="1060" t="s">
        <v>1953</v>
      </c>
      <c r="B1052" s="2570" t="s">
        <v>1954</v>
      </c>
      <c r="C1052" s="4080"/>
      <c r="D1052" s="5590"/>
      <c r="E1052" s="7100" t="s">
        <v>32</v>
      </c>
      <c r="F1052" s="8610" t="s">
        <v>1955</v>
      </c>
      <c r="G1052" s="10120" t="s">
        <v>15</v>
      </c>
      <c r="H1052" s="11630">
        <v>1</v>
      </c>
      <c r="I1052" s="13140"/>
      <c r="J1052" t="s">
        <v>28</v>
      </c>
    </row>
    <row r="1053" spans="1:10" outlineLevel="1">
      <c r="A1053" s="1061" t="s">
        <v>1956</v>
      </c>
      <c r="B1053" s="2571" t="s">
        <v>1957</v>
      </c>
      <c r="C1053" s="4081"/>
      <c r="D1053" s="5591"/>
      <c r="E1053" s="7101" t="s">
        <v>32</v>
      </c>
      <c r="F1053" s="8611" t="s">
        <v>1958</v>
      </c>
      <c r="G1053" s="10121" t="s">
        <v>15</v>
      </c>
      <c r="H1053" s="11631">
        <v>1</v>
      </c>
      <c r="I1053" s="13141"/>
      <c r="J1053" t="s">
        <v>28</v>
      </c>
    </row>
    <row r="1054" spans="1:10" ht="15.75" outlineLevel="1">
      <c r="A1054" s="1062" t="s">
        <v>1959</v>
      </c>
      <c r="B1054" s="2572" t="s">
        <v>1960</v>
      </c>
      <c r="C1054" s="4082" t="s">
        <v>19</v>
      </c>
      <c r="D1054" s="5592" t="s">
        <v>1961</v>
      </c>
      <c r="E1054" s="7102"/>
      <c r="F1054" s="8612" t="s">
        <v>1962</v>
      </c>
      <c r="G1054" s="10122" t="s">
        <v>15</v>
      </c>
      <c r="H1054" s="11632">
        <v>1</v>
      </c>
      <c r="I1054" s="13142" t="s">
        <v>16</v>
      </c>
      <c r="J1054" s="13600" t="str">
        <f>HYPERLINK("\\192.168.170.18\drawings\5-Projects\2500 - Aabenraa\Area 04 - Digester Area\Piping\2500-04-BG057-07-- - Biogas pipe - DN250 - BG.pdf", "PDF")</f>
        <v>PDF</v>
      </c>
    </row>
    <row r="1055" spans="1:10" outlineLevel="2">
      <c r="A1055" s="1063" t="s">
        <v>1963</v>
      </c>
      <c r="B1055" s="2573" t="s">
        <v>23</v>
      </c>
      <c r="C1055" s="4083" t="s">
        <v>24</v>
      </c>
      <c r="D1055" s="5593"/>
      <c r="E1055" s="7103" t="s">
        <v>25</v>
      </c>
      <c r="F1055" s="8613" t="s">
        <v>26</v>
      </c>
      <c r="G1055" s="10123" t="s">
        <v>27</v>
      </c>
      <c r="H1055" s="11633">
        <v>17</v>
      </c>
      <c r="I1055" s="13143"/>
      <c r="J1055" t="s">
        <v>28</v>
      </c>
    </row>
    <row r="1056" spans="1:10" outlineLevel="2">
      <c r="A1056" s="1064" t="s">
        <v>1964</v>
      </c>
      <c r="B1056" s="2574" t="s">
        <v>30</v>
      </c>
      <c r="C1056" s="4084" t="s">
        <v>31</v>
      </c>
      <c r="D1056" s="5594"/>
      <c r="E1056" s="7104" t="s">
        <v>32</v>
      </c>
      <c r="F1056" s="8614" t="s">
        <v>33</v>
      </c>
      <c r="G1056" s="10124" t="s">
        <v>27</v>
      </c>
      <c r="H1056" s="11634">
        <v>17</v>
      </c>
      <c r="I1056" s="13144"/>
      <c r="J1056" t="s">
        <v>28</v>
      </c>
    </row>
    <row r="1057" spans="1:10" outlineLevel="2">
      <c r="A1057" s="1065" t="s">
        <v>1965</v>
      </c>
      <c r="B1057" s="2575" t="s">
        <v>35</v>
      </c>
      <c r="C1057" s="4085" t="s">
        <v>1234</v>
      </c>
      <c r="D1057" s="5595"/>
      <c r="E1057" s="7105" t="s">
        <v>25</v>
      </c>
      <c r="F1057" s="8615" t="s">
        <v>1966</v>
      </c>
      <c r="G1057" s="10125" t="s">
        <v>15</v>
      </c>
      <c r="H1057" s="11635">
        <v>1</v>
      </c>
      <c r="I1057" s="13145" t="s">
        <v>16</v>
      </c>
      <c r="J1057" t="s">
        <v>28</v>
      </c>
    </row>
    <row r="1058" spans="1:10" outlineLevel="2">
      <c r="A1058" s="1066" t="s">
        <v>1967</v>
      </c>
      <c r="B1058" s="2576" t="s">
        <v>39</v>
      </c>
      <c r="C1058" s="4086" t="s">
        <v>40</v>
      </c>
      <c r="D1058" s="5596"/>
      <c r="E1058" s="7106" t="s">
        <v>41</v>
      </c>
      <c r="F1058" s="8616" t="s">
        <v>42</v>
      </c>
      <c r="G1058" s="10126" t="s">
        <v>27</v>
      </c>
      <c r="H1058" s="11636">
        <v>1</v>
      </c>
      <c r="I1058" s="13146" t="s">
        <v>16</v>
      </c>
      <c r="J1058" t="s">
        <v>28</v>
      </c>
    </row>
    <row r="1059" spans="1:10" outlineLevel="2">
      <c r="A1059" s="1067" t="s">
        <v>1968</v>
      </c>
      <c r="B1059" s="2577" t="s">
        <v>44</v>
      </c>
      <c r="C1059" s="4087" t="s">
        <v>45</v>
      </c>
      <c r="D1059" s="5597"/>
      <c r="E1059" s="7107" t="s">
        <v>41</v>
      </c>
      <c r="F1059" s="8617" t="s">
        <v>46</v>
      </c>
      <c r="G1059" s="10127" t="s">
        <v>15</v>
      </c>
      <c r="H1059" s="11637">
        <v>2</v>
      </c>
      <c r="I1059" s="13147" t="s">
        <v>16</v>
      </c>
      <c r="J1059" t="s">
        <v>28</v>
      </c>
    </row>
    <row r="1060" spans="1:10" outlineLevel="2">
      <c r="A1060" s="1068" t="s">
        <v>1969</v>
      </c>
      <c r="B1060" s="2578" t="s">
        <v>48</v>
      </c>
      <c r="C1060" s="4088" t="s">
        <v>49</v>
      </c>
      <c r="D1060" s="5598"/>
      <c r="E1060" s="7108" t="s">
        <v>25</v>
      </c>
      <c r="F1060" s="8618" t="s">
        <v>50</v>
      </c>
      <c r="G1060" s="10128" t="s">
        <v>27</v>
      </c>
      <c r="H1060" s="11638">
        <v>2</v>
      </c>
      <c r="I1060" s="13148" t="s">
        <v>16</v>
      </c>
      <c r="J1060" t="s">
        <v>28</v>
      </c>
    </row>
    <row r="1061" spans="1:10" ht="15.75" outlineLevel="2">
      <c r="A1061" s="1069" t="s">
        <v>1970</v>
      </c>
      <c r="B1061" s="2579" t="s">
        <v>52</v>
      </c>
      <c r="C1061" s="4089" t="s">
        <v>53</v>
      </c>
      <c r="D1061" s="5599"/>
      <c r="E1061" s="7109" t="s">
        <v>32</v>
      </c>
      <c r="F1061" s="8619" t="s">
        <v>54</v>
      </c>
      <c r="G1061" s="10129" t="s">
        <v>15</v>
      </c>
      <c r="H1061" s="11639">
        <v>5</v>
      </c>
      <c r="I1061" s="13149" t="s">
        <v>16</v>
      </c>
      <c r="J1061" s="13600" t="str">
        <f>HYPERLINK("\\192.168.170.18\drawings\2-Basic Components\0000-342 - Pipe Holders\0000-342-285-- - Top mounting-Pipe Holder DN250-Ø273.pdf", "PDF")</f>
        <v>PDF</v>
      </c>
    </row>
    <row r="1062" spans="1:10" ht="15.75" outlineLevel="2">
      <c r="A1062" s="1070" t="s">
        <v>1971</v>
      </c>
      <c r="B1062" s="2580" t="s">
        <v>56</v>
      </c>
      <c r="C1062" s="4090" t="s">
        <v>57</v>
      </c>
      <c r="D1062" s="5600"/>
      <c r="E1062" s="7110" t="s">
        <v>32</v>
      </c>
      <c r="F1062" s="8620" t="s">
        <v>58</v>
      </c>
      <c r="G1062" s="10130" t="s">
        <v>15</v>
      </c>
      <c r="H1062" s="11640">
        <v>8</v>
      </c>
      <c r="I1062" s="13150" t="s">
        <v>16</v>
      </c>
      <c r="J1062" s="13600" t="str">
        <f>HYPERLINK("\\192.168.170.18\drawings\2-Basic Components\0000-342 - Pipe Holders\0000-342-031-- - Pipe Holder DN250-Ø273.pdf", "PDF")</f>
        <v>PDF</v>
      </c>
    </row>
    <row r="1063" spans="1:10" outlineLevel="2">
      <c r="A1063" s="1071" t="s">
        <v>1972</v>
      </c>
      <c r="B1063" s="2581" t="s">
        <v>60</v>
      </c>
      <c r="C1063" s="4091" t="s">
        <v>61</v>
      </c>
      <c r="D1063" s="5601"/>
      <c r="E1063" s="7111" t="s">
        <v>25</v>
      </c>
      <c r="F1063" s="8621" t="s">
        <v>62</v>
      </c>
      <c r="G1063" s="10131" t="s">
        <v>15</v>
      </c>
      <c r="H1063" s="11641">
        <v>2</v>
      </c>
      <c r="I1063" s="13151" t="s">
        <v>16</v>
      </c>
      <c r="J1063" t="s">
        <v>28</v>
      </c>
    </row>
    <row r="1064" spans="1:10" outlineLevel="2">
      <c r="A1064" s="1072" t="s">
        <v>1973</v>
      </c>
      <c r="B1064" s="2582" t="s">
        <v>48</v>
      </c>
      <c r="C1064" s="4092" t="s">
        <v>64</v>
      </c>
      <c r="D1064" s="5602"/>
      <c r="E1064" s="7112" t="s">
        <v>25</v>
      </c>
      <c r="F1064" s="8622" t="s">
        <v>65</v>
      </c>
      <c r="G1064" s="10132" t="s">
        <v>27</v>
      </c>
      <c r="H1064" s="11642">
        <v>2</v>
      </c>
      <c r="I1064" s="13152"/>
      <c r="J1064" t="s">
        <v>28</v>
      </c>
    </row>
    <row r="1065" spans="1:10" outlineLevel="2">
      <c r="A1065" s="1073" t="s">
        <v>1974</v>
      </c>
      <c r="B1065" s="2583" t="s">
        <v>67</v>
      </c>
      <c r="C1065" s="4093" t="s">
        <v>68</v>
      </c>
      <c r="D1065" s="5603"/>
      <c r="E1065" s="7113" t="s">
        <v>25</v>
      </c>
      <c r="F1065" s="8623" t="s">
        <v>69</v>
      </c>
      <c r="G1065" s="10133" t="s">
        <v>27</v>
      </c>
      <c r="H1065" s="11643">
        <v>1</v>
      </c>
      <c r="I1065" s="13153" t="s">
        <v>16</v>
      </c>
      <c r="J1065" t="s">
        <v>28</v>
      </c>
    </row>
    <row r="1066" spans="1:10" outlineLevel="2">
      <c r="A1066" s="1074" t="s">
        <v>1975</v>
      </c>
      <c r="B1066" s="2584" t="s">
        <v>23</v>
      </c>
      <c r="C1066" s="4094" t="s">
        <v>71</v>
      </c>
      <c r="D1066" s="5604"/>
      <c r="E1066" s="7114" t="s">
        <v>25</v>
      </c>
      <c r="F1066" s="8624" t="s">
        <v>72</v>
      </c>
      <c r="G1066" s="10134" t="s">
        <v>27</v>
      </c>
      <c r="H1066" s="11644">
        <v>1</v>
      </c>
      <c r="I1066" s="13154"/>
      <c r="J1066" t="s">
        <v>28</v>
      </c>
    </row>
    <row r="1067" spans="1:10" outlineLevel="2">
      <c r="A1067" s="1075" t="s">
        <v>1976</v>
      </c>
      <c r="B1067" s="2585" t="s">
        <v>30</v>
      </c>
      <c r="C1067" s="4095" t="s">
        <v>74</v>
      </c>
      <c r="D1067" s="5605"/>
      <c r="E1067" s="7115" t="s">
        <v>32</v>
      </c>
      <c r="F1067" s="8625" t="s">
        <v>75</v>
      </c>
      <c r="G1067" s="10135" t="s">
        <v>27</v>
      </c>
      <c r="H1067" s="11645">
        <v>1</v>
      </c>
      <c r="I1067" s="13155"/>
      <c r="J1067" t="s">
        <v>28</v>
      </c>
    </row>
    <row r="1068" spans="1:10" outlineLevel="2">
      <c r="A1068" s="1076" t="s">
        <v>1977</v>
      </c>
      <c r="B1068" s="2586" t="s">
        <v>77</v>
      </c>
      <c r="C1068" s="4096" t="s">
        <v>78</v>
      </c>
      <c r="D1068" s="5606"/>
      <c r="E1068" s="7116" t="s">
        <v>25</v>
      </c>
      <c r="F1068" s="8626" t="s">
        <v>79</v>
      </c>
      <c r="G1068" s="10136" t="s">
        <v>27</v>
      </c>
      <c r="H1068" s="11646">
        <v>1</v>
      </c>
      <c r="I1068" s="13156"/>
      <c r="J1068" t="s">
        <v>28</v>
      </c>
    </row>
    <row r="1069" spans="1:10" outlineLevel="2">
      <c r="A1069" s="1077" t="s">
        <v>1978</v>
      </c>
      <c r="B1069" s="2587" t="s">
        <v>81</v>
      </c>
      <c r="C1069" s="4097" t="s">
        <v>82</v>
      </c>
      <c r="D1069" s="5607"/>
      <c r="E1069" s="7117" t="s">
        <v>83</v>
      </c>
      <c r="F1069" s="8627" t="s">
        <v>84</v>
      </c>
      <c r="G1069" s="10137" t="s">
        <v>27</v>
      </c>
      <c r="H1069" s="11647">
        <v>1</v>
      </c>
      <c r="I1069" s="13157"/>
      <c r="J1069" t="s">
        <v>28</v>
      </c>
    </row>
    <row r="1070" spans="1:10" outlineLevel="1">
      <c r="A1070" s="1078" t="s">
        <v>1979</v>
      </c>
      <c r="B1070" s="2588" t="s">
        <v>1980</v>
      </c>
      <c r="C1070" s="4098" t="s">
        <v>87</v>
      </c>
      <c r="D1070" s="5608" t="s">
        <v>13</v>
      </c>
      <c r="E1070" s="7118"/>
      <c r="F1070" s="8628" t="s">
        <v>1981</v>
      </c>
      <c r="G1070" s="10138" t="s">
        <v>15</v>
      </c>
      <c r="H1070" s="11648">
        <v>1</v>
      </c>
      <c r="I1070" s="13158" t="s">
        <v>16</v>
      </c>
      <c r="J1070" t="s">
        <v>28</v>
      </c>
    </row>
    <row r="1071" spans="1:10" outlineLevel="2">
      <c r="A1071" s="1079" t="s">
        <v>1982</v>
      </c>
      <c r="B1071" s="2589" t="s">
        <v>90</v>
      </c>
      <c r="C1071" s="4099" t="s">
        <v>91</v>
      </c>
      <c r="D1071" s="5609"/>
      <c r="E1071" s="7119" t="s">
        <v>92</v>
      </c>
      <c r="F1071" s="8629" t="s">
        <v>1983</v>
      </c>
      <c r="G1071" s="10139" t="s">
        <v>15</v>
      </c>
      <c r="H1071" s="11649">
        <v>1</v>
      </c>
      <c r="I1071" s="13159" t="s">
        <v>16</v>
      </c>
      <c r="J1071" t="s">
        <v>28</v>
      </c>
    </row>
    <row r="1072" spans="1:10" outlineLevel="2">
      <c r="A1072" s="1080" t="s">
        <v>1984</v>
      </c>
      <c r="B1072" s="2590" t="s">
        <v>95</v>
      </c>
      <c r="C1072" s="4100" t="s">
        <v>96</v>
      </c>
      <c r="D1072" s="5610"/>
      <c r="E1072" s="7120" t="s">
        <v>97</v>
      </c>
      <c r="F1072" s="8630" t="s">
        <v>1985</v>
      </c>
      <c r="G1072" s="10140" t="s">
        <v>15</v>
      </c>
      <c r="H1072" s="11650">
        <v>1</v>
      </c>
      <c r="I1072" s="13160" t="s">
        <v>16</v>
      </c>
      <c r="J1072" t="s">
        <v>28</v>
      </c>
    </row>
    <row r="1073" spans="1:10" outlineLevel="2">
      <c r="A1073" s="1081" t="s">
        <v>1986</v>
      </c>
      <c r="B1073" s="2591" t="s">
        <v>95</v>
      </c>
      <c r="C1073" s="4101" t="s">
        <v>100</v>
      </c>
      <c r="D1073" s="5611"/>
      <c r="E1073" s="7121" t="s">
        <v>97</v>
      </c>
      <c r="F1073" s="8631" t="s">
        <v>1987</v>
      </c>
      <c r="G1073" s="10141" t="s">
        <v>15</v>
      </c>
      <c r="H1073" s="11651">
        <v>1</v>
      </c>
      <c r="I1073" s="13161" t="s">
        <v>16</v>
      </c>
      <c r="J1073" t="s">
        <v>28</v>
      </c>
    </row>
    <row r="1074" spans="1:10" outlineLevel="2">
      <c r="A1074" s="1082" t="s">
        <v>1988</v>
      </c>
      <c r="B1074" s="2592" t="s">
        <v>81</v>
      </c>
      <c r="C1074" s="4102" t="s">
        <v>82</v>
      </c>
      <c r="D1074" s="5612"/>
      <c r="E1074" s="7122" t="s">
        <v>83</v>
      </c>
      <c r="F1074" s="8632" t="s">
        <v>84</v>
      </c>
      <c r="G1074" s="10142" t="s">
        <v>27</v>
      </c>
      <c r="H1074" s="11652">
        <v>3</v>
      </c>
      <c r="I1074" s="13162"/>
      <c r="J1074" t="s">
        <v>28</v>
      </c>
    </row>
    <row r="1075" spans="1:10" outlineLevel="2">
      <c r="A1075" s="1083" t="s">
        <v>1989</v>
      </c>
      <c r="B1075" s="2593" t="s">
        <v>104</v>
      </c>
      <c r="C1075" s="4103" t="s">
        <v>105</v>
      </c>
      <c r="D1075" s="5613"/>
      <c r="E1075" s="7123" t="s">
        <v>32</v>
      </c>
      <c r="F1075" s="8633" t="s">
        <v>106</v>
      </c>
      <c r="G1075" s="10143" t="s">
        <v>15</v>
      </c>
      <c r="H1075" s="11653">
        <v>1</v>
      </c>
      <c r="I1075" s="13163" t="s">
        <v>16</v>
      </c>
      <c r="J1075" t="s">
        <v>28</v>
      </c>
    </row>
    <row r="1076" spans="1:10" outlineLevel="2">
      <c r="A1076" s="1084" t="s">
        <v>1990</v>
      </c>
      <c r="B1076" s="2594" t="s">
        <v>108</v>
      </c>
      <c r="C1076" s="4104" t="s">
        <v>109</v>
      </c>
      <c r="D1076" s="5614"/>
      <c r="E1076" s="7124" t="s">
        <v>83</v>
      </c>
      <c r="F1076" s="8634" t="s">
        <v>110</v>
      </c>
      <c r="G1076" s="10144" t="s">
        <v>27</v>
      </c>
      <c r="H1076" s="11654">
        <v>1</v>
      </c>
      <c r="I1076" s="13164"/>
      <c r="J1076" t="s">
        <v>28</v>
      </c>
    </row>
    <row r="1077" spans="1:10" outlineLevel="1">
      <c r="A1077" s="1085" t="s">
        <v>1991</v>
      </c>
      <c r="B1077" s="2595" t="s">
        <v>1992</v>
      </c>
      <c r="C1077" s="4105" t="s">
        <v>113</v>
      </c>
      <c r="D1077" s="5615" t="s">
        <v>13</v>
      </c>
      <c r="E1077" s="7125"/>
      <c r="F1077" s="8635" t="s">
        <v>1993</v>
      </c>
      <c r="G1077" s="10145" t="s">
        <v>15</v>
      </c>
      <c r="H1077" s="11655">
        <v>1</v>
      </c>
      <c r="I1077" s="13165" t="s">
        <v>16</v>
      </c>
      <c r="J1077" t="s">
        <v>28</v>
      </c>
    </row>
    <row r="1078" spans="1:10" outlineLevel="2">
      <c r="A1078" s="1086" t="s">
        <v>1994</v>
      </c>
      <c r="B1078" s="2596" t="s">
        <v>1995</v>
      </c>
      <c r="C1078" s="4106" t="s">
        <v>116</v>
      </c>
      <c r="D1078" s="5616"/>
      <c r="E1078" s="7126" t="s">
        <v>97</v>
      </c>
      <c r="F1078" s="8636" t="s">
        <v>1996</v>
      </c>
      <c r="G1078" s="10146" t="s">
        <v>15</v>
      </c>
      <c r="H1078" s="11656">
        <v>1</v>
      </c>
      <c r="I1078" s="13166" t="s">
        <v>16</v>
      </c>
      <c r="J1078" t="s">
        <v>28</v>
      </c>
    </row>
    <row r="1079" spans="1:10" outlineLevel="1">
      <c r="A1079" s="1087" t="s">
        <v>1997</v>
      </c>
      <c r="B1079" s="2597" t="s">
        <v>1998</v>
      </c>
      <c r="C1079" s="4107" t="s">
        <v>120</v>
      </c>
      <c r="D1079" s="5617" t="s">
        <v>13</v>
      </c>
      <c r="E1079" s="7127"/>
      <c r="F1079" s="8637" t="s">
        <v>1999</v>
      </c>
      <c r="G1079" s="10147" t="s">
        <v>15</v>
      </c>
      <c r="H1079" s="11657">
        <v>1</v>
      </c>
      <c r="I1079" s="13167" t="s">
        <v>16</v>
      </c>
      <c r="J1079" t="s">
        <v>28</v>
      </c>
    </row>
    <row r="1080" spans="1:10" outlineLevel="2">
      <c r="A1080" s="1088" t="s">
        <v>2000</v>
      </c>
      <c r="B1080" s="2598" t="s">
        <v>2001</v>
      </c>
      <c r="C1080" s="4108" t="s">
        <v>123</v>
      </c>
      <c r="D1080" s="5618"/>
      <c r="E1080" s="7128" t="s">
        <v>97</v>
      </c>
      <c r="F1080" s="8638" t="s">
        <v>2002</v>
      </c>
      <c r="G1080" s="10148" t="s">
        <v>15</v>
      </c>
      <c r="H1080" s="11658">
        <v>1</v>
      </c>
      <c r="I1080" s="13168" t="s">
        <v>16</v>
      </c>
      <c r="J1080" t="s">
        <v>28</v>
      </c>
    </row>
    <row r="1081" spans="1:10" outlineLevel="1">
      <c r="A1081" s="1089" t="s">
        <v>2003</v>
      </c>
      <c r="B1081" s="2599" t="s">
        <v>2004</v>
      </c>
      <c r="C1081" s="4109"/>
      <c r="D1081" s="5619"/>
      <c r="E1081" s="7129"/>
      <c r="F1081" s="8639" t="s">
        <v>2005</v>
      </c>
      <c r="G1081" s="10149" t="s">
        <v>15</v>
      </c>
      <c r="H1081" s="11659">
        <v>1</v>
      </c>
      <c r="I1081" s="13169" t="s">
        <v>16</v>
      </c>
      <c r="J1081" t="s">
        <v>28</v>
      </c>
    </row>
    <row r="1082" spans="1:10" outlineLevel="2">
      <c r="A1082" s="1090" t="s">
        <v>2006</v>
      </c>
      <c r="B1082" s="2600" t="s">
        <v>2007</v>
      </c>
      <c r="C1082" s="4110" t="s">
        <v>2008</v>
      </c>
      <c r="D1082" s="5620" t="s">
        <v>13</v>
      </c>
      <c r="E1082" s="7130"/>
      <c r="F1082" s="8640" t="s">
        <v>2009</v>
      </c>
      <c r="G1082" s="10150" t="s">
        <v>15</v>
      </c>
      <c r="H1082" s="11660">
        <v>1</v>
      </c>
      <c r="I1082" s="13170" t="s">
        <v>16</v>
      </c>
      <c r="J1082" t="s">
        <v>28</v>
      </c>
    </row>
    <row r="1083" spans="1:10" outlineLevel="3">
      <c r="A1083" s="1091" t="s">
        <v>2010</v>
      </c>
      <c r="B1083" s="2601" t="s">
        <v>35</v>
      </c>
      <c r="C1083" s="4111" t="s">
        <v>2011</v>
      </c>
      <c r="D1083" s="5621"/>
      <c r="E1083" s="7131" t="s">
        <v>32</v>
      </c>
      <c r="F1083" s="8641" t="s">
        <v>2012</v>
      </c>
      <c r="G1083" s="10151" t="s">
        <v>15</v>
      </c>
      <c r="H1083" s="11661">
        <v>1</v>
      </c>
      <c r="I1083" s="13171" t="s">
        <v>16</v>
      </c>
      <c r="J1083" t="s">
        <v>28</v>
      </c>
    </row>
    <row r="1084" spans="1:10" outlineLevel="2">
      <c r="A1084" s="1092" t="s">
        <v>2013</v>
      </c>
      <c r="B1084" s="2602" t="s">
        <v>2014</v>
      </c>
      <c r="C1084" s="4112" t="s">
        <v>2008</v>
      </c>
      <c r="D1084" s="5622" t="s">
        <v>13</v>
      </c>
      <c r="E1084" s="7132"/>
      <c r="F1084" s="8642" t="s">
        <v>2015</v>
      </c>
      <c r="G1084" s="10152" t="s">
        <v>15</v>
      </c>
      <c r="H1084" s="11662">
        <v>1</v>
      </c>
      <c r="I1084" s="13172" t="s">
        <v>16</v>
      </c>
      <c r="J1084" t="s">
        <v>28</v>
      </c>
    </row>
    <row r="1085" spans="1:10" outlineLevel="3">
      <c r="A1085" s="1093" t="s">
        <v>2016</v>
      </c>
      <c r="B1085" s="2603" t="s">
        <v>35</v>
      </c>
      <c r="C1085" s="4113" t="s">
        <v>2017</v>
      </c>
      <c r="D1085" s="5623"/>
      <c r="E1085" s="7133" t="s">
        <v>32</v>
      </c>
      <c r="F1085" s="8643" t="s">
        <v>2018</v>
      </c>
      <c r="G1085" s="10153" t="s">
        <v>15</v>
      </c>
      <c r="H1085" s="11663">
        <v>1</v>
      </c>
      <c r="I1085" s="13173" t="s">
        <v>16</v>
      </c>
      <c r="J1085" t="s">
        <v>28</v>
      </c>
    </row>
    <row r="1086" spans="1:10" outlineLevel="2">
      <c r="A1086" s="1094" t="s">
        <v>2019</v>
      </c>
      <c r="B1086" s="2604" t="s">
        <v>35</v>
      </c>
      <c r="C1086" s="4114" t="s">
        <v>2020</v>
      </c>
      <c r="D1086" s="5624"/>
      <c r="E1086" s="7134" t="s">
        <v>32</v>
      </c>
      <c r="F1086" s="8644" t="s">
        <v>2021</v>
      </c>
      <c r="G1086" s="10154" t="s">
        <v>15</v>
      </c>
      <c r="H1086" s="11664">
        <v>1</v>
      </c>
      <c r="I1086" s="13174" t="s">
        <v>16</v>
      </c>
      <c r="J1086" t="s">
        <v>28</v>
      </c>
    </row>
    <row r="1087" spans="1:10" outlineLevel="2">
      <c r="A1087" s="1095" t="s">
        <v>2022</v>
      </c>
      <c r="B1087" s="2605" t="s">
        <v>2023</v>
      </c>
      <c r="C1087" s="4115" t="s">
        <v>595</v>
      </c>
      <c r="D1087" s="5625" t="s">
        <v>13</v>
      </c>
      <c r="E1087" s="7135"/>
      <c r="F1087" s="8645" t="s">
        <v>2024</v>
      </c>
      <c r="G1087" s="10155" t="s">
        <v>15</v>
      </c>
      <c r="H1087" s="11665">
        <v>1</v>
      </c>
      <c r="I1087" s="13175" t="s">
        <v>16</v>
      </c>
      <c r="J1087" t="s">
        <v>28</v>
      </c>
    </row>
    <row r="1088" spans="1:10" outlineLevel="3">
      <c r="A1088" s="1096" t="s">
        <v>2025</v>
      </c>
      <c r="B1088" s="2606" t="s">
        <v>598</v>
      </c>
      <c r="C1088" s="4116" t="s">
        <v>2026</v>
      </c>
      <c r="D1088" s="5626"/>
      <c r="E1088" s="7136" t="s">
        <v>600</v>
      </c>
      <c r="F1088" s="8646" t="s">
        <v>2027</v>
      </c>
      <c r="G1088" s="10156" t="s">
        <v>15</v>
      </c>
      <c r="H1088" s="11666">
        <v>1</v>
      </c>
      <c r="I1088" s="13176" t="s">
        <v>16</v>
      </c>
      <c r="J1088" t="s">
        <v>28</v>
      </c>
    </row>
    <row r="1089" spans="1:10" outlineLevel="3">
      <c r="A1089" s="1097" t="s">
        <v>2028</v>
      </c>
      <c r="B1089" s="2607" t="s">
        <v>603</v>
      </c>
      <c r="C1089" s="4117" t="s">
        <v>604</v>
      </c>
      <c r="D1089" s="5627"/>
      <c r="E1089" s="7137" t="s">
        <v>32</v>
      </c>
      <c r="F1089" s="8647" t="s">
        <v>605</v>
      </c>
      <c r="G1089" s="10157" t="s">
        <v>27</v>
      </c>
      <c r="H1089" s="11667">
        <v>4</v>
      </c>
      <c r="I1089" s="13177"/>
      <c r="J1089" t="s">
        <v>28</v>
      </c>
    </row>
    <row r="1090" spans="1:10" outlineLevel="3">
      <c r="A1090" s="1098" t="s">
        <v>2029</v>
      </c>
      <c r="B1090" s="2608" t="s">
        <v>30</v>
      </c>
      <c r="C1090" s="4118" t="s">
        <v>607</v>
      </c>
      <c r="D1090" s="5628"/>
      <c r="E1090" s="7138" t="s">
        <v>32</v>
      </c>
      <c r="F1090" s="8648" t="s">
        <v>608</v>
      </c>
      <c r="G1090" s="10158" t="s">
        <v>27</v>
      </c>
      <c r="H1090" s="11668">
        <v>4</v>
      </c>
      <c r="I1090" s="13178"/>
      <c r="J1090" t="s">
        <v>28</v>
      </c>
    </row>
    <row r="1091" spans="1:10" outlineLevel="3">
      <c r="A1091" s="1099" t="s">
        <v>2030</v>
      </c>
      <c r="B1091" s="2609" t="s">
        <v>23</v>
      </c>
      <c r="C1091" s="4119" t="s">
        <v>610</v>
      </c>
      <c r="D1091" s="5629"/>
      <c r="E1091" s="7139" t="s">
        <v>32</v>
      </c>
      <c r="F1091" s="8649" t="s">
        <v>611</v>
      </c>
      <c r="G1091" s="10159" t="s">
        <v>27</v>
      </c>
      <c r="H1091" s="11669">
        <v>4</v>
      </c>
      <c r="I1091" s="13179"/>
      <c r="J1091" t="s">
        <v>28</v>
      </c>
    </row>
    <row r="1092" spans="1:10" outlineLevel="3">
      <c r="A1092" s="1100" t="s">
        <v>2031</v>
      </c>
      <c r="B1092" s="2610" t="s">
        <v>23</v>
      </c>
      <c r="C1092" s="4120" t="s">
        <v>613</v>
      </c>
      <c r="D1092" s="5630"/>
      <c r="E1092" s="7140" t="s">
        <v>32</v>
      </c>
      <c r="F1092" s="8650" t="s">
        <v>614</v>
      </c>
      <c r="G1092" s="10160" t="s">
        <v>27</v>
      </c>
      <c r="H1092" s="11670">
        <v>6</v>
      </c>
      <c r="I1092" s="13180"/>
      <c r="J1092" t="s">
        <v>28</v>
      </c>
    </row>
    <row r="1093" spans="1:10" outlineLevel="3">
      <c r="A1093" s="1101" t="s">
        <v>2032</v>
      </c>
      <c r="B1093" s="2611" t="s">
        <v>30</v>
      </c>
      <c r="C1093" s="4121" t="s">
        <v>616</v>
      </c>
      <c r="D1093" s="5631"/>
      <c r="E1093" s="7141" t="s">
        <v>32</v>
      </c>
      <c r="F1093" s="8651" t="s">
        <v>617</v>
      </c>
      <c r="G1093" s="10161" t="s">
        <v>27</v>
      </c>
      <c r="H1093" s="11671">
        <v>6</v>
      </c>
      <c r="I1093" s="13181"/>
      <c r="J1093" t="s">
        <v>28</v>
      </c>
    </row>
    <row r="1094" spans="1:10" outlineLevel="3">
      <c r="A1094" s="1102" t="s">
        <v>2033</v>
      </c>
      <c r="B1094" s="2612" t="s">
        <v>619</v>
      </c>
      <c r="C1094" s="4122" t="s">
        <v>620</v>
      </c>
      <c r="D1094" s="5632"/>
      <c r="E1094" s="7142" t="s">
        <v>16</v>
      </c>
      <c r="F1094" s="8652" t="s">
        <v>621</v>
      </c>
      <c r="G1094" s="10162" t="s">
        <v>27</v>
      </c>
      <c r="H1094" s="11672">
        <v>1</v>
      </c>
      <c r="I1094" s="13182"/>
      <c r="J1094" t="s">
        <v>28</v>
      </c>
    </row>
    <row r="1095" spans="1:10" outlineLevel="3">
      <c r="A1095" s="1103" t="s">
        <v>2034</v>
      </c>
      <c r="B1095" s="2613" t="s">
        <v>623</v>
      </c>
      <c r="C1095" s="4123" t="s">
        <v>624</v>
      </c>
      <c r="D1095" s="5633"/>
      <c r="E1095" s="7143" t="s">
        <v>16</v>
      </c>
      <c r="F1095" s="8653" t="s">
        <v>625</v>
      </c>
      <c r="G1095" s="10163" t="s">
        <v>27</v>
      </c>
      <c r="H1095" s="11673">
        <v>2</v>
      </c>
      <c r="I1095" s="13183"/>
      <c r="J1095" t="s">
        <v>28</v>
      </c>
    </row>
    <row r="1096" spans="1:10" outlineLevel="2">
      <c r="A1096" s="1104" t="s">
        <v>2035</v>
      </c>
      <c r="B1096" s="2614" t="s">
        <v>2036</v>
      </c>
      <c r="C1096" s="4124" t="s">
        <v>595</v>
      </c>
      <c r="D1096" s="5634" t="s">
        <v>13</v>
      </c>
      <c r="E1096" s="7144"/>
      <c r="F1096" s="8654" t="s">
        <v>2037</v>
      </c>
      <c r="G1096" s="10164" t="s">
        <v>15</v>
      </c>
      <c r="H1096" s="11674">
        <v>1</v>
      </c>
      <c r="I1096" s="13184" t="s">
        <v>16</v>
      </c>
      <c r="J1096" t="s">
        <v>28</v>
      </c>
    </row>
    <row r="1097" spans="1:10" outlineLevel="3">
      <c r="A1097" s="1105" t="s">
        <v>2038</v>
      </c>
      <c r="B1097" s="2615" t="s">
        <v>243</v>
      </c>
      <c r="C1097" s="4125" t="s">
        <v>690</v>
      </c>
      <c r="D1097" s="5635"/>
      <c r="E1097" s="7145" t="s">
        <v>16</v>
      </c>
      <c r="F1097" s="8655" t="s">
        <v>691</v>
      </c>
      <c r="G1097" s="10165" t="s">
        <v>15</v>
      </c>
      <c r="H1097" s="11675">
        <v>6</v>
      </c>
      <c r="I1097" s="13185"/>
      <c r="J1097" t="s">
        <v>28</v>
      </c>
    </row>
    <row r="1098" spans="1:10" outlineLevel="3">
      <c r="A1098" s="1106" t="s">
        <v>2039</v>
      </c>
      <c r="B1098" s="2616" t="s">
        <v>35</v>
      </c>
      <c r="C1098" s="4126" t="s">
        <v>2040</v>
      </c>
      <c r="D1098" s="5636"/>
      <c r="E1098" s="7146" t="s">
        <v>32</v>
      </c>
      <c r="F1098" s="8656" t="s">
        <v>2041</v>
      </c>
      <c r="G1098" s="10166" t="s">
        <v>15</v>
      </c>
      <c r="H1098" s="11676">
        <v>1</v>
      </c>
      <c r="I1098" s="13186" t="s">
        <v>16</v>
      </c>
      <c r="J1098" t="s">
        <v>28</v>
      </c>
    </row>
    <row r="1099" spans="1:10" outlineLevel="3">
      <c r="A1099" s="1107" t="s">
        <v>2042</v>
      </c>
      <c r="B1099" s="2617" t="s">
        <v>23</v>
      </c>
      <c r="C1099" s="4127" t="s">
        <v>610</v>
      </c>
      <c r="D1099" s="5637"/>
      <c r="E1099" s="7147" t="s">
        <v>32</v>
      </c>
      <c r="F1099" s="8657" t="s">
        <v>611</v>
      </c>
      <c r="G1099" s="10167" t="s">
        <v>27</v>
      </c>
      <c r="H1099" s="11677">
        <v>28</v>
      </c>
      <c r="I1099" s="13187"/>
      <c r="J1099" t="s">
        <v>28</v>
      </c>
    </row>
    <row r="1100" spans="1:10" outlineLevel="3">
      <c r="A1100" s="1108" t="s">
        <v>2043</v>
      </c>
      <c r="B1100" s="2618" t="s">
        <v>30</v>
      </c>
      <c r="C1100" s="4128" t="s">
        <v>607</v>
      </c>
      <c r="D1100" s="5638"/>
      <c r="E1100" s="7148" t="s">
        <v>32</v>
      </c>
      <c r="F1100" s="8658" t="s">
        <v>608</v>
      </c>
      <c r="G1100" s="10168" t="s">
        <v>27</v>
      </c>
      <c r="H1100" s="11678">
        <v>28</v>
      </c>
      <c r="I1100" s="13188"/>
      <c r="J1100" t="s">
        <v>28</v>
      </c>
    </row>
    <row r="1101" spans="1:10" outlineLevel="3">
      <c r="A1101" s="1109" t="s">
        <v>2044</v>
      </c>
      <c r="B1101" s="2619" t="s">
        <v>48</v>
      </c>
      <c r="C1101" s="4129" t="s">
        <v>698</v>
      </c>
      <c r="D1101" s="5639"/>
      <c r="E1101" s="7149" t="s">
        <v>32</v>
      </c>
      <c r="F1101" s="8659" t="s">
        <v>699</v>
      </c>
      <c r="G1101" s="10169" t="s">
        <v>27</v>
      </c>
      <c r="H1101" s="11679">
        <v>4</v>
      </c>
      <c r="I1101" s="13189"/>
      <c r="J1101" t="s">
        <v>28</v>
      </c>
    </row>
    <row r="1102" spans="1:10" outlineLevel="3">
      <c r="A1102" s="1110" t="s">
        <v>2045</v>
      </c>
      <c r="B1102" s="2620" t="s">
        <v>48</v>
      </c>
      <c r="C1102" s="4130" t="s">
        <v>701</v>
      </c>
      <c r="D1102" s="5640"/>
      <c r="E1102" s="7150" t="s">
        <v>32</v>
      </c>
      <c r="F1102" s="8660" t="s">
        <v>702</v>
      </c>
      <c r="G1102" s="10170" t="s">
        <v>27</v>
      </c>
      <c r="H1102" s="11680">
        <v>9</v>
      </c>
      <c r="I1102" s="13190"/>
      <c r="J1102" t="s">
        <v>28</v>
      </c>
    </row>
    <row r="1103" spans="1:10" outlineLevel="3">
      <c r="A1103" s="1111" t="s">
        <v>2046</v>
      </c>
      <c r="B1103" s="2621" t="s">
        <v>704</v>
      </c>
      <c r="C1103" s="4131" t="s">
        <v>705</v>
      </c>
      <c r="D1103" s="5641"/>
      <c r="E1103" s="7151" t="s">
        <v>32</v>
      </c>
      <c r="F1103" s="8661" t="s">
        <v>706</v>
      </c>
      <c r="G1103" s="10171" t="s">
        <v>27</v>
      </c>
      <c r="H1103" s="11681">
        <v>2</v>
      </c>
      <c r="I1103" s="13191"/>
      <c r="J1103" t="s">
        <v>28</v>
      </c>
    </row>
    <row r="1104" spans="1:10" outlineLevel="3">
      <c r="A1104" s="1112" t="s">
        <v>2047</v>
      </c>
      <c r="B1104" s="2622" t="s">
        <v>708</v>
      </c>
      <c r="C1104" s="4132" t="s">
        <v>709</v>
      </c>
      <c r="D1104" s="5642"/>
      <c r="E1104" s="7152" t="s">
        <v>16</v>
      </c>
      <c r="F1104" s="8662" t="s">
        <v>710</v>
      </c>
      <c r="G1104" s="10172" t="s">
        <v>15</v>
      </c>
      <c r="H1104" s="11682">
        <v>4</v>
      </c>
      <c r="I1104" s="13192"/>
      <c r="J1104" t="s">
        <v>28</v>
      </c>
    </row>
    <row r="1105" spans="1:10" outlineLevel="3">
      <c r="A1105" s="1113" t="s">
        <v>2048</v>
      </c>
      <c r="B1105" s="2623" t="s">
        <v>712</v>
      </c>
      <c r="C1105" s="4133" t="s">
        <v>713</v>
      </c>
      <c r="D1105" s="5643"/>
      <c r="E1105" s="7153" t="s">
        <v>16</v>
      </c>
      <c r="F1105" s="8663" t="s">
        <v>714</v>
      </c>
      <c r="G1105" s="10173" t="s">
        <v>27</v>
      </c>
      <c r="H1105" s="11683">
        <v>4</v>
      </c>
      <c r="I1105" s="13193"/>
      <c r="J1105" t="s">
        <v>28</v>
      </c>
    </row>
    <row r="1106" spans="1:10" ht="15.75" outlineLevel="3">
      <c r="A1106" s="1114" t="s">
        <v>2049</v>
      </c>
      <c r="B1106" s="2624" t="s">
        <v>654</v>
      </c>
      <c r="C1106" s="4134" t="s">
        <v>655</v>
      </c>
      <c r="D1106" s="5644"/>
      <c r="E1106" s="7154"/>
      <c r="F1106" s="8664" t="s">
        <v>656</v>
      </c>
      <c r="G1106" s="10174" t="s">
        <v>15</v>
      </c>
      <c r="H1106" s="11684">
        <v>2</v>
      </c>
      <c r="I1106" s="13194" t="s">
        <v>16</v>
      </c>
      <c r="J1106" s="13600" t="str">
        <f>HYPERLINK("\\192.168.170.18\drawings\2-Basic Components\0000-342 - Pipe Holders\0000-342-021-- - Pipe holder foot L=200.pdf", "PDF")</f>
        <v>PDF</v>
      </c>
    </row>
    <row r="1107" spans="1:10" outlineLevel="4">
      <c r="A1107" s="1115" t="s">
        <v>2050</v>
      </c>
      <c r="B1107" s="2625" t="s">
        <v>275</v>
      </c>
      <c r="C1107" s="4135" t="s">
        <v>658</v>
      </c>
      <c r="D1107" s="5645"/>
      <c r="E1107" s="7155" t="s">
        <v>32</v>
      </c>
      <c r="F1107" s="8665" t="s">
        <v>659</v>
      </c>
      <c r="G1107" s="10175" t="s">
        <v>15</v>
      </c>
      <c r="H1107" s="11685">
        <v>1</v>
      </c>
      <c r="I1107" s="13195" t="s">
        <v>16</v>
      </c>
      <c r="J1107" t="s">
        <v>28</v>
      </c>
    </row>
    <row r="1108" spans="1:10" outlineLevel="4">
      <c r="A1108" s="1116" t="s">
        <v>2051</v>
      </c>
      <c r="B1108" s="2626" t="s">
        <v>661</v>
      </c>
      <c r="C1108" s="4136" t="s">
        <v>662</v>
      </c>
      <c r="D1108" s="5646"/>
      <c r="E1108" s="7156" t="s">
        <v>32</v>
      </c>
      <c r="F1108" s="8666" t="s">
        <v>663</v>
      </c>
      <c r="G1108" s="10176" t="s">
        <v>15</v>
      </c>
      <c r="H1108" s="11686">
        <v>1</v>
      </c>
      <c r="I1108" s="13196" t="s">
        <v>16</v>
      </c>
      <c r="J1108" t="s">
        <v>28</v>
      </c>
    </row>
    <row r="1109" spans="1:10" outlineLevel="4">
      <c r="A1109" s="1117" t="s">
        <v>2052</v>
      </c>
      <c r="B1109" s="2627" t="s">
        <v>665</v>
      </c>
      <c r="C1109" s="4137" t="s">
        <v>666</v>
      </c>
      <c r="D1109" s="5647"/>
      <c r="E1109" s="7157" t="s">
        <v>667</v>
      </c>
      <c r="F1109" s="8667" t="s">
        <v>668</v>
      </c>
      <c r="G1109" s="10177" t="s">
        <v>27</v>
      </c>
      <c r="H1109" s="11687">
        <v>1</v>
      </c>
      <c r="I1109" s="13197" t="s">
        <v>16</v>
      </c>
      <c r="J1109" t="s">
        <v>28</v>
      </c>
    </row>
    <row r="1110" spans="1:10" outlineLevel="4">
      <c r="A1110" s="1118" t="s">
        <v>2053</v>
      </c>
      <c r="B1110" s="2628" t="s">
        <v>670</v>
      </c>
      <c r="C1110" s="4138" t="s">
        <v>671</v>
      </c>
      <c r="D1110" s="5648"/>
      <c r="E1110" s="7158" t="s">
        <v>667</v>
      </c>
      <c r="F1110" s="8668" t="s">
        <v>672</v>
      </c>
      <c r="G1110" s="10178" t="s">
        <v>27</v>
      </c>
      <c r="H1110" s="11688">
        <v>1</v>
      </c>
      <c r="I1110" s="13198" t="s">
        <v>16</v>
      </c>
      <c r="J1110" t="s">
        <v>28</v>
      </c>
    </row>
    <row r="1111" spans="1:10" ht="15.75" outlineLevel="3">
      <c r="A1111" s="1119" t="s">
        <v>2054</v>
      </c>
      <c r="B1111" s="2629" t="s">
        <v>721</v>
      </c>
      <c r="C1111" s="4139" t="s">
        <v>722</v>
      </c>
      <c r="D1111" s="5649"/>
      <c r="E1111" s="7159" t="s">
        <v>32</v>
      </c>
      <c r="F1111" s="8669" t="s">
        <v>723</v>
      </c>
      <c r="G1111" s="10179" t="s">
        <v>15</v>
      </c>
      <c r="H1111" s="11689">
        <v>2</v>
      </c>
      <c r="I1111" s="13199" t="s">
        <v>16</v>
      </c>
      <c r="J1111" s="13600" t="str">
        <f>HYPERLINK("\\192.168.170.18\drawings\2-Basic Components\0000-342 - Pipe Holders\0000-342-028-- - Pipe Holder DN100-Ø114,3.pdf", "PDF")</f>
        <v>PDF</v>
      </c>
    </row>
    <row r="1112" spans="1:10">
      <c r="A1112" s="1120" t="s">
        <v>2055</v>
      </c>
      <c r="B1112" s="2630" t="s">
        <v>2056</v>
      </c>
      <c r="C1112" s="4140" t="s">
        <v>152</v>
      </c>
      <c r="D1112" s="5650" t="s">
        <v>13</v>
      </c>
      <c r="E1112" s="7160" t="s">
        <v>153</v>
      </c>
      <c r="F1112" s="8670" t="s">
        <v>2057</v>
      </c>
      <c r="G1112" s="10180" t="s">
        <v>15</v>
      </c>
      <c r="H1112" s="11690">
        <v>1</v>
      </c>
      <c r="I1112" s="13200" t="s">
        <v>16</v>
      </c>
      <c r="J1112" t="s">
        <v>28</v>
      </c>
    </row>
    <row r="1113" spans="1:10" ht="15.75">
      <c r="A1113" s="1121" t="s">
        <v>2058</v>
      </c>
      <c r="B1113" s="2631" t="s">
        <v>2059</v>
      </c>
      <c r="C1113" s="4141" t="s">
        <v>157</v>
      </c>
      <c r="D1113" s="5651" t="s">
        <v>2060</v>
      </c>
      <c r="E1113" s="7161"/>
      <c r="F1113" s="8671" t="s">
        <v>2061</v>
      </c>
      <c r="G1113" s="10181" t="s">
        <v>15</v>
      </c>
      <c r="H1113" s="11691">
        <v>1</v>
      </c>
      <c r="I1113" s="13201" t="s">
        <v>16</v>
      </c>
      <c r="J1113" s="13600" t="str">
        <f>HYPERLINK("\\192.168.170.18\drawings\5-Projects\2500 - Aabenraa\Area 04 - Digester Area\Eqiupment\2500-615 Digester\2500-615-002-- - Digester - Assembly - 9500m³.pdf", "PDF")</f>
        <v>PDF</v>
      </c>
    </row>
    <row r="1114" spans="1:10" ht="15.75" outlineLevel="1">
      <c r="A1114" s="1122" t="s">
        <v>2062</v>
      </c>
      <c r="B1114" s="2632" t="s">
        <v>2063</v>
      </c>
      <c r="C1114" s="4142" t="s">
        <v>161</v>
      </c>
      <c r="D1114" s="5652" t="s">
        <v>2064</v>
      </c>
      <c r="E1114" s="7162"/>
      <c r="F1114" s="8672" t="s">
        <v>2065</v>
      </c>
      <c r="G1114" s="10182" t="s">
        <v>15</v>
      </c>
      <c r="H1114" s="11692">
        <v>1</v>
      </c>
      <c r="I1114" s="13202" t="s">
        <v>16</v>
      </c>
      <c r="J1114" s="13600" t="str">
        <f>HYPERLINK("\\192.168.170.18\drawings\5-Projects\2500 - Aabenraa\Area 04 - Digester Area\Eqiupment\2500-615 Digester\2500-615-902-- - Digester 9500m³.pdf", "PDF")</f>
        <v>PDF</v>
      </c>
    </row>
    <row r="1115" spans="1:10" outlineLevel="2">
      <c r="A1115" s="1123" t="s">
        <v>2066</v>
      </c>
      <c r="B1115" s="2633" t="s">
        <v>2067</v>
      </c>
      <c r="C1115" s="4143" t="s">
        <v>166</v>
      </c>
      <c r="D1115" s="5653"/>
      <c r="E1115" s="7163" t="s">
        <v>32</v>
      </c>
      <c r="F1115" s="8673" t="s">
        <v>2068</v>
      </c>
      <c r="G1115" s="10183" t="s">
        <v>15</v>
      </c>
      <c r="H1115" s="11693">
        <v>1</v>
      </c>
      <c r="I1115" s="13203" t="s">
        <v>16</v>
      </c>
      <c r="J1115" t="s">
        <v>28</v>
      </c>
    </row>
    <row r="1116" spans="1:10" outlineLevel="2">
      <c r="A1116" s="1124" t="s">
        <v>2069</v>
      </c>
      <c r="B1116" s="2634" t="s">
        <v>2070</v>
      </c>
      <c r="C1116" s="4144" t="s">
        <v>170</v>
      </c>
      <c r="D1116" s="5654"/>
      <c r="E1116" s="7164" t="s">
        <v>32</v>
      </c>
      <c r="F1116" s="8674" t="s">
        <v>2071</v>
      </c>
      <c r="G1116" s="10184" t="s">
        <v>15</v>
      </c>
      <c r="H1116" s="11694">
        <v>1</v>
      </c>
      <c r="I1116" s="13204" t="s">
        <v>16</v>
      </c>
      <c r="J1116" t="s">
        <v>28</v>
      </c>
    </row>
    <row r="1117" spans="1:10" outlineLevel="2">
      <c r="A1117" s="1125" t="s">
        <v>2072</v>
      </c>
      <c r="B1117" s="2635" t="s">
        <v>2073</v>
      </c>
      <c r="C1117" s="4145" t="s">
        <v>174</v>
      </c>
      <c r="D1117" s="5655"/>
      <c r="E1117" s="7165" t="s">
        <v>41</v>
      </c>
      <c r="F1117" s="8675" t="s">
        <v>2074</v>
      </c>
      <c r="G1117" s="10185" t="s">
        <v>15</v>
      </c>
      <c r="H1117" s="11695">
        <v>1</v>
      </c>
      <c r="I1117" s="13205" t="s">
        <v>16</v>
      </c>
      <c r="J1117" t="s">
        <v>28</v>
      </c>
    </row>
    <row r="1118" spans="1:10" outlineLevel="2">
      <c r="A1118" s="1126" t="s">
        <v>2075</v>
      </c>
      <c r="B1118" s="2636" t="s">
        <v>2076</v>
      </c>
      <c r="C1118" s="4146" t="s">
        <v>178</v>
      </c>
      <c r="D1118" s="5656"/>
      <c r="E1118" s="7166" t="s">
        <v>32</v>
      </c>
      <c r="F1118" s="8676" t="s">
        <v>2077</v>
      </c>
      <c r="G1118" s="10186" t="s">
        <v>15</v>
      </c>
      <c r="H1118" s="11696">
        <v>1</v>
      </c>
      <c r="I1118" s="13206" t="s">
        <v>16</v>
      </c>
      <c r="J1118" t="s">
        <v>28</v>
      </c>
    </row>
    <row r="1119" spans="1:10" outlineLevel="2">
      <c r="A1119" s="1127" t="s">
        <v>2078</v>
      </c>
      <c r="B1119" s="2637" t="s">
        <v>2079</v>
      </c>
      <c r="C1119" s="4147"/>
      <c r="D1119" s="5657"/>
      <c r="E1119" s="7167" t="s">
        <v>182</v>
      </c>
      <c r="F1119" s="8677" t="s">
        <v>2080</v>
      </c>
      <c r="G1119" s="10187" t="s">
        <v>15</v>
      </c>
      <c r="H1119" s="11697">
        <v>1</v>
      </c>
      <c r="I1119" s="13207" t="s">
        <v>16</v>
      </c>
      <c r="J1119" t="s">
        <v>28</v>
      </c>
    </row>
    <row r="1120" spans="1:10" outlineLevel="2">
      <c r="A1120" s="1128" t="s">
        <v>2081</v>
      </c>
      <c r="B1120" s="2638" t="s">
        <v>2082</v>
      </c>
      <c r="C1120" s="4148" t="s">
        <v>186</v>
      </c>
      <c r="D1120" s="5658"/>
      <c r="E1120" s="7168" t="s">
        <v>32</v>
      </c>
      <c r="F1120" s="8678" t="s">
        <v>2083</v>
      </c>
      <c r="G1120" s="10188" t="s">
        <v>15</v>
      </c>
      <c r="H1120" s="11698">
        <v>1</v>
      </c>
      <c r="I1120" s="13208" t="s">
        <v>16</v>
      </c>
      <c r="J1120" t="s">
        <v>28</v>
      </c>
    </row>
    <row r="1121" spans="1:10" outlineLevel="1">
      <c r="A1121" s="1129" t="s">
        <v>2084</v>
      </c>
      <c r="B1121" s="2639" t="s">
        <v>81</v>
      </c>
      <c r="C1121" s="4149" t="s">
        <v>82</v>
      </c>
      <c r="D1121" s="5659"/>
      <c r="E1121" s="7169" t="s">
        <v>83</v>
      </c>
      <c r="F1121" s="8679" t="s">
        <v>84</v>
      </c>
      <c r="G1121" s="10189" t="s">
        <v>27</v>
      </c>
      <c r="H1121" s="11699">
        <v>2</v>
      </c>
      <c r="I1121" s="13209"/>
      <c r="J1121" t="s">
        <v>28</v>
      </c>
    </row>
    <row r="1122" spans="1:10" outlineLevel="1">
      <c r="A1122" s="1130" t="s">
        <v>2085</v>
      </c>
      <c r="B1122" s="2640" t="s">
        <v>190</v>
      </c>
      <c r="C1122" s="4150" t="s">
        <v>191</v>
      </c>
      <c r="D1122" s="5660"/>
      <c r="E1122" s="7170" t="s">
        <v>16</v>
      </c>
      <c r="F1122" s="8680" t="s">
        <v>192</v>
      </c>
      <c r="G1122" s="10190" t="s">
        <v>27</v>
      </c>
      <c r="H1122" s="11700">
        <v>1</v>
      </c>
      <c r="I1122" s="13210"/>
      <c r="J1122" t="s">
        <v>28</v>
      </c>
    </row>
    <row r="1123" spans="1:10" outlineLevel="1">
      <c r="A1123" s="1131" t="s">
        <v>2086</v>
      </c>
      <c r="B1123" s="2641" t="s">
        <v>194</v>
      </c>
      <c r="C1123" s="4151" t="s">
        <v>195</v>
      </c>
      <c r="D1123" s="5661"/>
      <c r="E1123" s="7171" t="s">
        <v>16</v>
      </c>
      <c r="F1123" s="8681" t="s">
        <v>196</v>
      </c>
      <c r="G1123" s="10191" t="s">
        <v>27</v>
      </c>
      <c r="H1123" s="11701">
        <v>2</v>
      </c>
      <c r="I1123" s="13211"/>
      <c r="J1123" t="s">
        <v>28</v>
      </c>
    </row>
    <row r="1124" spans="1:10" outlineLevel="1">
      <c r="A1124" s="1132" t="s">
        <v>2087</v>
      </c>
      <c r="B1124" s="2642" t="s">
        <v>81</v>
      </c>
      <c r="C1124" s="4152" t="s">
        <v>198</v>
      </c>
      <c r="D1124" s="5662"/>
      <c r="E1124" s="7172" t="s">
        <v>32</v>
      </c>
      <c r="F1124" s="8682" t="s">
        <v>199</v>
      </c>
      <c r="G1124" s="10192" t="s">
        <v>15</v>
      </c>
      <c r="H1124" s="11702">
        <v>2</v>
      </c>
      <c r="I1124" s="13212"/>
      <c r="J1124" t="s">
        <v>28</v>
      </c>
    </row>
    <row r="1125" spans="1:10" outlineLevel="1">
      <c r="A1125" s="1133" t="s">
        <v>2088</v>
      </c>
      <c r="B1125" s="2643" t="s">
        <v>201</v>
      </c>
      <c r="C1125" s="4153" t="s">
        <v>202</v>
      </c>
      <c r="D1125" s="5663"/>
      <c r="E1125" s="7173" t="s">
        <v>203</v>
      </c>
      <c r="F1125" s="8683" t="s">
        <v>204</v>
      </c>
      <c r="G1125" s="10193" t="s">
        <v>27</v>
      </c>
      <c r="H1125" s="11703">
        <v>3</v>
      </c>
      <c r="I1125" s="13213" t="s">
        <v>16</v>
      </c>
      <c r="J1125" t="s">
        <v>28</v>
      </c>
    </row>
    <row r="1126" spans="1:10" outlineLevel="1">
      <c r="A1126" s="1134" t="s">
        <v>2089</v>
      </c>
      <c r="B1126" s="2644" t="s">
        <v>206</v>
      </c>
      <c r="C1126" s="4154" t="s">
        <v>207</v>
      </c>
      <c r="D1126" s="5664"/>
      <c r="E1126" s="7174" t="s">
        <v>208</v>
      </c>
      <c r="F1126" s="8684" t="s">
        <v>209</v>
      </c>
      <c r="G1126" s="10194" t="s">
        <v>27</v>
      </c>
      <c r="H1126" s="11704">
        <v>2</v>
      </c>
      <c r="I1126" s="13214" t="s">
        <v>16</v>
      </c>
      <c r="J1126" t="s">
        <v>28</v>
      </c>
    </row>
    <row r="1127" spans="1:10" outlineLevel="1">
      <c r="A1127" s="1135" t="s">
        <v>2090</v>
      </c>
      <c r="B1127" s="2645" t="s">
        <v>247</v>
      </c>
      <c r="C1127" s="4155" t="s">
        <v>444</v>
      </c>
      <c r="D1127" s="5665" t="s">
        <v>445</v>
      </c>
      <c r="E1127" s="7175" t="s">
        <v>25</v>
      </c>
      <c r="F1127" s="8685" t="s">
        <v>446</v>
      </c>
      <c r="G1127" s="10195" t="s">
        <v>27</v>
      </c>
      <c r="H1127" s="11705">
        <v>3</v>
      </c>
      <c r="I1127" s="13215" t="s">
        <v>16</v>
      </c>
      <c r="J1127" t="s">
        <v>28</v>
      </c>
    </row>
    <row r="1128" spans="1:10" ht="15.75" outlineLevel="1">
      <c r="A1128" s="1136" t="s">
        <v>2091</v>
      </c>
      <c r="B1128" s="2646" t="s">
        <v>211</v>
      </c>
      <c r="C1128" s="4156" t="s">
        <v>212</v>
      </c>
      <c r="D1128" s="5666"/>
      <c r="E1128" s="7176" t="s">
        <v>32</v>
      </c>
      <c r="F1128" s="8686" t="s">
        <v>213</v>
      </c>
      <c r="G1128" s="10196" t="s">
        <v>15</v>
      </c>
      <c r="H1128" s="11706">
        <v>2</v>
      </c>
      <c r="I1128" s="13216" t="s">
        <v>16</v>
      </c>
      <c r="J1128" s="13600" t="str">
        <f>HYPERLINK("\\192.168.170.18\drawings\2-Basic Components\0000-301 - Tank Connection\0000-301-038-A - TC- Flange DN40 - 1½'' L=200- BM.pdf", "PDF")</f>
        <v>PDF</v>
      </c>
    </row>
    <row r="1129" spans="1:10" ht="15.75" outlineLevel="1">
      <c r="A1129" s="1137" t="s">
        <v>2092</v>
      </c>
      <c r="B1129" s="2647" t="s">
        <v>215</v>
      </c>
      <c r="C1129" s="4157" t="s">
        <v>216</v>
      </c>
      <c r="D1129" s="5667"/>
      <c r="E1129" s="7177" t="s">
        <v>32</v>
      </c>
      <c r="F1129" s="8687" t="s">
        <v>217</v>
      </c>
      <c r="G1129" s="10197" t="s">
        <v>15</v>
      </c>
      <c r="H1129" s="11707">
        <v>3</v>
      </c>
      <c r="I1129" s="13217" t="s">
        <v>16</v>
      </c>
      <c r="J1129" s="13600" t="str">
        <f>HYPERLINK("\\192.168.170.18\drawings\2-Basic Components\0000-301 - Tank Connection\0000-301-037-- - TC- Socket DN15-½'' L=168- BM.pdf", "PDF")</f>
        <v>PDF</v>
      </c>
    </row>
    <row r="1130" spans="1:10" ht="15.75" outlineLevel="1">
      <c r="A1130" s="1138" t="s">
        <v>2093</v>
      </c>
      <c r="B1130" s="2648" t="s">
        <v>219</v>
      </c>
      <c r="C1130" s="4158" t="s">
        <v>220</v>
      </c>
      <c r="D1130" s="5668"/>
      <c r="E1130" s="7178" t="s">
        <v>32</v>
      </c>
      <c r="F1130" s="8688" t="s">
        <v>221</v>
      </c>
      <c r="G1130" s="10198" t="s">
        <v>15</v>
      </c>
      <c r="H1130" s="11708">
        <v>3</v>
      </c>
      <c r="I1130" s="13218" t="s">
        <v>16</v>
      </c>
      <c r="J1130" s="13600" t="str">
        <f>HYPERLINK("\\192.168.170.18\drawings\2-Basic Components\0000-301 - Tank Connection\0000-301-001-A - TC - Nipple DN15 - ½'' L=40- BG.pdf", "PDF")</f>
        <v>PDF</v>
      </c>
    </row>
    <row r="1131" spans="1:10" ht="15.75" outlineLevel="1">
      <c r="A1131" s="1139" t="s">
        <v>2094</v>
      </c>
      <c r="B1131" s="2649" t="s">
        <v>223</v>
      </c>
      <c r="C1131" s="4159" t="s">
        <v>224</v>
      </c>
      <c r="D1131" s="5669"/>
      <c r="E1131" s="7179" t="s">
        <v>32</v>
      </c>
      <c r="F1131" s="8689" t="s">
        <v>225</v>
      </c>
      <c r="G1131" s="10199" t="s">
        <v>15</v>
      </c>
      <c r="H1131" s="11709">
        <v>13</v>
      </c>
      <c r="I1131" s="13219" t="s">
        <v>16</v>
      </c>
      <c r="J1131" s="13600" t="str">
        <f>HYPERLINK("\\192.168.170.18\drawings\2-Basic Components\0000-342 - Pipe Holders\0000-342-022-- - Pipe holder foot L=400.pdf", "PDF")</f>
        <v>PDF</v>
      </c>
    </row>
    <row r="1132" spans="1:10" outlineLevel="1">
      <c r="A1132" s="1140" t="s">
        <v>2095</v>
      </c>
      <c r="B1132" s="2650" t="s">
        <v>227</v>
      </c>
      <c r="C1132" s="4160" t="s">
        <v>228</v>
      </c>
      <c r="D1132" s="5670"/>
      <c r="E1132" s="7180" t="s">
        <v>32</v>
      </c>
      <c r="F1132" s="8690" t="s">
        <v>229</v>
      </c>
      <c r="G1132" s="10200" t="s">
        <v>15</v>
      </c>
      <c r="H1132" s="11710">
        <v>1</v>
      </c>
      <c r="I1132" s="13220" t="s">
        <v>16</v>
      </c>
      <c r="J1132" t="s">
        <v>28</v>
      </c>
    </row>
    <row r="1133" spans="1:10" outlineLevel="1">
      <c r="A1133" s="1141" t="s">
        <v>2096</v>
      </c>
      <c r="B1133" s="2651" t="s">
        <v>227</v>
      </c>
      <c r="C1133" s="4161" t="s">
        <v>231</v>
      </c>
      <c r="D1133" s="5671"/>
      <c r="E1133" s="7181" t="s">
        <v>32</v>
      </c>
      <c r="F1133" s="8691" t="s">
        <v>232</v>
      </c>
      <c r="G1133" s="10201" t="s">
        <v>15</v>
      </c>
      <c r="H1133" s="11711">
        <v>1</v>
      </c>
      <c r="I1133" s="13221" t="s">
        <v>16</v>
      </c>
      <c r="J1133" t="s">
        <v>28</v>
      </c>
    </row>
    <row r="1134" spans="1:10" ht="15.75" outlineLevel="1">
      <c r="A1134" s="1142" t="s">
        <v>2097</v>
      </c>
      <c r="B1134" s="2652" t="s">
        <v>234</v>
      </c>
      <c r="C1134" s="4162" t="s">
        <v>235</v>
      </c>
      <c r="D1134" s="5672" t="s">
        <v>236</v>
      </c>
      <c r="E1134" s="7182" t="s">
        <v>32</v>
      </c>
      <c r="F1134" s="8692" t="s">
        <v>237</v>
      </c>
      <c r="G1134" s="10202" t="s">
        <v>15</v>
      </c>
      <c r="H1134" s="11712">
        <v>2</v>
      </c>
      <c r="I1134" s="13222" t="s">
        <v>16</v>
      </c>
      <c r="J1134" s="13600" t="str">
        <f>HYPERLINK("\\192.168.170.18\drawings\2-Basic Components\0000-310 - Sightglass\0000-310-005-A - Sightglass w.Wiper - DN200 PN0 - Welded.pdf", "PDF")</f>
        <v>PDF</v>
      </c>
    </row>
    <row r="1135" spans="1:10" ht="15.75" outlineLevel="1">
      <c r="A1135" s="1143" t="s">
        <v>2098</v>
      </c>
      <c r="B1135" s="2653" t="s">
        <v>239</v>
      </c>
      <c r="C1135" s="4163" t="s">
        <v>240</v>
      </c>
      <c r="D1135" s="5673"/>
      <c r="E1135" s="7183" t="s">
        <v>32</v>
      </c>
      <c r="F1135" s="8693" t="s">
        <v>241</v>
      </c>
      <c r="G1135" s="10203" t="s">
        <v>15</v>
      </c>
      <c r="H1135" s="11713">
        <v>52</v>
      </c>
      <c r="I1135" s="13223" t="s">
        <v>16</v>
      </c>
      <c r="J1135" s="13600" t="str">
        <f>HYPERLINK("\\192.168.170.18\drawings\2-Basic Components\0000-342 - Pipe Holders\0000-342-034-- - Pipe holder foot L=300.pdf", "PDF")</f>
        <v>PDF</v>
      </c>
    </row>
    <row r="1136" spans="1:10" ht="15.75" outlineLevel="1">
      <c r="A1136" s="1144" t="s">
        <v>2099</v>
      </c>
      <c r="B1136" s="2654" t="s">
        <v>251</v>
      </c>
      <c r="C1136" s="4164" t="s">
        <v>252</v>
      </c>
      <c r="D1136" s="5674" t="s">
        <v>253</v>
      </c>
      <c r="E1136" s="7184" t="s">
        <v>32</v>
      </c>
      <c r="F1136" s="8694" t="s">
        <v>254</v>
      </c>
      <c r="G1136" s="10204" t="s">
        <v>15</v>
      </c>
      <c r="H1136" s="11714">
        <v>1</v>
      </c>
      <c r="I1136" s="13224" t="s">
        <v>16</v>
      </c>
      <c r="J1136" s="13600" t="str">
        <f>HYPERLINK("\\192.168.170.18\drawings\2-Basic Components\0000-314 - Agitator\0000-314-504-A - Agitator Drive.pdf", "PDF")</f>
        <v>PDF</v>
      </c>
    </row>
    <row r="1137" spans="1:10" ht="15.75" outlineLevel="1">
      <c r="A1137" s="1145" t="s">
        <v>2100</v>
      </c>
      <c r="B1137" s="2655" t="s">
        <v>256</v>
      </c>
      <c r="C1137" s="4165" t="s">
        <v>257</v>
      </c>
      <c r="D1137" s="5675" t="s">
        <v>253</v>
      </c>
      <c r="E1137" s="7185" t="s">
        <v>25</v>
      </c>
      <c r="F1137" s="8695" t="s">
        <v>258</v>
      </c>
      <c r="G1137" s="10205" t="s">
        <v>15</v>
      </c>
      <c r="H1137" s="11715">
        <v>1</v>
      </c>
      <c r="I1137" s="13225" t="s">
        <v>16</v>
      </c>
      <c r="J1137" s="13600" t="str">
        <f>HYPERLINK("\\192.168.170.18\drawings\2-Basic Components\0000-314 - Agitator\0000-314-300-- - Agitator L=19152.pdf", "PDF")</f>
        <v>PDF</v>
      </c>
    </row>
    <row r="1138" spans="1:10" outlineLevel="1">
      <c r="A1138" s="1146" t="s">
        <v>2101</v>
      </c>
      <c r="B1138" s="2656" t="s">
        <v>260</v>
      </c>
      <c r="C1138" s="4166" t="s">
        <v>261</v>
      </c>
      <c r="D1138" s="5676"/>
      <c r="E1138" s="7186" t="s">
        <v>41</v>
      </c>
      <c r="F1138" s="8696" t="s">
        <v>262</v>
      </c>
      <c r="G1138" s="10206" t="s">
        <v>15</v>
      </c>
      <c r="H1138" s="11716">
        <v>1</v>
      </c>
      <c r="I1138" s="13226" t="s">
        <v>16</v>
      </c>
      <c r="J1138" t="s">
        <v>28</v>
      </c>
    </row>
    <row r="1139" spans="1:10" ht="15.75" outlineLevel="1">
      <c r="A1139" s="1147" t="s">
        <v>2102</v>
      </c>
      <c r="B1139" s="2657" t="s">
        <v>264</v>
      </c>
      <c r="C1139" s="4167" t="s">
        <v>265</v>
      </c>
      <c r="D1139" s="5677"/>
      <c r="E1139" s="7187" t="s">
        <v>32</v>
      </c>
      <c r="F1139" s="8697" t="s">
        <v>266</v>
      </c>
      <c r="G1139" s="10207" t="s">
        <v>15</v>
      </c>
      <c r="H1139" s="11717">
        <v>3</v>
      </c>
      <c r="I1139" s="13227" t="s">
        <v>16</v>
      </c>
      <c r="J1139" s="13600" t="str">
        <f>HYPERLINK("\\192.168.170.18\drawings\2-Basic Components\0000-301 - Tank Connection\0000-301-071-B - TC- Flange 15° DN50 PN10 L=170- BG.pdf", "PDF")</f>
        <v>PDF</v>
      </c>
    </row>
    <row r="1140" spans="1:10" outlineLevel="1">
      <c r="A1140" s="1148" t="s">
        <v>2103</v>
      </c>
      <c r="B1140" s="2658" t="s">
        <v>268</v>
      </c>
      <c r="C1140" s="4168" t="s">
        <v>269</v>
      </c>
      <c r="D1140" s="5678"/>
      <c r="E1140" s="7188" t="s">
        <v>41</v>
      </c>
      <c r="F1140" s="8698" t="s">
        <v>270</v>
      </c>
      <c r="G1140" s="10208" t="s">
        <v>15</v>
      </c>
      <c r="H1140" s="11718">
        <v>2</v>
      </c>
      <c r="I1140" s="13228" t="s">
        <v>16</v>
      </c>
      <c r="J1140" t="s">
        <v>28</v>
      </c>
    </row>
    <row r="1141" spans="1:10" outlineLevel="1">
      <c r="A1141" s="1149" t="s">
        <v>2104</v>
      </c>
      <c r="B1141" s="2659" t="s">
        <v>268</v>
      </c>
      <c r="C1141" s="4169" t="s">
        <v>272</v>
      </c>
      <c r="D1141" s="5679"/>
      <c r="E1141" s="7189" t="s">
        <v>41</v>
      </c>
      <c r="F1141" s="8699" t="s">
        <v>273</v>
      </c>
      <c r="G1141" s="10209" t="s">
        <v>15</v>
      </c>
      <c r="H1141" s="11719">
        <v>4</v>
      </c>
      <c r="I1141" s="13229" t="s">
        <v>16</v>
      </c>
      <c r="J1141" t="s">
        <v>28</v>
      </c>
    </row>
    <row r="1142" spans="1:10" outlineLevel="1">
      <c r="A1142" s="1150" t="s">
        <v>2105</v>
      </c>
      <c r="B1142" s="2660" t="s">
        <v>275</v>
      </c>
      <c r="C1142" s="4170" t="s">
        <v>276</v>
      </c>
      <c r="D1142" s="5680"/>
      <c r="E1142" s="7190" t="s">
        <v>41</v>
      </c>
      <c r="F1142" s="8700" t="s">
        <v>277</v>
      </c>
      <c r="G1142" s="10210" t="s">
        <v>15</v>
      </c>
      <c r="H1142" s="11720">
        <v>2</v>
      </c>
      <c r="I1142" s="13230" t="s">
        <v>16</v>
      </c>
      <c r="J1142" t="s">
        <v>28</v>
      </c>
    </row>
    <row r="1143" spans="1:10" outlineLevel="1">
      <c r="A1143" s="1151" t="s">
        <v>2106</v>
      </c>
      <c r="B1143" s="2661" t="s">
        <v>268</v>
      </c>
      <c r="C1143" s="4171" t="s">
        <v>279</v>
      </c>
      <c r="D1143" s="5681"/>
      <c r="E1143" s="7191" t="s">
        <v>41</v>
      </c>
      <c r="F1143" s="8701" t="s">
        <v>280</v>
      </c>
      <c r="G1143" s="10211" t="s">
        <v>15</v>
      </c>
      <c r="H1143" s="11721">
        <v>2</v>
      </c>
      <c r="I1143" s="13231" t="s">
        <v>16</v>
      </c>
      <c r="J1143" t="s">
        <v>28</v>
      </c>
    </row>
    <row r="1144" spans="1:10" ht="15.75" outlineLevel="1">
      <c r="A1144" s="1152" t="s">
        <v>2107</v>
      </c>
      <c r="B1144" s="2662" t="s">
        <v>282</v>
      </c>
      <c r="C1144" s="4172" t="s">
        <v>283</v>
      </c>
      <c r="D1144" s="5682"/>
      <c r="E1144" s="7192" t="s">
        <v>25</v>
      </c>
      <c r="F1144" s="8702" t="s">
        <v>284</v>
      </c>
      <c r="G1144" s="10212" t="s">
        <v>15</v>
      </c>
      <c r="H1144" s="11722">
        <v>1</v>
      </c>
      <c r="I1144" s="13232" t="s">
        <v>16</v>
      </c>
      <c r="J1144" s="13600" t="str">
        <f>HYPERLINK("\\192.168.170.18\drawings\2-Basic Components\0000-315 - Central Flange\0000-315-003-A - Trap DN500 - pressure = 35 mbar_vacuum = -3 mbar.pdf", "PDF")</f>
        <v>PDF</v>
      </c>
    </row>
    <row r="1145" spans="1:10" ht="15.75" outlineLevel="1">
      <c r="A1145" s="1153" t="s">
        <v>2108</v>
      </c>
      <c r="B1145" s="2663" t="s">
        <v>286</v>
      </c>
      <c r="C1145" s="4173" t="s">
        <v>287</v>
      </c>
      <c r="D1145" s="5683"/>
      <c r="E1145" s="7193" t="s">
        <v>32</v>
      </c>
      <c r="F1145" s="8703" t="s">
        <v>288</v>
      </c>
      <c r="G1145" s="10213" t="s">
        <v>15</v>
      </c>
      <c r="H1145" s="11723">
        <v>4</v>
      </c>
      <c r="I1145" s="13233" t="s">
        <v>16</v>
      </c>
      <c r="J1145" s="13600" t="str">
        <f>HYPERLINK("\\192.168.170.18\drawings\2-Basic Components\0000-301 - Tank Connection\0000-301-120-- - TC- Flange Elbow DN150 PN10 L=450 - BM.pdf", "PDF")</f>
        <v>PDF</v>
      </c>
    </row>
    <row r="1146" spans="1:10" ht="15.75" outlineLevel="1">
      <c r="A1146" s="1154" t="s">
        <v>2109</v>
      </c>
      <c r="B1146" s="2664" t="s">
        <v>290</v>
      </c>
      <c r="C1146" s="4174" t="s">
        <v>291</v>
      </c>
      <c r="D1146" s="5684"/>
      <c r="E1146" s="7194" t="s">
        <v>32</v>
      </c>
      <c r="F1146" s="8704" t="s">
        <v>292</v>
      </c>
      <c r="G1146" s="10214" t="s">
        <v>15</v>
      </c>
      <c r="H1146" s="11724">
        <v>1</v>
      </c>
      <c r="I1146" s="13234"/>
      <c r="J1146" s="13600" t="str">
        <f>HYPERLINK("\\192.168.170.18\drawings\2-Basic Components\0000-321 - Straight Connection\0000-321-106-- - Biomass - Straight Connection - DN100x6m.pdf", "PDF")</f>
        <v>PDF</v>
      </c>
    </row>
    <row r="1147" spans="1:10" ht="15.75" outlineLevel="1">
      <c r="A1147" s="1155" t="s">
        <v>2110</v>
      </c>
      <c r="B1147" s="2665" t="s">
        <v>294</v>
      </c>
      <c r="C1147" s="4175" t="s">
        <v>295</v>
      </c>
      <c r="D1147" s="5685"/>
      <c r="E1147" s="7195" t="s">
        <v>32</v>
      </c>
      <c r="F1147" s="8705" t="s">
        <v>296</v>
      </c>
      <c r="G1147" s="10215" t="s">
        <v>15</v>
      </c>
      <c r="H1147" s="11725">
        <v>4</v>
      </c>
      <c r="I1147" s="13235"/>
      <c r="J1147" s="13600" t="str">
        <f>HYPERLINK("\\192.168.170.18\drawings\2-Basic Components\0000-342 - Pipe Holders\0000-342-270-B - DN100 Pipeholder for bottom mounting.pdf", "PDF")</f>
        <v>PDF</v>
      </c>
    </row>
    <row r="1148" spans="1:10" ht="15.75" outlineLevel="1">
      <c r="A1148" s="1156" t="s">
        <v>2111</v>
      </c>
      <c r="B1148" s="2666" t="s">
        <v>298</v>
      </c>
      <c r="C1148" s="4176" t="s">
        <v>299</v>
      </c>
      <c r="D1148" s="5686"/>
      <c r="E1148" s="7196" t="s">
        <v>32</v>
      </c>
      <c r="F1148" s="8706" t="s">
        <v>300</v>
      </c>
      <c r="G1148" s="10216" t="s">
        <v>15</v>
      </c>
      <c r="H1148" s="11726">
        <v>2</v>
      </c>
      <c r="I1148" s="13236" t="s">
        <v>16</v>
      </c>
      <c r="J1148" s="13600" t="str">
        <f>HYPERLINK("\\192.168.170.18\drawings\2-Basic Components\0000-301 - Tank Connection\0000-301-119-- - TC- Flange DN150 PN10 L=330 - BM.pdf", "PDF")</f>
        <v>PDF</v>
      </c>
    </row>
    <row r="1149" spans="1:10" ht="15.75" outlineLevel="1">
      <c r="A1149" s="1157" t="s">
        <v>2112</v>
      </c>
      <c r="B1149" s="2667" t="s">
        <v>302</v>
      </c>
      <c r="C1149" s="4177" t="s">
        <v>303</v>
      </c>
      <c r="D1149" s="5687" t="s">
        <v>304</v>
      </c>
      <c r="E1149" s="7197" t="s">
        <v>32</v>
      </c>
      <c r="F1149" s="8707" t="s">
        <v>305</v>
      </c>
      <c r="G1149" s="10217" t="s">
        <v>15</v>
      </c>
      <c r="H1149" s="11727">
        <v>1</v>
      </c>
      <c r="I1149" s="13237" t="s">
        <v>16</v>
      </c>
      <c r="J1149" s="13600" t="str">
        <f>HYPERLINK("\\192.168.170.18\drawings\2-Basic Components\0000-321 - Straight Connection\0000-321-103-A - Outlet pipe DN100 - Biomass.pdf", "PDF")</f>
        <v>PDF</v>
      </c>
    </row>
    <row r="1150" spans="1:10" ht="15.75" outlineLevel="1">
      <c r="A1150" s="1158" t="s">
        <v>2113</v>
      </c>
      <c r="B1150" s="2668" t="s">
        <v>307</v>
      </c>
      <c r="C1150" s="4178" t="s">
        <v>308</v>
      </c>
      <c r="D1150" s="5688"/>
      <c r="E1150" s="7198" t="s">
        <v>32</v>
      </c>
      <c r="F1150" s="8708" t="s">
        <v>309</v>
      </c>
      <c r="G1150" s="10218" t="s">
        <v>15</v>
      </c>
      <c r="H1150" s="11728">
        <v>2</v>
      </c>
      <c r="I1150" s="13238" t="s">
        <v>16</v>
      </c>
      <c r="J1150" s="13600" t="str">
        <f>HYPERLINK("\\192.168.170.18\drawings\2-Basic Components\0000-301 - Tank Connection\0000-301-122-- - TC- Flange DN150 PN10 L=330 - BM.pdf", "PDF")</f>
        <v>PDF</v>
      </c>
    </row>
    <row r="1151" spans="1:10" outlineLevel="1">
      <c r="A1151" s="1159" t="s">
        <v>2114</v>
      </c>
      <c r="B1151" s="2669" t="s">
        <v>247</v>
      </c>
      <c r="C1151" s="4179" t="s">
        <v>311</v>
      </c>
      <c r="D1151" s="5689"/>
      <c r="E1151" s="7199" t="s">
        <v>25</v>
      </c>
      <c r="F1151" s="8709" t="s">
        <v>312</v>
      </c>
      <c r="G1151" s="10219" t="s">
        <v>27</v>
      </c>
      <c r="H1151" s="11729">
        <v>1</v>
      </c>
      <c r="I1151" s="13239"/>
      <c r="J1151" t="s">
        <v>28</v>
      </c>
    </row>
    <row r="1152" spans="1:10" ht="15.75" outlineLevel="1">
      <c r="A1152" s="1160" t="s">
        <v>2115</v>
      </c>
      <c r="B1152" s="2670" t="s">
        <v>314</v>
      </c>
      <c r="C1152" s="4180" t="s">
        <v>315</v>
      </c>
      <c r="D1152" s="5690"/>
      <c r="E1152" s="7200" t="s">
        <v>32</v>
      </c>
      <c r="F1152" s="8710" t="s">
        <v>316</v>
      </c>
      <c r="G1152" s="10220" t="s">
        <v>15</v>
      </c>
      <c r="H1152" s="11730">
        <v>1</v>
      </c>
      <c r="I1152" s="13240" t="s">
        <v>16</v>
      </c>
      <c r="J1152" s="13600" t="str">
        <f>HYPERLINK("\\192.168.170.18\drawings\2-Basic Components\0000-321 - Straight Connection\0000-321-109-- - Biomass - Straight Connection - DN100x6m.pdf", "PDF")</f>
        <v>PDF</v>
      </c>
    </row>
    <row r="1153" spans="1:10" ht="15.75" outlineLevel="1">
      <c r="A1153" s="1161" t="s">
        <v>2116</v>
      </c>
      <c r="B1153" s="2671" t="s">
        <v>318</v>
      </c>
      <c r="C1153" s="4181" t="s">
        <v>319</v>
      </c>
      <c r="D1153" s="5691"/>
      <c r="E1153" s="7201" t="s">
        <v>32</v>
      </c>
      <c r="F1153" s="8711" t="s">
        <v>320</v>
      </c>
      <c r="G1153" s="10221" t="s">
        <v>15</v>
      </c>
      <c r="H1153" s="11731">
        <v>4</v>
      </c>
      <c r="I1153" s="13241" t="s">
        <v>16</v>
      </c>
      <c r="J1153" s="13600" t="str">
        <f>HYPERLINK("\\192.168.170.18\drawings\2-Basic Components\0000-342 - Pipe Holders\0000-342-274-- - DN125 Pipeholder for bottom mounting.pdf", "PDF")</f>
        <v>PDF</v>
      </c>
    </row>
    <row r="1154" spans="1:10" ht="15.75" outlineLevel="1">
      <c r="A1154" s="1162" t="s">
        <v>2117</v>
      </c>
      <c r="B1154" s="2672" t="s">
        <v>322</v>
      </c>
      <c r="C1154" s="4182" t="s">
        <v>323</v>
      </c>
      <c r="D1154" s="5692"/>
      <c r="E1154" s="7202" t="s">
        <v>32</v>
      </c>
      <c r="F1154" s="8712" t="s">
        <v>324</v>
      </c>
      <c r="G1154" s="10222" t="s">
        <v>15</v>
      </c>
      <c r="H1154" s="11732">
        <v>3</v>
      </c>
      <c r="I1154" s="13242" t="s">
        <v>16</v>
      </c>
      <c r="J1154" s="13600" t="str">
        <f>HYPERLINK("\\192.168.170.18\drawings\2-Basic Components\0000-301 - Tank Connection\0000-301-123-- - TC- Flange Elbow DN200 PN10 L=450 - BM.pdf", "PDF")</f>
        <v>PDF</v>
      </c>
    </row>
    <row r="1155" spans="1:10" ht="15.75" outlineLevel="1">
      <c r="A1155" s="1163" t="s">
        <v>2118</v>
      </c>
      <c r="B1155" s="2673" t="s">
        <v>326</v>
      </c>
      <c r="C1155" s="4183" t="s">
        <v>327</v>
      </c>
      <c r="D1155" s="5693"/>
      <c r="E1155" s="7203" t="s">
        <v>32</v>
      </c>
      <c r="F1155" s="8713" t="s">
        <v>328</v>
      </c>
      <c r="G1155" s="10223" t="s">
        <v>15</v>
      </c>
      <c r="H1155" s="11733">
        <v>6</v>
      </c>
      <c r="I1155" s="13243" t="s">
        <v>16</v>
      </c>
      <c r="J1155" s="13600" t="str">
        <f>HYPERLINK("\\192.168.170.18\drawings\2-Basic Components\0000-301 - Tank Connection\0000-301-124-- - TC- Flange DN200 PN10 L=330 - BM.pdf", "PDF")</f>
        <v>PDF</v>
      </c>
    </row>
    <row r="1156" spans="1:10" ht="15.75" outlineLevel="1">
      <c r="A1156" s="1164" t="s">
        <v>2119</v>
      </c>
      <c r="B1156" s="2674" t="s">
        <v>330</v>
      </c>
      <c r="C1156" s="4184" t="s">
        <v>331</v>
      </c>
      <c r="D1156" s="5694"/>
      <c r="E1156" s="7204" t="s">
        <v>32</v>
      </c>
      <c r="F1156" s="8714" t="s">
        <v>332</v>
      </c>
      <c r="G1156" s="10224" t="s">
        <v>15</v>
      </c>
      <c r="H1156" s="11734">
        <v>3</v>
      </c>
      <c r="I1156" s="13244" t="s">
        <v>16</v>
      </c>
      <c r="J1156" s="13600" t="str">
        <f>HYPERLINK("\\192.168.170.18\drawings\2-Basic Components\0000-321 - Straight Connection\0000-321-157-- - Biomass - Straigth Connection - DN200x6m.pdf", "PDF")</f>
        <v>PDF</v>
      </c>
    </row>
    <row r="1157" spans="1:10" outlineLevel="1">
      <c r="A1157" s="1165" t="s">
        <v>2120</v>
      </c>
      <c r="B1157" s="2675" t="s">
        <v>334</v>
      </c>
      <c r="C1157" s="4185" t="s">
        <v>335</v>
      </c>
      <c r="D1157" s="5695"/>
      <c r="E1157" s="7205" t="s">
        <v>32</v>
      </c>
      <c r="F1157" s="8715" t="s">
        <v>336</v>
      </c>
      <c r="G1157" s="10225" t="s">
        <v>15</v>
      </c>
      <c r="H1157" s="11735">
        <v>12</v>
      </c>
      <c r="I1157" s="13245" t="s">
        <v>16</v>
      </c>
      <c r="J1157" t="s">
        <v>28</v>
      </c>
    </row>
    <row r="1158" spans="1:10" ht="15.75" outlineLevel="1">
      <c r="A1158" s="1166" t="s">
        <v>2121</v>
      </c>
      <c r="B1158" s="2676" t="s">
        <v>344</v>
      </c>
      <c r="C1158" s="4186" t="s">
        <v>345</v>
      </c>
      <c r="D1158" s="5696" t="s">
        <v>346</v>
      </c>
      <c r="E1158" s="7206" t="s">
        <v>32</v>
      </c>
      <c r="F1158" s="8716" t="s">
        <v>347</v>
      </c>
      <c r="G1158" s="10226" t="s">
        <v>15</v>
      </c>
      <c r="H1158" s="11736">
        <v>1</v>
      </c>
      <c r="I1158" s="13246" t="s">
        <v>16</v>
      </c>
      <c r="J1158" s="13600" t="str">
        <f>HYPERLINK("\\192.168.170.18\drawings\2-Basic Components\0000-315 - Central Flange\0000-315-005-A - Central flange 5200 - DN250 assembly.pdf", "PDF")</f>
        <v>PDF</v>
      </c>
    </row>
    <row r="1159" spans="1:10" ht="15.75" outlineLevel="1">
      <c r="A1159" s="1167" t="s">
        <v>2122</v>
      </c>
      <c r="B1159" s="2677" t="s">
        <v>349</v>
      </c>
      <c r="C1159" s="4187" t="s">
        <v>350</v>
      </c>
      <c r="D1159" s="5697" t="s">
        <v>304</v>
      </c>
      <c r="E1159" s="7207" t="s">
        <v>32</v>
      </c>
      <c r="F1159" s="8717" t="s">
        <v>351</v>
      </c>
      <c r="G1159" s="10227" t="s">
        <v>15</v>
      </c>
      <c r="H1159" s="11737">
        <v>3</v>
      </c>
      <c r="I1159" s="13247" t="s">
        <v>16</v>
      </c>
      <c r="J1159" s="13600" t="str">
        <f>HYPERLINK("\\192.168.170.18\drawings\2-Basic Components\0000-321 - Straight Connection\0000-321-158-A - Outlet Pipe DN200 - Biomass.pdf", "PDF")</f>
        <v>PDF</v>
      </c>
    </row>
    <row r="1160" spans="1:10" ht="15.75" outlineLevel="1">
      <c r="A1160" s="1168" t="s">
        <v>2123</v>
      </c>
      <c r="B1160" s="2678" t="s">
        <v>353</v>
      </c>
      <c r="C1160" s="4188" t="s">
        <v>354</v>
      </c>
      <c r="D1160" s="5698" t="s">
        <v>304</v>
      </c>
      <c r="E1160" s="7208" t="s">
        <v>32</v>
      </c>
      <c r="F1160" s="8718" t="s">
        <v>355</v>
      </c>
      <c r="G1160" s="10228" t="s">
        <v>15</v>
      </c>
      <c r="H1160" s="11738">
        <v>1</v>
      </c>
      <c r="I1160" s="13248" t="s">
        <v>16</v>
      </c>
      <c r="J1160" s="13600" t="str">
        <f>HYPERLINK("\\192.168.170.18\drawings\2-Basic Components\0000-321 - Straight Connection\0000-321-108-A - Outlet pipe DN125 - Biomass.pdf", "PDF")</f>
        <v>PDF</v>
      </c>
    </row>
    <row r="1161" spans="1:10" outlineLevel="1">
      <c r="A1161" s="1169" t="s">
        <v>2124</v>
      </c>
      <c r="B1161" s="2679" t="s">
        <v>357</v>
      </c>
      <c r="C1161" s="4189" t="s">
        <v>358</v>
      </c>
      <c r="D1161" s="5699" t="s">
        <v>359</v>
      </c>
      <c r="E1161" s="7209" t="s">
        <v>32</v>
      </c>
      <c r="F1161" s="8719" t="s">
        <v>360</v>
      </c>
      <c r="G1161" s="10229" t="s">
        <v>15</v>
      </c>
      <c r="H1161" s="11739">
        <v>2</v>
      </c>
      <c r="I1161" s="13249" t="s">
        <v>16</v>
      </c>
      <c r="J1161" t="s">
        <v>28</v>
      </c>
    </row>
    <row r="1162" spans="1:10" outlineLevel="1">
      <c r="A1162" s="1170" t="s">
        <v>2125</v>
      </c>
      <c r="B1162" s="2680" t="s">
        <v>357</v>
      </c>
      <c r="C1162" s="4190" t="s">
        <v>362</v>
      </c>
      <c r="D1162" s="5700" t="s">
        <v>363</v>
      </c>
      <c r="E1162" s="7210" t="s">
        <v>128</v>
      </c>
      <c r="F1162" s="8720" t="s">
        <v>364</v>
      </c>
      <c r="G1162" s="10230" t="s">
        <v>15</v>
      </c>
      <c r="H1162" s="11740">
        <v>2</v>
      </c>
      <c r="I1162" s="13250" t="s">
        <v>16</v>
      </c>
      <c r="J1162" t="s">
        <v>28</v>
      </c>
    </row>
    <row r="1163" spans="1:10" outlineLevel="1">
      <c r="A1163" s="1171" t="s">
        <v>2126</v>
      </c>
      <c r="B1163" s="2681" t="s">
        <v>357</v>
      </c>
      <c r="C1163" s="4191" t="s">
        <v>366</v>
      </c>
      <c r="D1163" s="5701" t="s">
        <v>367</v>
      </c>
      <c r="E1163" s="7211" t="s">
        <v>32</v>
      </c>
      <c r="F1163" s="8721" t="s">
        <v>368</v>
      </c>
      <c r="G1163" s="10231" t="s">
        <v>15</v>
      </c>
      <c r="H1163" s="11741">
        <v>4</v>
      </c>
      <c r="I1163" s="13251" t="s">
        <v>16</v>
      </c>
      <c r="J1163" t="s">
        <v>28</v>
      </c>
    </row>
    <row r="1164" spans="1:10" outlineLevel="1">
      <c r="A1164" s="1172" t="s">
        <v>2127</v>
      </c>
      <c r="B1164" s="2682" t="s">
        <v>357</v>
      </c>
      <c r="C1164" s="4192" t="s">
        <v>370</v>
      </c>
      <c r="D1164" s="5702"/>
      <c r="E1164" s="7212" t="s">
        <v>32</v>
      </c>
      <c r="F1164" s="8722" t="s">
        <v>371</v>
      </c>
      <c r="G1164" s="10232" t="s">
        <v>15</v>
      </c>
      <c r="H1164" s="11742">
        <v>2</v>
      </c>
      <c r="I1164" s="13252" t="s">
        <v>16</v>
      </c>
      <c r="J1164" t="s">
        <v>28</v>
      </c>
    </row>
    <row r="1165" spans="1:10" outlineLevel="1">
      <c r="A1165" s="1173" t="s">
        <v>2128</v>
      </c>
      <c r="B1165" s="2683" t="s">
        <v>357</v>
      </c>
      <c r="C1165" s="4193" t="s">
        <v>373</v>
      </c>
      <c r="D1165" s="5703"/>
      <c r="E1165" s="7213" t="s">
        <v>32</v>
      </c>
      <c r="F1165" s="8723" t="s">
        <v>374</v>
      </c>
      <c r="G1165" s="10233" t="s">
        <v>15</v>
      </c>
      <c r="H1165" s="11743">
        <v>4</v>
      </c>
      <c r="I1165" s="13253" t="s">
        <v>16</v>
      </c>
      <c r="J1165" t="s">
        <v>28</v>
      </c>
    </row>
    <row r="1166" spans="1:10" outlineLevel="1">
      <c r="A1166" s="1174" t="s">
        <v>2129</v>
      </c>
      <c r="B1166" s="2684" t="s">
        <v>247</v>
      </c>
      <c r="C1166" s="4194" t="s">
        <v>311</v>
      </c>
      <c r="D1166" s="5704"/>
      <c r="E1166" s="7214" t="s">
        <v>83</v>
      </c>
      <c r="F1166" s="8724" t="s">
        <v>376</v>
      </c>
      <c r="G1166" s="10234" t="s">
        <v>27</v>
      </c>
      <c r="H1166" s="11744">
        <v>4</v>
      </c>
      <c r="I1166" s="13254"/>
      <c r="J1166" t="s">
        <v>28</v>
      </c>
    </row>
    <row r="1167" spans="1:10" outlineLevel="1">
      <c r="A1167" s="1175" t="s">
        <v>2130</v>
      </c>
      <c r="B1167" s="2685" t="s">
        <v>247</v>
      </c>
      <c r="C1167" s="4195" t="s">
        <v>248</v>
      </c>
      <c r="D1167" s="5705"/>
      <c r="E1167" s="7215" t="s">
        <v>32</v>
      </c>
      <c r="F1167" s="8725" t="s">
        <v>249</v>
      </c>
      <c r="G1167" s="10235" t="s">
        <v>27</v>
      </c>
      <c r="H1167" s="11745">
        <v>2</v>
      </c>
      <c r="I1167" s="13255"/>
      <c r="J1167" t="s">
        <v>28</v>
      </c>
    </row>
    <row r="1168" spans="1:10" outlineLevel="1">
      <c r="A1168" s="1176" t="s">
        <v>2131</v>
      </c>
      <c r="B1168" s="2686" t="s">
        <v>247</v>
      </c>
      <c r="C1168" s="4196" t="s">
        <v>378</v>
      </c>
      <c r="D1168" s="5706"/>
      <c r="E1168" s="7216" t="s">
        <v>32</v>
      </c>
      <c r="F1168" s="8726" t="s">
        <v>379</v>
      </c>
      <c r="G1168" s="10236" t="s">
        <v>27</v>
      </c>
      <c r="H1168" s="11746">
        <v>2</v>
      </c>
      <c r="I1168" s="13256"/>
      <c r="J1168" t="s">
        <v>28</v>
      </c>
    </row>
    <row r="1169" spans="1:10" outlineLevel="1">
      <c r="A1169" s="1177" t="s">
        <v>2132</v>
      </c>
      <c r="B1169" s="2687" t="s">
        <v>357</v>
      </c>
      <c r="C1169" s="4197" t="s">
        <v>381</v>
      </c>
      <c r="D1169" s="5707" t="s">
        <v>382</v>
      </c>
      <c r="E1169" s="7217" t="s">
        <v>32</v>
      </c>
      <c r="F1169" s="8727" t="s">
        <v>383</v>
      </c>
      <c r="G1169" s="10237" t="s">
        <v>15</v>
      </c>
      <c r="H1169" s="11747">
        <v>2</v>
      </c>
      <c r="I1169" s="13257" t="s">
        <v>16</v>
      </c>
      <c r="J1169" t="s">
        <v>28</v>
      </c>
    </row>
    <row r="1170" spans="1:10" outlineLevel="1">
      <c r="A1170" s="1178" t="s">
        <v>2133</v>
      </c>
      <c r="B1170" s="2688" t="s">
        <v>247</v>
      </c>
      <c r="C1170" s="4198" t="s">
        <v>385</v>
      </c>
      <c r="D1170" s="5708" t="s">
        <v>386</v>
      </c>
      <c r="E1170" s="7218" t="s">
        <v>25</v>
      </c>
      <c r="F1170" s="8728" t="s">
        <v>387</v>
      </c>
      <c r="G1170" s="10238" t="s">
        <v>27</v>
      </c>
      <c r="H1170" s="11748">
        <v>2</v>
      </c>
      <c r="I1170" s="13258" t="s">
        <v>16</v>
      </c>
      <c r="J1170" t="s">
        <v>28</v>
      </c>
    </row>
    <row r="1171" spans="1:10" outlineLevel="1">
      <c r="A1171" s="1179" t="s">
        <v>2134</v>
      </c>
      <c r="B1171" s="2689" t="s">
        <v>2135</v>
      </c>
      <c r="C1171" s="4199" t="s">
        <v>488</v>
      </c>
      <c r="D1171" s="5709" t="s">
        <v>340</v>
      </c>
      <c r="E1171" s="7219" t="s">
        <v>341</v>
      </c>
      <c r="F1171" s="8729" t="s">
        <v>2136</v>
      </c>
      <c r="G1171" s="10239" t="s">
        <v>15</v>
      </c>
      <c r="H1171" s="11749">
        <v>1</v>
      </c>
      <c r="I1171" s="13259" t="s">
        <v>16</v>
      </c>
      <c r="J1171" t="s">
        <v>28</v>
      </c>
    </row>
    <row r="1172" spans="1:10">
      <c r="A1172" s="1180" t="s">
        <v>2137</v>
      </c>
      <c r="B1172" s="2690" t="s">
        <v>2138</v>
      </c>
      <c r="C1172" s="4200" t="s">
        <v>152</v>
      </c>
      <c r="D1172" s="5710" t="s">
        <v>13</v>
      </c>
      <c r="E1172" s="7220" t="s">
        <v>153</v>
      </c>
      <c r="F1172" s="8730" t="s">
        <v>2139</v>
      </c>
      <c r="G1172" s="10240" t="s">
        <v>15</v>
      </c>
      <c r="H1172" s="11750">
        <v>1</v>
      </c>
      <c r="I1172" s="13260" t="s">
        <v>16</v>
      </c>
      <c r="J1172" t="s">
        <v>28</v>
      </c>
    </row>
    <row r="1173" spans="1:10">
      <c r="A1173" s="1181" t="s">
        <v>2140</v>
      </c>
      <c r="B1173" s="2691" t="s">
        <v>402</v>
      </c>
      <c r="C1173" s="4201" t="s">
        <v>403</v>
      </c>
      <c r="D1173" s="5711" t="s">
        <v>13</v>
      </c>
      <c r="E1173" s="7221" t="s">
        <v>153</v>
      </c>
      <c r="F1173" s="8731" t="s">
        <v>404</v>
      </c>
      <c r="G1173" s="10241" t="s">
        <v>15</v>
      </c>
      <c r="H1173" s="11751">
        <v>3</v>
      </c>
      <c r="I1173" s="13261" t="s">
        <v>16</v>
      </c>
      <c r="J1173" t="s">
        <v>28</v>
      </c>
    </row>
    <row r="1174" spans="1:10" ht="15.75">
      <c r="A1174" s="1182" t="s">
        <v>2141</v>
      </c>
      <c r="B1174" s="2692" t="s">
        <v>2142</v>
      </c>
      <c r="C1174" s="4202" t="s">
        <v>157</v>
      </c>
      <c r="D1174" s="5712" t="s">
        <v>2143</v>
      </c>
      <c r="E1174" s="7222"/>
      <c r="F1174" s="8732" t="s">
        <v>2144</v>
      </c>
      <c r="G1174" s="10242" t="s">
        <v>15</v>
      </c>
      <c r="H1174" s="11752">
        <v>1</v>
      </c>
      <c r="I1174" s="13262" t="s">
        <v>16</v>
      </c>
      <c r="J1174" s="13600" t="str">
        <f>HYPERLINK("\\192.168.170.18\drawings\5-Projects\2500 - Aabenraa\Area 04 - Digester Area\Eqiupment\2500-615 Digester\2500-615-001-- - Digester - Assembly - 9500m³.pdf", "PDF")</f>
        <v>PDF</v>
      </c>
    </row>
    <row r="1175" spans="1:10" ht="15.75" outlineLevel="1">
      <c r="A1175" s="1183" t="s">
        <v>2145</v>
      </c>
      <c r="B1175" s="2693" t="s">
        <v>2146</v>
      </c>
      <c r="C1175" s="4203" t="s">
        <v>161</v>
      </c>
      <c r="D1175" s="5713" t="s">
        <v>2147</v>
      </c>
      <c r="E1175" s="7223"/>
      <c r="F1175" s="8733" t="s">
        <v>2148</v>
      </c>
      <c r="G1175" s="10243" t="s">
        <v>15</v>
      </c>
      <c r="H1175" s="11753">
        <v>1</v>
      </c>
      <c r="I1175" s="13263" t="s">
        <v>16</v>
      </c>
      <c r="J1175" s="13600" t="str">
        <f>HYPERLINK("\\192.168.170.18\drawings\5-Projects\2500 - Aabenraa\Area 04 - Digester Area\Eqiupment\2500-615 Digester\2500-615-901-- - Digester 9500m³.pdf", "PDF")</f>
        <v>PDF</v>
      </c>
    </row>
    <row r="1176" spans="1:10" outlineLevel="2">
      <c r="A1176" s="1184" t="s">
        <v>2149</v>
      </c>
      <c r="B1176" s="2694" t="s">
        <v>2150</v>
      </c>
      <c r="C1176" s="4204" t="s">
        <v>166</v>
      </c>
      <c r="D1176" s="5714"/>
      <c r="E1176" s="7224" t="s">
        <v>32</v>
      </c>
      <c r="F1176" s="8734" t="s">
        <v>2151</v>
      </c>
      <c r="G1176" s="10244" t="s">
        <v>15</v>
      </c>
      <c r="H1176" s="11754">
        <v>1</v>
      </c>
      <c r="I1176" s="13264" t="s">
        <v>16</v>
      </c>
      <c r="J1176" t="s">
        <v>28</v>
      </c>
    </row>
    <row r="1177" spans="1:10" outlineLevel="2">
      <c r="A1177" s="1185" t="s">
        <v>2152</v>
      </c>
      <c r="B1177" s="2695" t="s">
        <v>2153</v>
      </c>
      <c r="C1177" s="4205" t="s">
        <v>170</v>
      </c>
      <c r="D1177" s="5715"/>
      <c r="E1177" s="7225" t="s">
        <v>32</v>
      </c>
      <c r="F1177" s="8735" t="s">
        <v>2154</v>
      </c>
      <c r="G1177" s="10245" t="s">
        <v>15</v>
      </c>
      <c r="H1177" s="11755">
        <v>1</v>
      </c>
      <c r="I1177" s="13265" t="s">
        <v>16</v>
      </c>
      <c r="J1177" t="s">
        <v>28</v>
      </c>
    </row>
    <row r="1178" spans="1:10" outlineLevel="2">
      <c r="A1178" s="1186" t="s">
        <v>2155</v>
      </c>
      <c r="B1178" s="2696" t="s">
        <v>2156</v>
      </c>
      <c r="C1178" s="4206" t="s">
        <v>174</v>
      </c>
      <c r="D1178" s="5716"/>
      <c r="E1178" s="7226" t="s">
        <v>41</v>
      </c>
      <c r="F1178" s="8736" t="s">
        <v>2157</v>
      </c>
      <c r="G1178" s="10246" t="s">
        <v>15</v>
      </c>
      <c r="H1178" s="11756">
        <v>1</v>
      </c>
      <c r="I1178" s="13266" t="s">
        <v>16</v>
      </c>
      <c r="J1178" t="s">
        <v>28</v>
      </c>
    </row>
    <row r="1179" spans="1:10" outlineLevel="2">
      <c r="A1179" s="1187" t="s">
        <v>2158</v>
      </c>
      <c r="B1179" s="2697" t="s">
        <v>2159</v>
      </c>
      <c r="C1179" s="4207" t="s">
        <v>178</v>
      </c>
      <c r="D1179" s="5717"/>
      <c r="E1179" s="7227" t="s">
        <v>32</v>
      </c>
      <c r="F1179" s="8737" t="s">
        <v>2160</v>
      </c>
      <c r="G1179" s="10247" t="s">
        <v>15</v>
      </c>
      <c r="H1179" s="11757">
        <v>1</v>
      </c>
      <c r="I1179" s="13267" t="s">
        <v>16</v>
      </c>
      <c r="J1179" t="s">
        <v>28</v>
      </c>
    </row>
    <row r="1180" spans="1:10" outlineLevel="2">
      <c r="A1180" s="1188" t="s">
        <v>2161</v>
      </c>
      <c r="B1180" s="2698" t="s">
        <v>2162</v>
      </c>
      <c r="C1180" s="4208"/>
      <c r="D1180" s="5718"/>
      <c r="E1180" s="7228" t="s">
        <v>182</v>
      </c>
      <c r="F1180" s="8738" t="s">
        <v>2163</v>
      </c>
      <c r="G1180" s="10248" t="s">
        <v>15</v>
      </c>
      <c r="H1180" s="11758">
        <v>1</v>
      </c>
      <c r="I1180" s="13268" t="s">
        <v>16</v>
      </c>
      <c r="J1180" t="s">
        <v>28</v>
      </c>
    </row>
    <row r="1181" spans="1:10" outlineLevel="2">
      <c r="A1181" s="1189" t="s">
        <v>2164</v>
      </c>
      <c r="B1181" s="2699" t="s">
        <v>2165</v>
      </c>
      <c r="C1181" s="4209" t="s">
        <v>186</v>
      </c>
      <c r="D1181" s="5719"/>
      <c r="E1181" s="7229" t="s">
        <v>32</v>
      </c>
      <c r="F1181" s="8739" t="s">
        <v>2166</v>
      </c>
      <c r="G1181" s="10249" t="s">
        <v>15</v>
      </c>
      <c r="H1181" s="11759">
        <v>1</v>
      </c>
      <c r="I1181" s="13269" t="s">
        <v>16</v>
      </c>
      <c r="J1181" t="s">
        <v>28</v>
      </c>
    </row>
    <row r="1182" spans="1:10" outlineLevel="1">
      <c r="A1182" s="1190" t="s">
        <v>2167</v>
      </c>
      <c r="B1182" s="2700" t="s">
        <v>81</v>
      </c>
      <c r="C1182" s="4210" t="s">
        <v>82</v>
      </c>
      <c r="D1182" s="5720"/>
      <c r="E1182" s="7230" t="s">
        <v>83</v>
      </c>
      <c r="F1182" s="8740" t="s">
        <v>84</v>
      </c>
      <c r="G1182" s="10250" t="s">
        <v>27</v>
      </c>
      <c r="H1182" s="11760">
        <v>2</v>
      </c>
      <c r="I1182" s="13270"/>
      <c r="J1182" t="s">
        <v>28</v>
      </c>
    </row>
    <row r="1183" spans="1:10" outlineLevel="1">
      <c r="A1183" s="1191" t="s">
        <v>2168</v>
      </c>
      <c r="B1183" s="2701" t="s">
        <v>190</v>
      </c>
      <c r="C1183" s="4211" t="s">
        <v>191</v>
      </c>
      <c r="D1183" s="5721"/>
      <c r="E1183" s="7231" t="s">
        <v>16</v>
      </c>
      <c r="F1183" s="8741" t="s">
        <v>192</v>
      </c>
      <c r="G1183" s="10251" t="s">
        <v>27</v>
      </c>
      <c r="H1183" s="11761">
        <v>1</v>
      </c>
      <c r="I1183" s="13271"/>
      <c r="J1183" t="s">
        <v>28</v>
      </c>
    </row>
    <row r="1184" spans="1:10" outlineLevel="1">
      <c r="A1184" s="1192" t="s">
        <v>2169</v>
      </c>
      <c r="B1184" s="2702" t="s">
        <v>194</v>
      </c>
      <c r="C1184" s="4212" t="s">
        <v>195</v>
      </c>
      <c r="D1184" s="5722"/>
      <c r="E1184" s="7232" t="s">
        <v>16</v>
      </c>
      <c r="F1184" s="8742" t="s">
        <v>196</v>
      </c>
      <c r="G1184" s="10252" t="s">
        <v>27</v>
      </c>
      <c r="H1184" s="11762">
        <v>2</v>
      </c>
      <c r="I1184" s="13272"/>
      <c r="J1184" t="s">
        <v>28</v>
      </c>
    </row>
    <row r="1185" spans="1:10" outlineLevel="1">
      <c r="A1185" s="1193" t="s">
        <v>2170</v>
      </c>
      <c r="B1185" s="2703" t="s">
        <v>81</v>
      </c>
      <c r="C1185" s="4213" t="s">
        <v>198</v>
      </c>
      <c r="D1185" s="5723"/>
      <c r="E1185" s="7233" t="s">
        <v>32</v>
      </c>
      <c r="F1185" s="8743" t="s">
        <v>199</v>
      </c>
      <c r="G1185" s="10253" t="s">
        <v>15</v>
      </c>
      <c r="H1185" s="11763">
        <v>2</v>
      </c>
      <c r="I1185" s="13273"/>
      <c r="J1185" t="s">
        <v>28</v>
      </c>
    </row>
    <row r="1186" spans="1:10" outlineLevel="1">
      <c r="A1186" s="1194" t="s">
        <v>2171</v>
      </c>
      <c r="B1186" s="2704" t="s">
        <v>201</v>
      </c>
      <c r="C1186" s="4214" t="s">
        <v>202</v>
      </c>
      <c r="D1186" s="5724"/>
      <c r="E1186" s="7234" t="s">
        <v>203</v>
      </c>
      <c r="F1186" s="8744" t="s">
        <v>204</v>
      </c>
      <c r="G1186" s="10254" t="s">
        <v>27</v>
      </c>
      <c r="H1186" s="11764">
        <v>3</v>
      </c>
      <c r="I1186" s="13274" t="s">
        <v>16</v>
      </c>
      <c r="J1186" t="s">
        <v>28</v>
      </c>
    </row>
    <row r="1187" spans="1:10" outlineLevel="1">
      <c r="A1187" s="1195" t="s">
        <v>2172</v>
      </c>
      <c r="B1187" s="2705" t="s">
        <v>206</v>
      </c>
      <c r="C1187" s="4215" t="s">
        <v>207</v>
      </c>
      <c r="D1187" s="5725"/>
      <c r="E1187" s="7235" t="s">
        <v>208</v>
      </c>
      <c r="F1187" s="8745" t="s">
        <v>209</v>
      </c>
      <c r="G1187" s="10255" t="s">
        <v>27</v>
      </c>
      <c r="H1187" s="11765">
        <v>2</v>
      </c>
      <c r="I1187" s="13275" t="s">
        <v>16</v>
      </c>
      <c r="J1187" t="s">
        <v>28</v>
      </c>
    </row>
    <row r="1188" spans="1:10" outlineLevel="1">
      <c r="A1188" s="1196" t="s">
        <v>2173</v>
      </c>
      <c r="B1188" s="2706" t="s">
        <v>247</v>
      </c>
      <c r="C1188" s="4216" t="s">
        <v>444</v>
      </c>
      <c r="D1188" s="5726" t="s">
        <v>445</v>
      </c>
      <c r="E1188" s="7236" t="s">
        <v>25</v>
      </c>
      <c r="F1188" s="8746" t="s">
        <v>446</v>
      </c>
      <c r="G1188" s="10256" t="s">
        <v>27</v>
      </c>
      <c r="H1188" s="11766">
        <v>3</v>
      </c>
      <c r="I1188" s="13276" t="s">
        <v>16</v>
      </c>
      <c r="J1188" t="s">
        <v>28</v>
      </c>
    </row>
    <row r="1189" spans="1:10" ht="15.75" outlineLevel="1">
      <c r="A1189" s="1197" t="s">
        <v>2174</v>
      </c>
      <c r="B1189" s="2707" t="s">
        <v>211</v>
      </c>
      <c r="C1189" s="4217" t="s">
        <v>212</v>
      </c>
      <c r="D1189" s="5727"/>
      <c r="E1189" s="7237" t="s">
        <v>32</v>
      </c>
      <c r="F1189" s="8747" t="s">
        <v>213</v>
      </c>
      <c r="G1189" s="10257" t="s">
        <v>15</v>
      </c>
      <c r="H1189" s="11767">
        <v>2</v>
      </c>
      <c r="I1189" s="13277" t="s">
        <v>16</v>
      </c>
      <c r="J1189" s="13600" t="str">
        <f>HYPERLINK("\\192.168.170.18\drawings\2-Basic Components\0000-301 - Tank Connection\0000-301-038-A - TC- Flange DN40 - 1½'' L=200- BM.pdf", "PDF")</f>
        <v>PDF</v>
      </c>
    </row>
    <row r="1190" spans="1:10" ht="15.75" outlineLevel="1">
      <c r="A1190" s="1198" t="s">
        <v>2175</v>
      </c>
      <c r="B1190" s="2708" t="s">
        <v>215</v>
      </c>
      <c r="C1190" s="4218" t="s">
        <v>216</v>
      </c>
      <c r="D1190" s="5728"/>
      <c r="E1190" s="7238" t="s">
        <v>32</v>
      </c>
      <c r="F1190" s="8748" t="s">
        <v>217</v>
      </c>
      <c r="G1190" s="10258" t="s">
        <v>15</v>
      </c>
      <c r="H1190" s="11768">
        <v>3</v>
      </c>
      <c r="I1190" s="13278" t="s">
        <v>16</v>
      </c>
      <c r="J1190" s="13600" t="str">
        <f>HYPERLINK("\\192.168.170.18\drawings\2-Basic Components\0000-301 - Tank Connection\0000-301-037-- - TC- Socket DN15-½'' L=168- BM.pdf", "PDF")</f>
        <v>PDF</v>
      </c>
    </row>
    <row r="1191" spans="1:10" ht="15.75" outlineLevel="1">
      <c r="A1191" s="1199" t="s">
        <v>2176</v>
      </c>
      <c r="B1191" s="2709" t="s">
        <v>219</v>
      </c>
      <c r="C1191" s="4219" t="s">
        <v>220</v>
      </c>
      <c r="D1191" s="5729"/>
      <c r="E1191" s="7239" t="s">
        <v>32</v>
      </c>
      <c r="F1191" s="8749" t="s">
        <v>221</v>
      </c>
      <c r="G1191" s="10259" t="s">
        <v>15</v>
      </c>
      <c r="H1191" s="11769">
        <v>3</v>
      </c>
      <c r="I1191" s="13279" t="s">
        <v>16</v>
      </c>
      <c r="J1191" s="13600" t="str">
        <f>HYPERLINK("\\192.168.170.18\drawings\2-Basic Components\0000-301 - Tank Connection\0000-301-001-A - TC - Nipple DN15 - ½'' L=40- BG.pdf", "PDF")</f>
        <v>PDF</v>
      </c>
    </row>
    <row r="1192" spans="1:10" ht="15.75" outlineLevel="1">
      <c r="A1192" s="1200" t="s">
        <v>2177</v>
      </c>
      <c r="B1192" s="2710" t="s">
        <v>223</v>
      </c>
      <c r="C1192" s="4220" t="s">
        <v>224</v>
      </c>
      <c r="D1192" s="5730"/>
      <c r="E1192" s="7240" t="s">
        <v>32</v>
      </c>
      <c r="F1192" s="8750" t="s">
        <v>225</v>
      </c>
      <c r="G1192" s="10260" t="s">
        <v>15</v>
      </c>
      <c r="H1192" s="11770">
        <v>17</v>
      </c>
      <c r="I1192" s="13280" t="s">
        <v>16</v>
      </c>
      <c r="J1192" s="13600" t="str">
        <f>HYPERLINK("\\192.168.170.18\drawings\2-Basic Components\0000-342 - Pipe Holders\0000-342-022-- - Pipe holder foot L=400.pdf", "PDF")</f>
        <v>PDF</v>
      </c>
    </row>
    <row r="1193" spans="1:10" outlineLevel="1">
      <c r="A1193" s="1201" t="s">
        <v>2178</v>
      </c>
      <c r="B1193" s="2711" t="s">
        <v>227</v>
      </c>
      <c r="C1193" s="4221" t="s">
        <v>228</v>
      </c>
      <c r="D1193" s="5731"/>
      <c r="E1193" s="7241" t="s">
        <v>32</v>
      </c>
      <c r="F1193" s="8751" t="s">
        <v>229</v>
      </c>
      <c r="G1193" s="10261" t="s">
        <v>15</v>
      </c>
      <c r="H1193" s="11771">
        <v>1</v>
      </c>
      <c r="I1193" s="13281" t="s">
        <v>16</v>
      </c>
      <c r="J1193" t="s">
        <v>28</v>
      </c>
    </row>
    <row r="1194" spans="1:10" outlineLevel="1">
      <c r="A1194" s="1202" t="s">
        <v>2179</v>
      </c>
      <c r="B1194" s="2712" t="s">
        <v>227</v>
      </c>
      <c r="C1194" s="4222" t="s">
        <v>231</v>
      </c>
      <c r="D1194" s="5732"/>
      <c r="E1194" s="7242" t="s">
        <v>32</v>
      </c>
      <c r="F1194" s="8752" t="s">
        <v>232</v>
      </c>
      <c r="G1194" s="10262" t="s">
        <v>15</v>
      </c>
      <c r="H1194" s="11772">
        <v>1</v>
      </c>
      <c r="I1194" s="13282" t="s">
        <v>16</v>
      </c>
      <c r="J1194" t="s">
        <v>28</v>
      </c>
    </row>
    <row r="1195" spans="1:10" ht="15.75" outlineLevel="1">
      <c r="A1195" s="1203" t="s">
        <v>2180</v>
      </c>
      <c r="B1195" s="2713" t="s">
        <v>234</v>
      </c>
      <c r="C1195" s="4223" t="s">
        <v>235</v>
      </c>
      <c r="D1195" s="5733" t="s">
        <v>236</v>
      </c>
      <c r="E1195" s="7243" t="s">
        <v>32</v>
      </c>
      <c r="F1195" s="8753" t="s">
        <v>237</v>
      </c>
      <c r="G1195" s="10263" t="s">
        <v>15</v>
      </c>
      <c r="H1195" s="11773">
        <v>2</v>
      </c>
      <c r="I1195" s="13283" t="s">
        <v>16</v>
      </c>
      <c r="J1195" s="13600" t="str">
        <f>HYPERLINK("\\192.168.170.18\drawings\2-Basic Components\0000-310 - Sightglass\0000-310-005-A - Sightglass w.Wiper - DN200 PN0 - Welded.pdf", "PDF")</f>
        <v>PDF</v>
      </c>
    </row>
    <row r="1196" spans="1:10" ht="15.75" outlineLevel="1">
      <c r="A1196" s="1204" t="s">
        <v>2181</v>
      </c>
      <c r="B1196" s="2714" t="s">
        <v>239</v>
      </c>
      <c r="C1196" s="4224" t="s">
        <v>240</v>
      </c>
      <c r="D1196" s="5734"/>
      <c r="E1196" s="7244" t="s">
        <v>32</v>
      </c>
      <c r="F1196" s="8754" t="s">
        <v>241</v>
      </c>
      <c r="G1196" s="10264" t="s">
        <v>15</v>
      </c>
      <c r="H1196" s="11774">
        <v>52</v>
      </c>
      <c r="I1196" s="13284" t="s">
        <v>16</v>
      </c>
      <c r="J1196" s="13600" t="str">
        <f>HYPERLINK("\\192.168.170.18\drawings\2-Basic Components\0000-342 - Pipe Holders\0000-342-034-- - Pipe holder foot L=300.pdf", "PDF")</f>
        <v>PDF</v>
      </c>
    </row>
    <row r="1197" spans="1:10" ht="15.75" outlineLevel="1">
      <c r="A1197" s="1205" t="s">
        <v>2182</v>
      </c>
      <c r="B1197" s="2715" t="s">
        <v>251</v>
      </c>
      <c r="C1197" s="4225" t="s">
        <v>252</v>
      </c>
      <c r="D1197" s="5735" t="s">
        <v>253</v>
      </c>
      <c r="E1197" s="7245" t="s">
        <v>32</v>
      </c>
      <c r="F1197" s="8755" t="s">
        <v>254</v>
      </c>
      <c r="G1197" s="10265" t="s">
        <v>15</v>
      </c>
      <c r="H1197" s="11775">
        <v>1</v>
      </c>
      <c r="I1197" s="13285" t="s">
        <v>16</v>
      </c>
      <c r="J1197" s="13600" t="str">
        <f>HYPERLINK("\\192.168.170.18\drawings\2-Basic Components\0000-314 - Agitator\0000-314-504-A - Agitator Drive.pdf", "PDF")</f>
        <v>PDF</v>
      </c>
    </row>
    <row r="1198" spans="1:10" ht="15.75" outlineLevel="1">
      <c r="A1198" s="1206" t="s">
        <v>2183</v>
      </c>
      <c r="B1198" s="2716" t="s">
        <v>256</v>
      </c>
      <c r="C1198" s="4226" t="s">
        <v>257</v>
      </c>
      <c r="D1198" s="5736" t="s">
        <v>253</v>
      </c>
      <c r="E1198" s="7246" t="s">
        <v>25</v>
      </c>
      <c r="F1198" s="8756" t="s">
        <v>258</v>
      </c>
      <c r="G1198" s="10266" t="s">
        <v>15</v>
      </c>
      <c r="H1198" s="11776">
        <v>1</v>
      </c>
      <c r="I1198" s="13286" t="s">
        <v>16</v>
      </c>
      <c r="J1198" s="13600" t="str">
        <f>HYPERLINK("\\192.168.170.18\drawings\2-Basic Components\0000-314 - Agitator\0000-314-300-- - Agitator L=19152.pdf", "PDF")</f>
        <v>PDF</v>
      </c>
    </row>
    <row r="1199" spans="1:10" outlineLevel="1">
      <c r="A1199" s="1207" t="s">
        <v>2184</v>
      </c>
      <c r="B1199" s="2717" t="s">
        <v>260</v>
      </c>
      <c r="C1199" s="4227" t="s">
        <v>261</v>
      </c>
      <c r="D1199" s="5737"/>
      <c r="E1199" s="7247" t="s">
        <v>41</v>
      </c>
      <c r="F1199" s="8757" t="s">
        <v>262</v>
      </c>
      <c r="G1199" s="10267" t="s">
        <v>15</v>
      </c>
      <c r="H1199" s="11777">
        <v>1</v>
      </c>
      <c r="I1199" s="13287" t="s">
        <v>16</v>
      </c>
      <c r="J1199" t="s">
        <v>28</v>
      </c>
    </row>
    <row r="1200" spans="1:10" ht="15.75" outlineLevel="1">
      <c r="A1200" s="1208" t="s">
        <v>2185</v>
      </c>
      <c r="B1200" s="2718" t="s">
        <v>264</v>
      </c>
      <c r="C1200" s="4228" t="s">
        <v>265</v>
      </c>
      <c r="D1200" s="5738"/>
      <c r="E1200" s="7248" t="s">
        <v>32</v>
      </c>
      <c r="F1200" s="8758" t="s">
        <v>266</v>
      </c>
      <c r="G1200" s="10268" t="s">
        <v>15</v>
      </c>
      <c r="H1200" s="11778">
        <v>3</v>
      </c>
      <c r="I1200" s="13288" t="s">
        <v>16</v>
      </c>
      <c r="J1200" s="13600" t="str">
        <f>HYPERLINK("\\192.168.170.18\drawings\2-Basic Components\0000-301 - Tank Connection\0000-301-071-B - TC- Flange 15° DN50 PN10 L=170- BG.pdf", "PDF")</f>
        <v>PDF</v>
      </c>
    </row>
    <row r="1201" spans="1:10" outlineLevel="1">
      <c r="A1201" s="1209" t="s">
        <v>2186</v>
      </c>
      <c r="B1201" s="2719" t="s">
        <v>357</v>
      </c>
      <c r="C1201" s="4229" t="s">
        <v>358</v>
      </c>
      <c r="D1201" s="5739" t="s">
        <v>359</v>
      </c>
      <c r="E1201" s="7249" t="s">
        <v>32</v>
      </c>
      <c r="F1201" s="8759" t="s">
        <v>360</v>
      </c>
      <c r="G1201" s="10269" t="s">
        <v>15</v>
      </c>
      <c r="H1201" s="11779">
        <v>2</v>
      </c>
      <c r="I1201" s="13289" t="s">
        <v>16</v>
      </c>
      <c r="J1201" t="s">
        <v>28</v>
      </c>
    </row>
    <row r="1202" spans="1:10" outlineLevel="1">
      <c r="A1202" s="1210" t="s">
        <v>2187</v>
      </c>
      <c r="B1202" s="2720" t="s">
        <v>357</v>
      </c>
      <c r="C1202" s="4230" t="s">
        <v>362</v>
      </c>
      <c r="D1202" s="5740" t="s">
        <v>363</v>
      </c>
      <c r="E1202" s="7250" t="s">
        <v>128</v>
      </c>
      <c r="F1202" s="8760" t="s">
        <v>364</v>
      </c>
      <c r="G1202" s="10270" t="s">
        <v>15</v>
      </c>
      <c r="H1202" s="11780">
        <v>2</v>
      </c>
      <c r="I1202" s="13290" t="s">
        <v>16</v>
      </c>
      <c r="J1202" t="s">
        <v>28</v>
      </c>
    </row>
    <row r="1203" spans="1:10" outlineLevel="1">
      <c r="A1203" s="1211" t="s">
        <v>2188</v>
      </c>
      <c r="B1203" s="2721" t="s">
        <v>357</v>
      </c>
      <c r="C1203" s="4231" t="s">
        <v>366</v>
      </c>
      <c r="D1203" s="5741" t="s">
        <v>367</v>
      </c>
      <c r="E1203" s="7251" t="s">
        <v>32</v>
      </c>
      <c r="F1203" s="8761" t="s">
        <v>368</v>
      </c>
      <c r="G1203" s="10271" t="s">
        <v>15</v>
      </c>
      <c r="H1203" s="11781">
        <v>4</v>
      </c>
      <c r="I1203" s="13291" t="s">
        <v>16</v>
      </c>
      <c r="J1203" t="s">
        <v>28</v>
      </c>
    </row>
    <row r="1204" spans="1:10" outlineLevel="1">
      <c r="A1204" s="1212" t="s">
        <v>2189</v>
      </c>
      <c r="B1204" s="2722" t="s">
        <v>357</v>
      </c>
      <c r="C1204" s="4232" t="s">
        <v>370</v>
      </c>
      <c r="D1204" s="5742"/>
      <c r="E1204" s="7252" t="s">
        <v>32</v>
      </c>
      <c r="F1204" s="8762" t="s">
        <v>371</v>
      </c>
      <c r="G1204" s="10272" t="s">
        <v>15</v>
      </c>
      <c r="H1204" s="11782">
        <v>2</v>
      </c>
      <c r="I1204" s="13292" t="s">
        <v>16</v>
      </c>
      <c r="J1204" t="s">
        <v>28</v>
      </c>
    </row>
    <row r="1205" spans="1:10" outlineLevel="1">
      <c r="A1205" s="1213" t="s">
        <v>2190</v>
      </c>
      <c r="B1205" s="2723" t="s">
        <v>357</v>
      </c>
      <c r="C1205" s="4233" t="s">
        <v>373</v>
      </c>
      <c r="D1205" s="5743"/>
      <c r="E1205" s="7253" t="s">
        <v>32</v>
      </c>
      <c r="F1205" s="8763" t="s">
        <v>374</v>
      </c>
      <c r="G1205" s="10273" t="s">
        <v>15</v>
      </c>
      <c r="H1205" s="11783">
        <v>4</v>
      </c>
      <c r="I1205" s="13293" t="s">
        <v>16</v>
      </c>
      <c r="J1205" t="s">
        <v>28</v>
      </c>
    </row>
    <row r="1206" spans="1:10" outlineLevel="1">
      <c r="A1206" s="1214" t="s">
        <v>2191</v>
      </c>
      <c r="B1206" s="2724" t="s">
        <v>247</v>
      </c>
      <c r="C1206" s="4234" t="s">
        <v>311</v>
      </c>
      <c r="D1206" s="5744"/>
      <c r="E1206" s="7254" t="s">
        <v>83</v>
      </c>
      <c r="F1206" s="8764" t="s">
        <v>376</v>
      </c>
      <c r="G1206" s="10274" t="s">
        <v>27</v>
      </c>
      <c r="H1206" s="11784">
        <v>4</v>
      </c>
      <c r="I1206" s="13294"/>
      <c r="J1206" t="s">
        <v>28</v>
      </c>
    </row>
    <row r="1207" spans="1:10" outlineLevel="1">
      <c r="A1207" s="1215" t="s">
        <v>2192</v>
      </c>
      <c r="B1207" s="2725" t="s">
        <v>247</v>
      </c>
      <c r="C1207" s="4235" t="s">
        <v>248</v>
      </c>
      <c r="D1207" s="5745"/>
      <c r="E1207" s="7255" t="s">
        <v>32</v>
      </c>
      <c r="F1207" s="8765" t="s">
        <v>249</v>
      </c>
      <c r="G1207" s="10275" t="s">
        <v>27</v>
      </c>
      <c r="H1207" s="11785">
        <v>2</v>
      </c>
      <c r="I1207" s="13295"/>
      <c r="J1207" t="s">
        <v>28</v>
      </c>
    </row>
    <row r="1208" spans="1:10" outlineLevel="1">
      <c r="A1208" s="1216" t="s">
        <v>2193</v>
      </c>
      <c r="B1208" s="2726" t="s">
        <v>247</v>
      </c>
      <c r="C1208" s="4236" t="s">
        <v>378</v>
      </c>
      <c r="D1208" s="5746"/>
      <c r="E1208" s="7256" t="s">
        <v>32</v>
      </c>
      <c r="F1208" s="8766" t="s">
        <v>379</v>
      </c>
      <c r="G1208" s="10276" t="s">
        <v>27</v>
      </c>
      <c r="H1208" s="11786">
        <v>2</v>
      </c>
      <c r="I1208" s="13296"/>
      <c r="J1208" t="s">
        <v>28</v>
      </c>
    </row>
    <row r="1209" spans="1:10" outlineLevel="1">
      <c r="A1209" s="1217" t="s">
        <v>2194</v>
      </c>
      <c r="B1209" s="2727" t="s">
        <v>357</v>
      </c>
      <c r="C1209" s="4237" t="s">
        <v>381</v>
      </c>
      <c r="D1209" s="5747" t="s">
        <v>382</v>
      </c>
      <c r="E1209" s="7257" t="s">
        <v>32</v>
      </c>
      <c r="F1209" s="8767" t="s">
        <v>383</v>
      </c>
      <c r="G1209" s="10277" t="s">
        <v>15</v>
      </c>
      <c r="H1209" s="11787">
        <v>2</v>
      </c>
      <c r="I1209" s="13297" t="s">
        <v>16</v>
      </c>
      <c r="J1209" t="s">
        <v>28</v>
      </c>
    </row>
    <row r="1210" spans="1:10" outlineLevel="1">
      <c r="A1210" s="1218" t="s">
        <v>2195</v>
      </c>
      <c r="B1210" s="2728" t="s">
        <v>247</v>
      </c>
      <c r="C1210" s="4238" t="s">
        <v>385</v>
      </c>
      <c r="D1210" s="5748" t="s">
        <v>386</v>
      </c>
      <c r="E1210" s="7258" t="s">
        <v>25</v>
      </c>
      <c r="F1210" s="8768" t="s">
        <v>387</v>
      </c>
      <c r="G1210" s="10278" t="s">
        <v>27</v>
      </c>
      <c r="H1210" s="11788">
        <v>2</v>
      </c>
      <c r="I1210" s="13298" t="s">
        <v>16</v>
      </c>
      <c r="J1210" t="s">
        <v>28</v>
      </c>
    </row>
    <row r="1211" spans="1:10" outlineLevel="1">
      <c r="A1211" s="1219" t="s">
        <v>2196</v>
      </c>
      <c r="B1211" s="2729" t="s">
        <v>268</v>
      </c>
      <c r="C1211" s="4239" t="s">
        <v>269</v>
      </c>
      <c r="D1211" s="5749"/>
      <c r="E1211" s="7259" t="s">
        <v>41</v>
      </c>
      <c r="F1211" s="8769" t="s">
        <v>270</v>
      </c>
      <c r="G1211" s="10279" t="s">
        <v>15</v>
      </c>
      <c r="H1211" s="11789">
        <v>2</v>
      </c>
      <c r="I1211" s="13299" t="s">
        <v>16</v>
      </c>
      <c r="J1211" t="s">
        <v>28</v>
      </c>
    </row>
    <row r="1212" spans="1:10" outlineLevel="1">
      <c r="A1212" s="1220" t="s">
        <v>2197</v>
      </c>
      <c r="B1212" s="2730" t="s">
        <v>268</v>
      </c>
      <c r="C1212" s="4240" t="s">
        <v>272</v>
      </c>
      <c r="D1212" s="5750"/>
      <c r="E1212" s="7260" t="s">
        <v>41</v>
      </c>
      <c r="F1212" s="8770" t="s">
        <v>273</v>
      </c>
      <c r="G1212" s="10280" t="s">
        <v>15</v>
      </c>
      <c r="H1212" s="11790">
        <v>4</v>
      </c>
      <c r="I1212" s="13300" t="s">
        <v>16</v>
      </c>
      <c r="J1212" t="s">
        <v>28</v>
      </c>
    </row>
    <row r="1213" spans="1:10" outlineLevel="1">
      <c r="A1213" s="1221" t="s">
        <v>2198</v>
      </c>
      <c r="B1213" s="2731" t="s">
        <v>275</v>
      </c>
      <c r="C1213" s="4241" t="s">
        <v>276</v>
      </c>
      <c r="D1213" s="5751"/>
      <c r="E1213" s="7261" t="s">
        <v>41</v>
      </c>
      <c r="F1213" s="8771" t="s">
        <v>277</v>
      </c>
      <c r="G1213" s="10281" t="s">
        <v>15</v>
      </c>
      <c r="H1213" s="11791">
        <v>2</v>
      </c>
      <c r="I1213" s="13301" t="s">
        <v>16</v>
      </c>
      <c r="J1213" t="s">
        <v>28</v>
      </c>
    </row>
    <row r="1214" spans="1:10" outlineLevel="1">
      <c r="A1214" s="1222" t="s">
        <v>2199</v>
      </c>
      <c r="B1214" s="2732" t="s">
        <v>268</v>
      </c>
      <c r="C1214" s="4242" t="s">
        <v>279</v>
      </c>
      <c r="D1214" s="5752"/>
      <c r="E1214" s="7262" t="s">
        <v>41</v>
      </c>
      <c r="F1214" s="8772" t="s">
        <v>280</v>
      </c>
      <c r="G1214" s="10282" t="s">
        <v>15</v>
      </c>
      <c r="H1214" s="11792">
        <v>2</v>
      </c>
      <c r="I1214" s="13302" t="s">
        <v>16</v>
      </c>
      <c r="J1214" t="s">
        <v>28</v>
      </c>
    </row>
    <row r="1215" spans="1:10" ht="15.75" outlineLevel="1">
      <c r="A1215" s="1223" t="s">
        <v>2200</v>
      </c>
      <c r="B1215" s="2733" t="s">
        <v>282</v>
      </c>
      <c r="C1215" s="4243" t="s">
        <v>283</v>
      </c>
      <c r="D1215" s="5753"/>
      <c r="E1215" s="7263" t="s">
        <v>25</v>
      </c>
      <c r="F1215" s="8773" t="s">
        <v>284</v>
      </c>
      <c r="G1215" s="10283" t="s">
        <v>15</v>
      </c>
      <c r="H1215" s="11793">
        <v>1</v>
      </c>
      <c r="I1215" s="13303" t="s">
        <v>16</v>
      </c>
      <c r="J1215" s="13600" t="str">
        <f>HYPERLINK("\\192.168.170.18\drawings\2-Basic Components\0000-315 - Central Flange\0000-315-003-A - Trap DN500 - pressure = 35 mbar_vacuum = -3 mbar.pdf", "PDF")</f>
        <v>PDF</v>
      </c>
    </row>
    <row r="1216" spans="1:10" ht="15.75" outlineLevel="1">
      <c r="A1216" s="1224" t="s">
        <v>2201</v>
      </c>
      <c r="B1216" s="2734" t="s">
        <v>286</v>
      </c>
      <c r="C1216" s="4244" t="s">
        <v>287</v>
      </c>
      <c r="D1216" s="5754"/>
      <c r="E1216" s="7264" t="s">
        <v>32</v>
      </c>
      <c r="F1216" s="8774" t="s">
        <v>288</v>
      </c>
      <c r="G1216" s="10284" t="s">
        <v>15</v>
      </c>
      <c r="H1216" s="11794">
        <v>4</v>
      </c>
      <c r="I1216" s="13304" t="s">
        <v>16</v>
      </c>
      <c r="J1216" s="13600" t="str">
        <f>HYPERLINK("\\192.168.170.18\drawings\2-Basic Components\0000-301 - Tank Connection\0000-301-120-- - TC- Flange Elbow DN150 PN10 L=450 - BM.pdf", "PDF")</f>
        <v>PDF</v>
      </c>
    </row>
    <row r="1217" spans="1:10" ht="15.75" outlineLevel="1">
      <c r="A1217" s="1225" t="s">
        <v>2202</v>
      </c>
      <c r="B1217" s="2735" t="s">
        <v>290</v>
      </c>
      <c r="C1217" s="4245" t="s">
        <v>291</v>
      </c>
      <c r="D1217" s="5755"/>
      <c r="E1217" s="7265" t="s">
        <v>32</v>
      </c>
      <c r="F1217" s="8775" t="s">
        <v>292</v>
      </c>
      <c r="G1217" s="10285" t="s">
        <v>15</v>
      </c>
      <c r="H1217" s="11795">
        <v>1</v>
      </c>
      <c r="I1217" s="13305"/>
      <c r="J1217" s="13600" t="str">
        <f>HYPERLINK("\\192.168.170.18\drawings\2-Basic Components\0000-321 - Straight Connection\0000-321-106-- - Biomass - Straight Connection - DN100x6m.pdf", "PDF")</f>
        <v>PDF</v>
      </c>
    </row>
    <row r="1218" spans="1:10" ht="15.75" outlineLevel="1">
      <c r="A1218" s="1226" t="s">
        <v>2203</v>
      </c>
      <c r="B1218" s="2736" t="s">
        <v>294</v>
      </c>
      <c r="C1218" s="4246" t="s">
        <v>295</v>
      </c>
      <c r="D1218" s="5756"/>
      <c r="E1218" s="7266" t="s">
        <v>32</v>
      </c>
      <c r="F1218" s="8776" t="s">
        <v>296</v>
      </c>
      <c r="G1218" s="10286" t="s">
        <v>15</v>
      </c>
      <c r="H1218" s="11796">
        <v>4</v>
      </c>
      <c r="I1218" s="13306"/>
      <c r="J1218" s="13600" t="str">
        <f>HYPERLINK("\\192.168.170.18\drawings\2-Basic Components\0000-342 - Pipe Holders\0000-342-270-B - DN100 Pipeholder for bottom mounting.pdf", "PDF")</f>
        <v>PDF</v>
      </c>
    </row>
    <row r="1219" spans="1:10" ht="15.75" outlineLevel="1">
      <c r="A1219" s="1227" t="s">
        <v>2204</v>
      </c>
      <c r="B1219" s="2737" t="s">
        <v>298</v>
      </c>
      <c r="C1219" s="4247" t="s">
        <v>299</v>
      </c>
      <c r="D1219" s="5757"/>
      <c r="E1219" s="7267" t="s">
        <v>32</v>
      </c>
      <c r="F1219" s="8777" t="s">
        <v>300</v>
      </c>
      <c r="G1219" s="10287" t="s">
        <v>15</v>
      </c>
      <c r="H1219" s="11797">
        <v>2</v>
      </c>
      <c r="I1219" s="13307" t="s">
        <v>16</v>
      </c>
      <c r="J1219" s="13600" t="str">
        <f>HYPERLINK("\\192.168.170.18\drawings\2-Basic Components\0000-301 - Tank Connection\0000-301-119-- - TC- Flange DN150 PN10 L=330 - BM.pdf", "PDF")</f>
        <v>PDF</v>
      </c>
    </row>
    <row r="1220" spans="1:10" ht="15.75" outlineLevel="1">
      <c r="A1220" s="1228" t="s">
        <v>2205</v>
      </c>
      <c r="B1220" s="2738" t="s">
        <v>302</v>
      </c>
      <c r="C1220" s="4248" t="s">
        <v>303</v>
      </c>
      <c r="D1220" s="5758" t="s">
        <v>304</v>
      </c>
      <c r="E1220" s="7268" t="s">
        <v>32</v>
      </c>
      <c r="F1220" s="8778" t="s">
        <v>305</v>
      </c>
      <c r="G1220" s="10288" t="s">
        <v>15</v>
      </c>
      <c r="H1220" s="11798">
        <v>1</v>
      </c>
      <c r="I1220" s="13308" t="s">
        <v>16</v>
      </c>
      <c r="J1220" s="13600" t="str">
        <f>HYPERLINK("\\192.168.170.18\drawings\2-Basic Components\0000-321 - Straight Connection\0000-321-103-A - Outlet pipe DN100 - Biomass.pdf", "PDF")</f>
        <v>PDF</v>
      </c>
    </row>
    <row r="1221" spans="1:10" ht="15.75" outlineLevel="1">
      <c r="A1221" s="1229" t="s">
        <v>2206</v>
      </c>
      <c r="B1221" s="2739" t="s">
        <v>307</v>
      </c>
      <c r="C1221" s="4249" t="s">
        <v>308</v>
      </c>
      <c r="D1221" s="5759"/>
      <c r="E1221" s="7269" t="s">
        <v>32</v>
      </c>
      <c r="F1221" s="8779" t="s">
        <v>309</v>
      </c>
      <c r="G1221" s="10289" t="s">
        <v>15</v>
      </c>
      <c r="H1221" s="11799">
        <v>2</v>
      </c>
      <c r="I1221" s="13309" t="s">
        <v>16</v>
      </c>
      <c r="J1221" s="13600" t="str">
        <f>HYPERLINK("\\192.168.170.18\drawings\2-Basic Components\0000-301 - Tank Connection\0000-301-122-- - TC- Flange DN150 PN10 L=330 - BM.pdf", "PDF")</f>
        <v>PDF</v>
      </c>
    </row>
    <row r="1222" spans="1:10" outlineLevel="1">
      <c r="A1222" s="1230" t="s">
        <v>2207</v>
      </c>
      <c r="B1222" s="2740" t="s">
        <v>247</v>
      </c>
      <c r="C1222" s="4250" t="s">
        <v>311</v>
      </c>
      <c r="D1222" s="5760"/>
      <c r="E1222" s="7270" t="s">
        <v>25</v>
      </c>
      <c r="F1222" s="8780" t="s">
        <v>312</v>
      </c>
      <c r="G1222" s="10290" t="s">
        <v>27</v>
      </c>
      <c r="H1222" s="11800">
        <v>1</v>
      </c>
      <c r="I1222" s="13310"/>
      <c r="J1222" t="s">
        <v>28</v>
      </c>
    </row>
    <row r="1223" spans="1:10" ht="15.75" outlineLevel="1">
      <c r="A1223" s="1231" t="s">
        <v>2208</v>
      </c>
      <c r="B1223" s="2741" t="s">
        <v>314</v>
      </c>
      <c r="C1223" s="4251" t="s">
        <v>315</v>
      </c>
      <c r="D1223" s="5761"/>
      <c r="E1223" s="7271" t="s">
        <v>32</v>
      </c>
      <c r="F1223" s="8781" t="s">
        <v>316</v>
      </c>
      <c r="G1223" s="10291" t="s">
        <v>15</v>
      </c>
      <c r="H1223" s="11801">
        <v>1</v>
      </c>
      <c r="I1223" s="13311" t="s">
        <v>16</v>
      </c>
      <c r="J1223" s="13600" t="str">
        <f>HYPERLINK("\\192.168.170.18\drawings\2-Basic Components\0000-321 - Straight Connection\0000-321-109-- - Biomass - Straight Connection - DN100x6m.pdf", "PDF")</f>
        <v>PDF</v>
      </c>
    </row>
    <row r="1224" spans="1:10" ht="15.75" outlineLevel="1">
      <c r="A1224" s="1232" t="s">
        <v>2209</v>
      </c>
      <c r="B1224" s="2742" t="s">
        <v>318</v>
      </c>
      <c r="C1224" s="4252" t="s">
        <v>319</v>
      </c>
      <c r="D1224" s="5762"/>
      <c r="E1224" s="7272" t="s">
        <v>32</v>
      </c>
      <c r="F1224" s="8782" t="s">
        <v>320</v>
      </c>
      <c r="G1224" s="10292" t="s">
        <v>15</v>
      </c>
      <c r="H1224" s="11802">
        <v>4</v>
      </c>
      <c r="I1224" s="13312" t="s">
        <v>16</v>
      </c>
      <c r="J1224" s="13600" t="str">
        <f>HYPERLINK("\\192.168.170.18\drawings\2-Basic Components\0000-342 - Pipe Holders\0000-342-274-- - DN125 Pipeholder for bottom mounting.pdf", "PDF")</f>
        <v>PDF</v>
      </c>
    </row>
    <row r="1225" spans="1:10" ht="15.75" outlineLevel="1">
      <c r="A1225" s="1233" t="s">
        <v>2210</v>
      </c>
      <c r="B1225" s="2743" t="s">
        <v>322</v>
      </c>
      <c r="C1225" s="4253" t="s">
        <v>323</v>
      </c>
      <c r="D1225" s="5763"/>
      <c r="E1225" s="7273" t="s">
        <v>32</v>
      </c>
      <c r="F1225" s="8783" t="s">
        <v>324</v>
      </c>
      <c r="G1225" s="10293" t="s">
        <v>15</v>
      </c>
      <c r="H1225" s="11803">
        <v>3</v>
      </c>
      <c r="I1225" s="13313" t="s">
        <v>16</v>
      </c>
      <c r="J1225" s="13600" t="str">
        <f>HYPERLINK("\\192.168.170.18\drawings\2-Basic Components\0000-301 - Tank Connection\0000-301-123-- - TC- Flange Elbow DN200 PN10 L=450 - BM.pdf", "PDF")</f>
        <v>PDF</v>
      </c>
    </row>
    <row r="1226" spans="1:10" ht="15.75" outlineLevel="1">
      <c r="A1226" s="1234" t="s">
        <v>2211</v>
      </c>
      <c r="B1226" s="2744" t="s">
        <v>326</v>
      </c>
      <c r="C1226" s="4254" t="s">
        <v>327</v>
      </c>
      <c r="D1226" s="5764"/>
      <c r="E1226" s="7274" t="s">
        <v>32</v>
      </c>
      <c r="F1226" s="8784" t="s">
        <v>328</v>
      </c>
      <c r="G1226" s="10294" t="s">
        <v>15</v>
      </c>
      <c r="H1226" s="11804">
        <v>6</v>
      </c>
      <c r="I1226" s="13314" t="s">
        <v>16</v>
      </c>
      <c r="J1226" s="13600" t="str">
        <f>HYPERLINK("\\192.168.170.18\drawings\2-Basic Components\0000-301 - Tank Connection\0000-301-124-- - TC- Flange DN200 PN10 L=330 - BM.pdf", "PDF")</f>
        <v>PDF</v>
      </c>
    </row>
    <row r="1227" spans="1:10" ht="15.75" outlineLevel="1">
      <c r="A1227" s="1235" t="s">
        <v>2212</v>
      </c>
      <c r="B1227" s="2745" t="s">
        <v>330</v>
      </c>
      <c r="C1227" s="4255" t="s">
        <v>331</v>
      </c>
      <c r="D1227" s="5765"/>
      <c r="E1227" s="7275" t="s">
        <v>32</v>
      </c>
      <c r="F1227" s="8785" t="s">
        <v>332</v>
      </c>
      <c r="G1227" s="10295" t="s">
        <v>15</v>
      </c>
      <c r="H1227" s="11805">
        <v>3</v>
      </c>
      <c r="I1227" s="13315" t="s">
        <v>16</v>
      </c>
      <c r="J1227" s="13600" t="str">
        <f>HYPERLINK("\\192.168.170.18\drawings\2-Basic Components\0000-321 - Straight Connection\0000-321-157-- - Biomass - Straigth Connection - DN200x6m.pdf", "PDF")</f>
        <v>PDF</v>
      </c>
    </row>
    <row r="1228" spans="1:10" outlineLevel="1">
      <c r="A1228" s="1236" t="s">
        <v>2213</v>
      </c>
      <c r="B1228" s="2746" t="s">
        <v>334</v>
      </c>
      <c r="C1228" s="4256" t="s">
        <v>335</v>
      </c>
      <c r="D1228" s="5766"/>
      <c r="E1228" s="7276" t="s">
        <v>32</v>
      </c>
      <c r="F1228" s="8786" t="s">
        <v>336</v>
      </c>
      <c r="G1228" s="10296" t="s">
        <v>15</v>
      </c>
      <c r="H1228" s="11806">
        <v>12</v>
      </c>
      <c r="I1228" s="13316" t="s">
        <v>16</v>
      </c>
      <c r="J1228" t="s">
        <v>28</v>
      </c>
    </row>
    <row r="1229" spans="1:10" ht="15.75" outlineLevel="1">
      <c r="A1229" s="1237" t="s">
        <v>2214</v>
      </c>
      <c r="B1229" s="2747" t="s">
        <v>344</v>
      </c>
      <c r="C1229" s="4257" t="s">
        <v>345</v>
      </c>
      <c r="D1229" s="5767" t="s">
        <v>346</v>
      </c>
      <c r="E1229" s="7277" t="s">
        <v>32</v>
      </c>
      <c r="F1229" s="8787" t="s">
        <v>347</v>
      </c>
      <c r="G1229" s="10297" t="s">
        <v>15</v>
      </c>
      <c r="H1229" s="11807">
        <v>1</v>
      </c>
      <c r="I1229" s="13317" t="s">
        <v>16</v>
      </c>
      <c r="J1229" s="13600" t="str">
        <f>HYPERLINK("\\192.168.170.18\drawings\2-Basic Components\0000-315 - Central Flange\0000-315-005-A - Central flange 5200 - DN250 assembly.pdf", "PDF")</f>
        <v>PDF</v>
      </c>
    </row>
    <row r="1230" spans="1:10" ht="15.75" outlineLevel="1">
      <c r="A1230" s="1238" t="s">
        <v>2215</v>
      </c>
      <c r="B1230" s="2748" t="s">
        <v>349</v>
      </c>
      <c r="C1230" s="4258" t="s">
        <v>350</v>
      </c>
      <c r="D1230" s="5768" t="s">
        <v>304</v>
      </c>
      <c r="E1230" s="7278" t="s">
        <v>32</v>
      </c>
      <c r="F1230" s="8788" t="s">
        <v>351</v>
      </c>
      <c r="G1230" s="10298" t="s">
        <v>15</v>
      </c>
      <c r="H1230" s="11808">
        <v>3</v>
      </c>
      <c r="I1230" s="13318" t="s">
        <v>16</v>
      </c>
      <c r="J1230" s="13600" t="str">
        <f>HYPERLINK("\\192.168.170.18\drawings\2-Basic Components\0000-321 - Straight Connection\0000-321-158-A - Outlet Pipe DN200 - Biomass.pdf", "PDF")</f>
        <v>PDF</v>
      </c>
    </row>
    <row r="1231" spans="1:10" ht="15.75" outlineLevel="1">
      <c r="A1231" s="1239" t="s">
        <v>2216</v>
      </c>
      <c r="B1231" s="2749" t="s">
        <v>353</v>
      </c>
      <c r="C1231" s="4259" t="s">
        <v>354</v>
      </c>
      <c r="D1231" s="5769" t="s">
        <v>304</v>
      </c>
      <c r="E1231" s="7279" t="s">
        <v>32</v>
      </c>
      <c r="F1231" s="8789" t="s">
        <v>355</v>
      </c>
      <c r="G1231" s="10299" t="s">
        <v>15</v>
      </c>
      <c r="H1231" s="11809">
        <v>1</v>
      </c>
      <c r="I1231" s="13319" t="s">
        <v>16</v>
      </c>
      <c r="J1231" s="13600" t="str">
        <f>HYPERLINK("\\192.168.170.18\drawings\2-Basic Components\0000-321 - Straight Connection\0000-321-108-A - Outlet pipe DN125 - Biomass.pdf", "PDF")</f>
        <v>PDF</v>
      </c>
    </row>
    <row r="1232" spans="1:10" outlineLevel="1">
      <c r="A1232" s="1240" t="s">
        <v>2217</v>
      </c>
      <c r="B1232" s="2750" t="s">
        <v>2218</v>
      </c>
      <c r="C1232" s="4260" t="s">
        <v>488</v>
      </c>
      <c r="D1232" s="5770" t="s">
        <v>340</v>
      </c>
      <c r="E1232" s="7280" t="s">
        <v>341</v>
      </c>
      <c r="F1232" s="8790" t="s">
        <v>2219</v>
      </c>
      <c r="G1232" s="10300" t="s">
        <v>15</v>
      </c>
      <c r="H1232" s="11810">
        <v>1</v>
      </c>
      <c r="I1232" s="13320" t="s">
        <v>16</v>
      </c>
      <c r="J1232" t="s">
        <v>28</v>
      </c>
    </row>
    <row r="1233" spans="1:10">
      <c r="A1233" s="1241" t="s">
        <v>2220</v>
      </c>
      <c r="B1233" s="2751" t="s">
        <v>1210</v>
      </c>
      <c r="C1233" s="4261" t="s">
        <v>498</v>
      </c>
      <c r="D1233" s="5771" t="s">
        <v>13</v>
      </c>
      <c r="E1233" s="7281" t="s">
        <v>153</v>
      </c>
      <c r="F1233" s="8791" t="s">
        <v>1211</v>
      </c>
      <c r="G1233" s="10301" t="s">
        <v>15</v>
      </c>
      <c r="H1233" s="11811">
        <v>2</v>
      </c>
      <c r="I1233" s="13321" t="s">
        <v>16</v>
      </c>
      <c r="J1233" t="s">
        <v>28</v>
      </c>
    </row>
    <row r="1234" spans="1:10">
      <c r="A1234" s="1242" t="s">
        <v>2221</v>
      </c>
      <c r="B1234" s="2752" t="s">
        <v>501</v>
      </c>
      <c r="C1234" s="4262" t="s">
        <v>502</v>
      </c>
      <c r="D1234" s="5772"/>
      <c r="E1234" s="7282" t="s">
        <v>41</v>
      </c>
      <c r="F1234" s="8792" t="s">
        <v>503</v>
      </c>
      <c r="G1234" s="10302" t="s">
        <v>15</v>
      </c>
      <c r="H1234" s="11812">
        <v>6</v>
      </c>
      <c r="I1234" s="13322" t="s">
        <v>16</v>
      </c>
      <c r="J1234" t="s">
        <v>28</v>
      </c>
    </row>
    <row r="1235" spans="1:10">
      <c r="A1235" s="1243" t="s">
        <v>2222</v>
      </c>
      <c r="B1235" s="2753" t="s">
        <v>501</v>
      </c>
      <c r="C1235" s="4263" t="s">
        <v>505</v>
      </c>
      <c r="D1235" s="5773"/>
      <c r="E1235" s="7283" t="s">
        <v>41</v>
      </c>
      <c r="F1235" s="8793" t="s">
        <v>506</v>
      </c>
      <c r="G1235" s="10303" t="s">
        <v>15</v>
      </c>
      <c r="H1235" s="11813">
        <v>3</v>
      </c>
      <c r="I1235" s="13323" t="s">
        <v>16</v>
      </c>
      <c r="J1235" t="s">
        <v>28</v>
      </c>
    </row>
    <row r="1236" spans="1:10">
      <c r="A1236" s="1244" t="s">
        <v>2223</v>
      </c>
      <c r="B1236" s="2754" t="s">
        <v>508</v>
      </c>
      <c r="C1236" s="4264"/>
      <c r="D1236" s="5774"/>
      <c r="E1236" s="7284" t="s">
        <v>32</v>
      </c>
      <c r="F1236" s="8794" t="s">
        <v>509</v>
      </c>
      <c r="G1236" s="10304" t="s">
        <v>15</v>
      </c>
      <c r="H1236" s="11814">
        <v>3</v>
      </c>
      <c r="I1236" s="13324" t="s">
        <v>16</v>
      </c>
      <c r="J1236" t="s">
        <v>28</v>
      </c>
    </row>
    <row r="1237" spans="1:10">
      <c r="A1237" s="1245" t="s">
        <v>2224</v>
      </c>
      <c r="B1237" s="2755" t="s">
        <v>515</v>
      </c>
      <c r="C1237" s="4265"/>
      <c r="D1237" s="5775"/>
      <c r="E1237" s="7285" t="s">
        <v>32</v>
      </c>
      <c r="F1237" s="8795" t="s">
        <v>516</v>
      </c>
      <c r="G1237" s="10305" t="s">
        <v>15</v>
      </c>
      <c r="H1237" s="11815">
        <v>3</v>
      </c>
      <c r="I1237" s="13325" t="s">
        <v>16</v>
      </c>
      <c r="J1237" t="s">
        <v>28</v>
      </c>
    </row>
    <row r="1238" spans="1:10">
      <c r="A1238" s="1246" t="s">
        <v>2225</v>
      </c>
      <c r="B1238" s="2756" t="s">
        <v>511</v>
      </c>
      <c r="C1238" s="4266"/>
      <c r="D1238" s="5776"/>
      <c r="E1238" s="7286" t="s">
        <v>512</v>
      </c>
      <c r="F1238" s="8796" t="s">
        <v>513</v>
      </c>
      <c r="G1238" s="10306" t="s">
        <v>15</v>
      </c>
      <c r="H1238" s="11816">
        <v>3</v>
      </c>
      <c r="I1238" s="13326" t="s">
        <v>16</v>
      </c>
      <c r="J1238" t="s">
        <v>28</v>
      </c>
    </row>
    <row r="1239" spans="1:10">
      <c r="A1239" s="1247" t="s">
        <v>2226</v>
      </c>
      <c r="B1239" s="2757" t="s">
        <v>2227</v>
      </c>
      <c r="C1239" s="4267"/>
      <c r="D1239" s="5777"/>
      <c r="E1239" s="7287"/>
      <c r="F1239" s="8797" t="s">
        <v>2228</v>
      </c>
      <c r="G1239" s="10307" t="s">
        <v>15</v>
      </c>
      <c r="H1239" s="11817">
        <v>1</v>
      </c>
      <c r="I1239" s="13327" t="s">
        <v>16</v>
      </c>
      <c r="J1239" t="s">
        <v>28</v>
      </c>
    </row>
    <row r="1240" spans="1:10" outlineLevel="1">
      <c r="A1240" s="1248" t="s">
        <v>2229</v>
      </c>
      <c r="B1240" s="2758" t="s">
        <v>525</v>
      </c>
      <c r="C1240" s="4268" t="s">
        <v>526</v>
      </c>
      <c r="D1240" s="5778"/>
      <c r="E1240" s="7288" t="s">
        <v>208</v>
      </c>
      <c r="F1240" s="8798" t="s">
        <v>527</v>
      </c>
      <c r="G1240" s="10308" t="s">
        <v>27</v>
      </c>
      <c r="H1240" s="11818">
        <v>4</v>
      </c>
      <c r="I1240" s="13328"/>
      <c r="J1240" t="s">
        <v>28</v>
      </c>
    </row>
    <row r="1241" spans="1:10" outlineLevel="1">
      <c r="A1241" s="1249" t="s">
        <v>2230</v>
      </c>
      <c r="B1241" s="2759" t="s">
        <v>81</v>
      </c>
      <c r="C1241" s="4269" t="s">
        <v>529</v>
      </c>
      <c r="D1241" s="5779"/>
      <c r="E1241" s="7289" t="s">
        <v>97</v>
      </c>
      <c r="F1241" s="8799" t="s">
        <v>530</v>
      </c>
      <c r="G1241" s="10309" t="s">
        <v>15</v>
      </c>
      <c r="H1241" s="11819">
        <v>4</v>
      </c>
      <c r="I1241" s="13329"/>
      <c r="J1241" t="s">
        <v>28</v>
      </c>
    </row>
    <row r="1242" spans="1:10" outlineLevel="1">
      <c r="A1242" s="1250" t="s">
        <v>2231</v>
      </c>
      <c r="B1242" s="2760" t="s">
        <v>532</v>
      </c>
      <c r="C1242" s="4270" t="s">
        <v>533</v>
      </c>
      <c r="D1242" s="5780"/>
      <c r="E1242" s="7290" t="s">
        <v>16</v>
      </c>
      <c r="F1242" s="8800" t="s">
        <v>534</v>
      </c>
      <c r="G1242" s="10310" t="s">
        <v>27</v>
      </c>
      <c r="H1242" s="11820">
        <v>4</v>
      </c>
      <c r="I1242" s="13330"/>
      <c r="J1242" t="s">
        <v>28</v>
      </c>
    </row>
    <row r="1243" spans="1:10" outlineLevel="1">
      <c r="A1243" s="1251" t="s">
        <v>2232</v>
      </c>
      <c r="B1243" s="2761" t="s">
        <v>536</v>
      </c>
      <c r="C1243" s="4271" t="s">
        <v>537</v>
      </c>
      <c r="D1243" s="5781"/>
      <c r="E1243" s="7291" t="s">
        <v>208</v>
      </c>
      <c r="F1243" s="8801" t="s">
        <v>538</v>
      </c>
      <c r="G1243" s="10311" t="s">
        <v>27</v>
      </c>
      <c r="H1243" s="11821">
        <v>4</v>
      </c>
      <c r="I1243" s="13331" t="s">
        <v>16</v>
      </c>
      <c r="J1243" t="s">
        <v>28</v>
      </c>
    </row>
    <row r="1244" spans="1:10" ht="15.75" outlineLevel="1">
      <c r="A1244" s="1252" t="s">
        <v>2233</v>
      </c>
      <c r="B1244" s="2762" t="s">
        <v>1225</v>
      </c>
      <c r="C1244" s="4272" t="s">
        <v>1226</v>
      </c>
      <c r="D1244" s="5782"/>
      <c r="E1244" s="7292" t="s">
        <v>32</v>
      </c>
      <c r="F1244" s="8802" t="s">
        <v>1227</v>
      </c>
      <c r="G1244" s="10312" t="s">
        <v>15</v>
      </c>
      <c r="H1244" s="11822">
        <v>1</v>
      </c>
      <c r="I1244" s="13332"/>
      <c r="J1244" s="13600" t="str">
        <f>HYPERLINK("\\192.168.170.18\drawings\2-Basic Components\0000-316 - Heat-Exchangers\0000-316-010-- - 4 HEX Water-Biomass Ver. 01.pdf", "PDF")</f>
        <v>PDF</v>
      </c>
    </row>
    <row r="1245" spans="1:10">
      <c r="A1245" s="1253" t="s">
        <v>2234</v>
      </c>
      <c r="B1245" s="2763" t="s">
        <v>2235</v>
      </c>
      <c r="C1245" s="4273"/>
      <c r="D1245" s="5783"/>
      <c r="E1245" s="7293" t="s">
        <v>32</v>
      </c>
      <c r="F1245" s="8803" t="s">
        <v>2236</v>
      </c>
      <c r="G1245" s="10313" t="s">
        <v>15</v>
      </c>
      <c r="H1245" s="11823">
        <v>1</v>
      </c>
      <c r="I1245" s="13333"/>
      <c r="J1245" t="s">
        <v>28</v>
      </c>
    </row>
    <row r="1246" spans="1:10">
      <c r="A1246" s="1254" t="s">
        <v>2237</v>
      </c>
      <c r="B1246" s="2764" t="s">
        <v>2238</v>
      </c>
      <c r="C1246" s="4274" t="s">
        <v>152</v>
      </c>
      <c r="D1246" s="5784" t="s">
        <v>13</v>
      </c>
      <c r="E1246" s="7294" t="s">
        <v>153</v>
      </c>
      <c r="F1246" s="8804" t="s">
        <v>2239</v>
      </c>
      <c r="G1246" s="10314" t="s">
        <v>15</v>
      </c>
      <c r="H1246" s="11824">
        <v>1</v>
      </c>
      <c r="I1246" s="13334" t="s">
        <v>16</v>
      </c>
      <c r="J1246" t="s">
        <v>28</v>
      </c>
    </row>
    <row r="1247" spans="1:10" ht="15.75">
      <c r="A1247" s="1255" t="s">
        <v>2240</v>
      </c>
      <c r="B1247" s="2765" t="s">
        <v>2241</v>
      </c>
      <c r="C1247" s="4275" t="s">
        <v>157</v>
      </c>
      <c r="D1247" s="5785" t="s">
        <v>2242</v>
      </c>
      <c r="E1247" s="7295"/>
      <c r="F1247" s="8805" t="s">
        <v>2243</v>
      </c>
      <c r="G1247" s="10315" t="s">
        <v>15</v>
      </c>
      <c r="H1247" s="11825">
        <v>1</v>
      </c>
      <c r="I1247" s="13335" t="s">
        <v>16</v>
      </c>
      <c r="J1247" s="13600" t="str">
        <f>HYPERLINK("\\192.168.170.18\drawings\5-Projects\2500 - Aabenraa\Area 04 - Digester Area\Eqiupment\2500-615 Digester\2500-615-004-- - Digester - Assembly - 9500m³.pdf", "PDF")</f>
        <v>PDF</v>
      </c>
    </row>
    <row r="1248" spans="1:10" ht="15.75" outlineLevel="1">
      <c r="A1248" s="1256" t="s">
        <v>2244</v>
      </c>
      <c r="B1248" s="2766" t="s">
        <v>2245</v>
      </c>
      <c r="C1248" s="4276" t="s">
        <v>161</v>
      </c>
      <c r="D1248" s="5786" t="s">
        <v>2246</v>
      </c>
      <c r="E1248" s="7296"/>
      <c r="F1248" s="8806" t="s">
        <v>2247</v>
      </c>
      <c r="G1248" s="10316" t="s">
        <v>15</v>
      </c>
      <c r="H1248" s="11826">
        <v>1</v>
      </c>
      <c r="I1248" s="13336" t="s">
        <v>16</v>
      </c>
      <c r="J1248" s="13600" t="str">
        <f>HYPERLINK("\\192.168.170.18\drawings\5-Projects\2500 - Aabenraa\Area 04 - Digester Area\Eqiupment\2500-615 Digester\2500-615-904-- - Digester 9500m³.pdf", "PDF")</f>
        <v>PDF</v>
      </c>
    </row>
    <row r="1249" spans="1:10" outlineLevel="2">
      <c r="A1249" s="1257" t="s">
        <v>2248</v>
      </c>
      <c r="B1249" s="2767" t="s">
        <v>2249</v>
      </c>
      <c r="C1249" s="4277" t="s">
        <v>166</v>
      </c>
      <c r="D1249" s="5787"/>
      <c r="E1249" s="7297" t="s">
        <v>32</v>
      </c>
      <c r="F1249" s="8807" t="s">
        <v>2250</v>
      </c>
      <c r="G1249" s="10317" t="s">
        <v>15</v>
      </c>
      <c r="H1249" s="11827">
        <v>1</v>
      </c>
      <c r="I1249" s="13337" t="s">
        <v>16</v>
      </c>
      <c r="J1249" t="s">
        <v>28</v>
      </c>
    </row>
    <row r="1250" spans="1:10" outlineLevel="2">
      <c r="A1250" s="1258" t="s">
        <v>2251</v>
      </c>
      <c r="B1250" s="2768" t="s">
        <v>2252</v>
      </c>
      <c r="C1250" s="4278" t="s">
        <v>170</v>
      </c>
      <c r="D1250" s="5788"/>
      <c r="E1250" s="7298" t="s">
        <v>32</v>
      </c>
      <c r="F1250" s="8808" t="s">
        <v>2253</v>
      </c>
      <c r="G1250" s="10318" t="s">
        <v>15</v>
      </c>
      <c r="H1250" s="11828">
        <v>1</v>
      </c>
      <c r="I1250" s="13338" t="s">
        <v>16</v>
      </c>
      <c r="J1250" t="s">
        <v>28</v>
      </c>
    </row>
    <row r="1251" spans="1:10" outlineLevel="2">
      <c r="A1251" s="1259" t="s">
        <v>2254</v>
      </c>
      <c r="B1251" s="2769" t="s">
        <v>2255</v>
      </c>
      <c r="C1251" s="4279" t="s">
        <v>174</v>
      </c>
      <c r="D1251" s="5789"/>
      <c r="E1251" s="7299" t="s">
        <v>41</v>
      </c>
      <c r="F1251" s="8809" t="s">
        <v>2256</v>
      </c>
      <c r="G1251" s="10319" t="s">
        <v>15</v>
      </c>
      <c r="H1251" s="11829">
        <v>1</v>
      </c>
      <c r="I1251" s="13339" t="s">
        <v>16</v>
      </c>
      <c r="J1251" t="s">
        <v>28</v>
      </c>
    </row>
    <row r="1252" spans="1:10" outlineLevel="2">
      <c r="A1252" s="1260" t="s">
        <v>2257</v>
      </c>
      <c r="B1252" s="2770" t="s">
        <v>2258</v>
      </c>
      <c r="C1252" s="4280" t="s">
        <v>178</v>
      </c>
      <c r="D1252" s="5790"/>
      <c r="E1252" s="7300" t="s">
        <v>32</v>
      </c>
      <c r="F1252" s="8810" t="s">
        <v>2259</v>
      </c>
      <c r="G1252" s="10320" t="s">
        <v>15</v>
      </c>
      <c r="H1252" s="11830">
        <v>1</v>
      </c>
      <c r="I1252" s="13340" t="s">
        <v>16</v>
      </c>
      <c r="J1252" t="s">
        <v>28</v>
      </c>
    </row>
    <row r="1253" spans="1:10" outlineLevel="2">
      <c r="A1253" s="1261" t="s">
        <v>2260</v>
      </c>
      <c r="B1253" s="2771" t="s">
        <v>2261</v>
      </c>
      <c r="C1253" s="4281"/>
      <c r="D1253" s="5791"/>
      <c r="E1253" s="7301" t="s">
        <v>182</v>
      </c>
      <c r="F1253" s="8811" t="s">
        <v>2262</v>
      </c>
      <c r="G1253" s="10321" t="s">
        <v>15</v>
      </c>
      <c r="H1253" s="11831">
        <v>1</v>
      </c>
      <c r="I1253" s="13341" t="s">
        <v>16</v>
      </c>
      <c r="J1253" t="s">
        <v>28</v>
      </c>
    </row>
    <row r="1254" spans="1:10" outlineLevel="2">
      <c r="A1254" s="1262" t="s">
        <v>2263</v>
      </c>
      <c r="B1254" s="2772" t="s">
        <v>2264</v>
      </c>
      <c r="C1254" s="4282" t="s">
        <v>186</v>
      </c>
      <c r="D1254" s="5792"/>
      <c r="E1254" s="7302" t="s">
        <v>32</v>
      </c>
      <c r="F1254" s="8812" t="s">
        <v>2265</v>
      </c>
      <c r="G1254" s="10322" t="s">
        <v>15</v>
      </c>
      <c r="H1254" s="11832">
        <v>1</v>
      </c>
      <c r="I1254" s="13342" t="s">
        <v>16</v>
      </c>
      <c r="J1254" t="s">
        <v>28</v>
      </c>
    </row>
    <row r="1255" spans="1:10" outlineLevel="1">
      <c r="A1255" s="1263" t="s">
        <v>2266</v>
      </c>
      <c r="B1255" s="2773" t="s">
        <v>81</v>
      </c>
      <c r="C1255" s="4283" t="s">
        <v>82</v>
      </c>
      <c r="D1255" s="5793"/>
      <c r="E1255" s="7303" t="s">
        <v>83</v>
      </c>
      <c r="F1255" s="8813" t="s">
        <v>84</v>
      </c>
      <c r="G1255" s="10323" t="s">
        <v>27</v>
      </c>
      <c r="H1255" s="11833">
        <v>2</v>
      </c>
      <c r="I1255" s="13343"/>
      <c r="J1255" t="s">
        <v>28</v>
      </c>
    </row>
    <row r="1256" spans="1:10" outlineLevel="1">
      <c r="A1256" s="1264" t="s">
        <v>2267</v>
      </c>
      <c r="B1256" s="2774" t="s">
        <v>190</v>
      </c>
      <c r="C1256" s="4284" t="s">
        <v>191</v>
      </c>
      <c r="D1256" s="5794"/>
      <c r="E1256" s="7304" t="s">
        <v>16</v>
      </c>
      <c r="F1256" s="8814" t="s">
        <v>192</v>
      </c>
      <c r="G1256" s="10324" t="s">
        <v>27</v>
      </c>
      <c r="H1256" s="11834">
        <v>1</v>
      </c>
      <c r="I1256" s="13344"/>
      <c r="J1256" t="s">
        <v>28</v>
      </c>
    </row>
    <row r="1257" spans="1:10" outlineLevel="1">
      <c r="A1257" s="1265" t="s">
        <v>2268</v>
      </c>
      <c r="B1257" s="2775" t="s">
        <v>194</v>
      </c>
      <c r="C1257" s="4285" t="s">
        <v>195</v>
      </c>
      <c r="D1257" s="5795"/>
      <c r="E1257" s="7305" t="s">
        <v>16</v>
      </c>
      <c r="F1257" s="8815" t="s">
        <v>196</v>
      </c>
      <c r="G1257" s="10325" t="s">
        <v>27</v>
      </c>
      <c r="H1257" s="11835">
        <v>2</v>
      </c>
      <c r="I1257" s="13345"/>
      <c r="J1257" t="s">
        <v>28</v>
      </c>
    </row>
    <row r="1258" spans="1:10" outlineLevel="1">
      <c r="A1258" s="1266" t="s">
        <v>2269</v>
      </c>
      <c r="B1258" s="2776" t="s">
        <v>81</v>
      </c>
      <c r="C1258" s="4286" t="s">
        <v>198</v>
      </c>
      <c r="D1258" s="5796"/>
      <c r="E1258" s="7306" t="s">
        <v>32</v>
      </c>
      <c r="F1258" s="8816" t="s">
        <v>199</v>
      </c>
      <c r="G1258" s="10326" t="s">
        <v>15</v>
      </c>
      <c r="H1258" s="11836">
        <v>2</v>
      </c>
      <c r="I1258" s="13346"/>
      <c r="J1258" t="s">
        <v>28</v>
      </c>
    </row>
    <row r="1259" spans="1:10" outlineLevel="1">
      <c r="A1259" s="1267" t="s">
        <v>2270</v>
      </c>
      <c r="B1259" s="2777" t="s">
        <v>201</v>
      </c>
      <c r="C1259" s="4287" t="s">
        <v>202</v>
      </c>
      <c r="D1259" s="5797"/>
      <c r="E1259" s="7307" t="s">
        <v>203</v>
      </c>
      <c r="F1259" s="8817" t="s">
        <v>204</v>
      </c>
      <c r="G1259" s="10327" t="s">
        <v>27</v>
      </c>
      <c r="H1259" s="11837">
        <v>3</v>
      </c>
      <c r="I1259" s="13347" t="s">
        <v>16</v>
      </c>
      <c r="J1259" t="s">
        <v>28</v>
      </c>
    </row>
    <row r="1260" spans="1:10" outlineLevel="1">
      <c r="A1260" s="1268" t="s">
        <v>2271</v>
      </c>
      <c r="B1260" s="2778" t="s">
        <v>206</v>
      </c>
      <c r="C1260" s="4288" t="s">
        <v>207</v>
      </c>
      <c r="D1260" s="5798"/>
      <c r="E1260" s="7308" t="s">
        <v>208</v>
      </c>
      <c r="F1260" s="8818" t="s">
        <v>209</v>
      </c>
      <c r="G1260" s="10328" t="s">
        <v>27</v>
      </c>
      <c r="H1260" s="11838">
        <v>2</v>
      </c>
      <c r="I1260" s="13348" t="s">
        <v>16</v>
      </c>
      <c r="J1260" t="s">
        <v>28</v>
      </c>
    </row>
    <row r="1261" spans="1:10" outlineLevel="1">
      <c r="A1261" s="1269" t="s">
        <v>2272</v>
      </c>
      <c r="B1261" s="2779" t="s">
        <v>247</v>
      </c>
      <c r="C1261" s="4289" t="s">
        <v>444</v>
      </c>
      <c r="D1261" s="5799" t="s">
        <v>445</v>
      </c>
      <c r="E1261" s="7309" t="s">
        <v>25</v>
      </c>
      <c r="F1261" s="8819" t="s">
        <v>446</v>
      </c>
      <c r="G1261" s="10329" t="s">
        <v>27</v>
      </c>
      <c r="H1261" s="11839">
        <v>3</v>
      </c>
      <c r="I1261" s="13349" t="s">
        <v>16</v>
      </c>
      <c r="J1261" t="s">
        <v>28</v>
      </c>
    </row>
    <row r="1262" spans="1:10" ht="15.75" outlineLevel="1">
      <c r="A1262" s="1270" t="s">
        <v>2273</v>
      </c>
      <c r="B1262" s="2780" t="s">
        <v>211</v>
      </c>
      <c r="C1262" s="4290" t="s">
        <v>212</v>
      </c>
      <c r="D1262" s="5800"/>
      <c r="E1262" s="7310" t="s">
        <v>32</v>
      </c>
      <c r="F1262" s="8820" t="s">
        <v>213</v>
      </c>
      <c r="G1262" s="10330" t="s">
        <v>15</v>
      </c>
      <c r="H1262" s="11840">
        <v>2</v>
      </c>
      <c r="I1262" s="13350" t="s">
        <v>16</v>
      </c>
      <c r="J1262" s="13600" t="str">
        <f>HYPERLINK("\\192.168.170.18\drawings\2-Basic Components\0000-301 - Tank Connection\0000-301-038-A - TC- Flange DN40 - 1½'' L=200- BM.pdf", "PDF")</f>
        <v>PDF</v>
      </c>
    </row>
    <row r="1263" spans="1:10" ht="15.75" outlineLevel="1">
      <c r="A1263" s="1271" t="s">
        <v>2274</v>
      </c>
      <c r="B1263" s="2781" t="s">
        <v>215</v>
      </c>
      <c r="C1263" s="4291" t="s">
        <v>216</v>
      </c>
      <c r="D1263" s="5801"/>
      <c r="E1263" s="7311" t="s">
        <v>32</v>
      </c>
      <c r="F1263" s="8821" t="s">
        <v>217</v>
      </c>
      <c r="G1263" s="10331" t="s">
        <v>15</v>
      </c>
      <c r="H1263" s="11841">
        <v>3</v>
      </c>
      <c r="I1263" s="13351" t="s">
        <v>16</v>
      </c>
      <c r="J1263" s="13600" t="str">
        <f>HYPERLINK("\\192.168.170.18\drawings\2-Basic Components\0000-301 - Tank Connection\0000-301-037-- - TC- Socket DN15-½'' L=168- BM.pdf", "PDF")</f>
        <v>PDF</v>
      </c>
    </row>
    <row r="1264" spans="1:10" ht="15.75" outlineLevel="1">
      <c r="A1264" s="1272" t="s">
        <v>2275</v>
      </c>
      <c r="B1264" s="2782" t="s">
        <v>219</v>
      </c>
      <c r="C1264" s="4292" t="s">
        <v>220</v>
      </c>
      <c r="D1264" s="5802"/>
      <c r="E1264" s="7312" t="s">
        <v>32</v>
      </c>
      <c r="F1264" s="8822" t="s">
        <v>221</v>
      </c>
      <c r="G1264" s="10332" t="s">
        <v>15</v>
      </c>
      <c r="H1264" s="11842">
        <v>3</v>
      </c>
      <c r="I1264" s="13352" t="s">
        <v>16</v>
      </c>
      <c r="J1264" s="13600" t="str">
        <f>HYPERLINK("\\192.168.170.18\drawings\2-Basic Components\0000-301 - Tank Connection\0000-301-001-A - TC - Nipple DN15 - ½'' L=40- BG.pdf", "PDF")</f>
        <v>PDF</v>
      </c>
    </row>
    <row r="1265" spans="1:10" ht="15.75" outlineLevel="1">
      <c r="A1265" s="1273" t="s">
        <v>2276</v>
      </c>
      <c r="B1265" s="2783" t="s">
        <v>223</v>
      </c>
      <c r="C1265" s="4293" t="s">
        <v>224</v>
      </c>
      <c r="D1265" s="5803"/>
      <c r="E1265" s="7313" t="s">
        <v>32</v>
      </c>
      <c r="F1265" s="8823" t="s">
        <v>225</v>
      </c>
      <c r="G1265" s="10333" t="s">
        <v>15</v>
      </c>
      <c r="H1265" s="11843">
        <v>15</v>
      </c>
      <c r="I1265" s="13353" t="s">
        <v>16</v>
      </c>
      <c r="J1265" s="13600" t="str">
        <f>HYPERLINK("\\192.168.170.18\drawings\2-Basic Components\0000-342 - Pipe Holders\0000-342-022-- - Pipe holder foot L=400.pdf", "PDF")</f>
        <v>PDF</v>
      </c>
    </row>
    <row r="1266" spans="1:10" outlineLevel="1">
      <c r="A1266" s="1274" t="s">
        <v>2277</v>
      </c>
      <c r="B1266" s="2784" t="s">
        <v>227</v>
      </c>
      <c r="C1266" s="4294" t="s">
        <v>228</v>
      </c>
      <c r="D1266" s="5804"/>
      <c r="E1266" s="7314" t="s">
        <v>32</v>
      </c>
      <c r="F1266" s="8824" t="s">
        <v>229</v>
      </c>
      <c r="G1266" s="10334" t="s">
        <v>15</v>
      </c>
      <c r="H1266" s="11844">
        <v>1</v>
      </c>
      <c r="I1266" s="13354" t="s">
        <v>16</v>
      </c>
      <c r="J1266" t="s">
        <v>28</v>
      </c>
    </row>
    <row r="1267" spans="1:10" outlineLevel="1">
      <c r="A1267" s="1275" t="s">
        <v>2278</v>
      </c>
      <c r="B1267" s="2785" t="s">
        <v>227</v>
      </c>
      <c r="C1267" s="4295" t="s">
        <v>231</v>
      </c>
      <c r="D1267" s="5805"/>
      <c r="E1267" s="7315" t="s">
        <v>32</v>
      </c>
      <c r="F1267" s="8825" t="s">
        <v>232</v>
      </c>
      <c r="G1267" s="10335" t="s">
        <v>15</v>
      </c>
      <c r="H1267" s="11845">
        <v>1</v>
      </c>
      <c r="I1267" s="13355" t="s">
        <v>16</v>
      </c>
      <c r="J1267" t="s">
        <v>28</v>
      </c>
    </row>
    <row r="1268" spans="1:10" ht="15.75" outlineLevel="1">
      <c r="A1268" s="1276" t="s">
        <v>2279</v>
      </c>
      <c r="B1268" s="2786" t="s">
        <v>234</v>
      </c>
      <c r="C1268" s="4296" t="s">
        <v>235</v>
      </c>
      <c r="D1268" s="5806" t="s">
        <v>236</v>
      </c>
      <c r="E1268" s="7316" t="s">
        <v>32</v>
      </c>
      <c r="F1268" s="8826" t="s">
        <v>237</v>
      </c>
      <c r="G1268" s="10336" t="s">
        <v>15</v>
      </c>
      <c r="H1268" s="11846">
        <v>2</v>
      </c>
      <c r="I1268" s="13356" t="s">
        <v>16</v>
      </c>
      <c r="J1268" s="13600" t="str">
        <f>HYPERLINK("\\192.168.170.18\drawings\2-Basic Components\0000-310 - Sightglass\0000-310-005-A - Sightglass w.Wiper - DN200 PN0 - Welded.pdf", "PDF")</f>
        <v>PDF</v>
      </c>
    </row>
    <row r="1269" spans="1:10" ht="15.75" outlineLevel="1">
      <c r="A1269" s="1277" t="s">
        <v>2280</v>
      </c>
      <c r="B1269" s="2787" t="s">
        <v>239</v>
      </c>
      <c r="C1269" s="4297" t="s">
        <v>240</v>
      </c>
      <c r="D1269" s="5807"/>
      <c r="E1269" s="7317" t="s">
        <v>32</v>
      </c>
      <c r="F1269" s="8827" t="s">
        <v>241</v>
      </c>
      <c r="G1269" s="10337" t="s">
        <v>15</v>
      </c>
      <c r="H1269" s="11847">
        <v>52</v>
      </c>
      <c r="I1269" s="13357" t="s">
        <v>16</v>
      </c>
      <c r="J1269" s="13600" t="str">
        <f>HYPERLINK("\\192.168.170.18\drawings\2-Basic Components\0000-342 - Pipe Holders\0000-342-034-- - Pipe holder foot L=300.pdf", "PDF")</f>
        <v>PDF</v>
      </c>
    </row>
    <row r="1270" spans="1:10" outlineLevel="1">
      <c r="A1270" s="1278" t="s">
        <v>2281</v>
      </c>
      <c r="B1270" s="2788" t="s">
        <v>243</v>
      </c>
      <c r="C1270" s="4298" t="s">
        <v>244</v>
      </c>
      <c r="D1270" s="5808"/>
      <c r="E1270" s="7318" t="s">
        <v>32</v>
      </c>
      <c r="F1270" s="8828" t="s">
        <v>245</v>
      </c>
      <c r="G1270" s="10338" t="s">
        <v>15</v>
      </c>
      <c r="H1270" s="11848">
        <v>2</v>
      </c>
      <c r="I1270" s="13358"/>
      <c r="J1270" t="s">
        <v>28</v>
      </c>
    </row>
    <row r="1271" spans="1:10" outlineLevel="1">
      <c r="A1271" s="1279" t="s">
        <v>2282</v>
      </c>
      <c r="B1271" s="2789" t="s">
        <v>247</v>
      </c>
      <c r="C1271" s="4299" t="s">
        <v>248</v>
      </c>
      <c r="D1271" s="5809"/>
      <c r="E1271" s="7319" t="s">
        <v>32</v>
      </c>
      <c r="F1271" s="8829" t="s">
        <v>249</v>
      </c>
      <c r="G1271" s="10339" t="s">
        <v>27</v>
      </c>
      <c r="H1271" s="11849">
        <v>4</v>
      </c>
      <c r="I1271" s="13359"/>
      <c r="J1271" t="s">
        <v>28</v>
      </c>
    </row>
    <row r="1272" spans="1:10" ht="15.75" outlineLevel="1">
      <c r="A1272" s="1280" t="s">
        <v>2283</v>
      </c>
      <c r="B1272" s="2790" t="s">
        <v>251</v>
      </c>
      <c r="C1272" s="4300" t="s">
        <v>252</v>
      </c>
      <c r="D1272" s="5810" t="s">
        <v>253</v>
      </c>
      <c r="E1272" s="7320" t="s">
        <v>32</v>
      </c>
      <c r="F1272" s="8830" t="s">
        <v>254</v>
      </c>
      <c r="G1272" s="10340" t="s">
        <v>15</v>
      </c>
      <c r="H1272" s="11850">
        <v>1</v>
      </c>
      <c r="I1272" s="13360" t="s">
        <v>16</v>
      </c>
      <c r="J1272" s="13600" t="str">
        <f>HYPERLINK("\\192.168.170.18\drawings\2-Basic Components\0000-314 - Agitator\0000-314-504-A - Agitator Drive.pdf", "PDF")</f>
        <v>PDF</v>
      </c>
    </row>
    <row r="1273" spans="1:10" ht="15.75" outlineLevel="1">
      <c r="A1273" s="1281" t="s">
        <v>2284</v>
      </c>
      <c r="B1273" s="2791" t="s">
        <v>256</v>
      </c>
      <c r="C1273" s="4301" t="s">
        <v>257</v>
      </c>
      <c r="D1273" s="5811" t="s">
        <v>253</v>
      </c>
      <c r="E1273" s="7321" t="s">
        <v>25</v>
      </c>
      <c r="F1273" s="8831" t="s">
        <v>258</v>
      </c>
      <c r="G1273" s="10341" t="s">
        <v>15</v>
      </c>
      <c r="H1273" s="11851">
        <v>1</v>
      </c>
      <c r="I1273" s="13361" t="s">
        <v>16</v>
      </c>
      <c r="J1273" s="13600" t="str">
        <f>HYPERLINK("\\192.168.170.18\drawings\2-Basic Components\0000-314 - Agitator\0000-314-300-- - Agitator L=19152.pdf", "PDF")</f>
        <v>PDF</v>
      </c>
    </row>
    <row r="1274" spans="1:10" outlineLevel="1">
      <c r="A1274" s="1282" t="s">
        <v>2285</v>
      </c>
      <c r="B1274" s="2792" t="s">
        <v>260</v>
      </c>
      <c r="C1274" s="4302" t="s">
        <v>261</v>
      </c>
      <c r="D1274" s="5812"/>
      <c r="E1274" s="7322" t="s">
        <v>41</v>
      </c>
      <c r="F1274" s="8832" t="s">
        <v>262</v>
      </c>
      <c r="G1274" s="10342" t="s">
        <v>15</v>
      </c>
      <c r="H1274" s="11852">
        <v>1</v>
      </c>
      <c r="I1274" s="13362" t="s">
        <v>16</v>
      </c>
      <c r="J1274" t="s">
        <v>28</v>
      </c>
    </row>
    <row r="1275" spans="1:10" ht="15.75" outlineLevel="1">
      <c r="A1275" s="1283" t="s">
        <v>2286</v>
      </c>
      <c r="B1275" s="2793" t="s">
        <v>264</v>
      </c>
      <c r="C1275" s="4303" t="s">
        <v>265</v>
      </c>
      <c r="D1275" s="5813"/>
      <c r="E1275" s="7323" t="s">
        <v>32</v>
      </c>
      <c r="F1275" s="8833" t="s">
        <v>266</v>
      </c>
      <c r="G1275" s="10343" t="s">
        <v>15</v>
      </c>
      <c r="H1275" s="11853">
        <v>3</v>
      </c>
      <c r="I1275" s="13363" t="s">
        <v>16</v>
      </c>
      <c r="J1275" s="13600" t="str">
        <f>HYPERLINK("\\192.168.170.18\drawings\2-Basic Components\0000-301 - Tank Connection\0000-301-071-B - TC- Flange 15° DN50 PN10 L=170- BG.pdf", "PDF")</f>
        <v>PDF</v>
      </c>
    </row>
    <row r="1276" spans="1:10" outlineLevel="1">
      <c r="A1276" s="1284" t="s">
        <v>2287</v>
      </c>
      <c r="B1276" s="2794" t="s">
        <v>268</v>
      </c>
      <c r="C1276" s="4304" t="s">
        <v>269</v>
      </c>
      <c r="D1276" s="5814"/>
      <c r="E1276" s="7324" t="s">
        <v>41</v>
      </c>
      <c r="F1276" s="8834" t="s">
        <v>270</v>
      </c>
      <c r="G1276" s="10344" t="s">
        <v>15</v>
      </c>
      <c r="H1276" s="11854">
        <v>2</v>
      </c>
      <c r="I1276" s="13364" t="s">
        <v>16</v>
      </c>
      <c r="J1276" t="s">
        <v>28</v>
      </c>
    </row>
    <row r="1277" spans="1:10" outlineLevel="1">
      <c r="A1277" s="1285" t="s">
        <v>2288</v>
      </c>
      <c r="B1277" s="2795" t="s">
        <v>268</v>
      </c>
      <c r="C1277" s="4305" t="s">
        <v>272</v>
      </c>
      <c r="D1277" s="5815"/>
      <c r="E1277" s="7325" t="s">
        <v>41</v>
      </c>
      <c r="F1277" s="8835" t="s">
        <v>273</v>
      </c>
      <c r="G1277" s="10345" t="s">
        <v>15</v>
      </c>
      <c r="H1277" s="11855">
        <v>4</v>
      </c>
      <c r="I1277" s="13365" t="s">
        <v>16</v>
      </c>
      <c r="J1277" t="s">
        <v>28</v>
      </c>
    </row>
    <row r="1278" spans="1:10" outlineLevel="1">
      <c r="A1278" s="1286" t="s">
        <v>2289</v>
      </c>
      <c r="B1278" s="2796" t="s">
        <v>275</v>
      </c>
      <c r="C1278" s="4306" t="s">
        <v>276</v>
      </c>
      <c r="D1278" s="5816"/>
      <c r="E1278" s="7326" t="s">
        <v>41</v>
      </c>
      <c r="F1278" s="8836" t="s">
        <v>277</v>
      </c>
      <c r="G1278" s="10346" t="s">
        <v>15</v>
      </c>
      <c r="H1278" s="11856">
        <v>2</v>
      </c>
      <c r="I1278" s="13366" t="s">
        <v>16</v>
      </c>
      <c r="J1278" t="s">
        <v>28</v>
      </c>
    </row>
    <row r="1279" spans="1:10" outlineLevel="1">
      <c r="A1279" s="1287" t="s">
        <v>2290</v>
      </c>
      <c r="B1279" s="2797" t="s">
        <v>268</v>
      </c>
      <c r="C1279" s="4307" t="s">
        <v>279</v>
      </c>
      <c r="D1279" s="5817"/>
      <c r="E1279" s="7327" t="s">
        <v>41</v>
      </c>
      <c r="F1279" s="8837" t="s">
        <v>280</v>
      </c>
      <c r="G1279" s="10347" t="s">
        <v>15</v>
      </c>
      <c r="H1279" s="11857">
        <v>2</v>
      </c>
      <c r="I1279" s="13367" t="s">
        <v>16</v>
      </c>
      <c r="J1279" t="s">
        <v>28</v>
      </c>
    </row>
    <row r="1280" spans="1:10" ht="15.75" outlineLevel="1">
      <c r="A1280" s="1288" t="s">
        <v>2291</v>
      </c>
      <c r="B1280" s="2798" t="s">
        <v>282</v>
      </c>
      <c r="C1280" s="4308" t="s">
        <v>283</v>
      </c>
      <c r="D1280" s="5818"/>
      <c r="E1280" s="7328" t="s">
        <v>25</v>
      </c>
      <c r="F1280" s="8838" t="s">
        <v>284</v>
      </c>
      <c r="G1280" s="10348" t="s">
        <v>15</v>
      </c>
      <c r="H1280" s="11858">
        <v>1</v>
      </c>
      <c r="I1280" s="13368" t="s">
        <v>16</v>
      </c>
      <c r="J1280" s="13600" t="str">
        <f>HYPERLINK("\\192.168.170.18\drawings\2-Basic Components\0000-315 - Central Flange\0000-315-003-A - Trap DN500 - pressure = 35 mbar_vacuum = -3 mbar.pdf", "PDF")</f>
        <v>PDF</v>
      </c>
    </row>
    <row r="1281" spans="1:10" ht="15.75" outlineLevel="1">
      <c r="A1281" s="1289" t="s">
        <v>2292</v>
      </c>
      <c r="B1281" s="2799" t="s">
        <v>286</v>
      </c>
      <c r="C1281" s="4309" t="s">
        <v>287</v>
      </c>
      <c r="D1281" s="5819"/>
      <c r="E1281" s="7329" t="s">
        <v>32</v>
      </c>
      <c r="F1281" s="8839" t="s">
        <v>288</v>
      </c>
      <c r="G1281" s="10349" t="s">
        <v>15</v>
      </c>
      <c r="H1281" s="11859">
        <v>4</v>
      </c>
      <c r="I1281" s="13369" t="s">
        <v>16</v>
      </c>
      <c r="J1281" s="13600" t="str">
        <f>HYPERLINK("\\192.168.170.18\drawings\2-Basic Components\0000-301 - Tank Connection\0000-301-120-- - TC- Flange Elbow DN150 PN10 L=450 - BM.pdf", "PDF")</f>
        <v>PDF</v>
      </c>
    </row>
    <row r="1282" spans="1:10" ht="15.75" outlineLevel="1">
      <c r="A1282" s="1290" t="s">
        <v>2293</v>
      </c>
      <c r="B1282" s="2800" t="s">
        <v>290</v>
      </c>
      <c r="C1282" s="4310" t="s">
        <v>291</v>
      </c>
      <c r="D1282" s="5820"/>
      <c r="E1282" s="7330" t="s">
        <v>32</v>
      </c>
      <c r="F1282" s="8840" t="s">
        <v>292</v>
      </c>
      <c r="G1282" s="10350" t="s">
        <v>15</v>
      </c>
      <c r="H1282" s="11860">
        <v>1</v>
      </c>
      <c r="I1282" s="13370"/>
      <c r="J1282" s="13600" t="str">
        <f>HYPERLINK("\\192.168.170.18\drawings\2-Basic Components\0000-321 - Straight Connection\0000-321-106-- - Biomass - Straight Connection - DN100x6m.pdf", "PDF")</f>
        <v>PDF</v>
      </c>
    </row>
    <row r="1283" spans="1:10" ht="15.75" outlineLevel="1">
      <c r="A1283" s="1291" t="s">
        <v>2294</v>
      </c>
      <c r="B1283" s="2801" t="s">
        <v>294</v>
      </c>
      <c r="C1283" s="4311" t="s">
        <v>295</v>
      </c>
      <c r="D1283" s="5821"/>
      <c r="E1283" s="7331" t="s">
        <v>32</v>
      </c>
      <c r="F1283" s="8841" t="s">
        <v>296</v>
      </c>
      <c r="G1283" s="10351" t="s">
        <v>15</v>
      </c>
      <c r="H1283" s="11861">
        <v>4</v>
      </c>
      <c r="I1283" s="13371"/>
      <c r="J1283" s="13600" t="str">
        <f>HYPERLINK("\\192.168.170.18\drawings\2-Basic Components\0000-342 - Pipe Holders\0000-342-270-B - DN100 Pipeholder for bottom mounting.pdf", "PDF")</f>
        <v>PDF</v>
      </c>
    </row>
    <row r="1284" spans="1:10" ht="15.75" outlineLevel="1">
      <c r="A1284" s="1292" t="s">
        <v>2295</v>
      </c>
      <c r="B1284" s="2802" t="s">
        <v>298</v>
      </c>
      <c r="C1284" s="4312" t="s">
        <v>299</v>
      </c>
      <c r="D1284" s="5822"/>
      <c r="E1284" s="7332" t="s">
        <v>32</v>
      </c>
      <c r="F1284" s="8842" t="s">
        <v>300</v>
      </c>
      <c r="G1284" s="10352" t="s">
        <v>15</v>
      </c>
      <c r="H1284" s="11862">
        <v>2</v>
      </c>
      <c r="I1284" s="13372" t="s">
        <v>16</v>
      </c>
      <c r="J1284" s="13600" t="str">
        <f>HYPERLINK("\\192.168.170.18\drawings\2-Basic Components\0000-301 - Tank Connection\0000-301-119-- - TC- Flange DN150 PN10 L=330 - BM.pdf", "PDF")</f>
        <v>PDF</v>
      </c>
    </row>
    <row r="1285" spans="1:10" ht="15.75" outlineLevel="1">
      <c r="A1285" s="1293" t="s">
        <v>2296</v>
      </c>
      <c r="B1285" s="2803" t="s">
        <v>302</v>
      </c>
      <c r="C1285" s="4313" t="s">
        <v>303</v>
      </c>
      <c r="D1285" s="5823" t="s">
        <v>304</v>
      </c>
      <c r="E1285" s="7333" t="s">
        <v>32</v>
      </c>
      <c r="F1285" s="8843" t="s">
        <v>305</v>
      </c>
      <c r="G1285" s="10353" t="s">
        <v>15</v>
      </c>
      <c r="H1285" s="11863">
        <v>1</v>
      </c>
      <c r="I1285" s="13373" t="s">
        <v>16</v>
      </c>
      <c r="J1285" s="13600" t="str">
        <f>HYPERLINK("\\192.168.170.18\drawings\2-Basic Components\0000-321 - Straight Connection\0000-321-103-A - Outlet pipe DN100 - Biomass.pdf", "PDF")</f>
        <v>PDF</v>
      </c>
    </row>
    <row r="1286" spans="1:10" ht="15.75" outlineLevel="1">
      <c r="A1286" s="1294" t="s">
        <v>2297</v>
      </c>
      <c r="B1286" s="2804" t="s">
        <v>307</v>
      </c>
      <c r="C1286" s="4314" t="s">
        <v>308</v>
      </c>
      <c r="D1286" s="5824"/>
      <c r="E1286" s="7334" t="s">
        <v>32</v>
      </c>
      <c r="F1286" s="8844" t="s">
        <v>309</v>
      </c>
      <c r="G1286" s="10354" t="s">
        <v>15</v>
      </c>
      <c r="H1286" s="11864">
        <v>2</v>
      </c>
      <c r="I1286" s="13374" t="s">
        <v>16</v>
      </c>
      <c r="J1286" s="13600" t="str">
        <f>HYPERLINK("\\192.168.170.18\drawings\2-Basic Components\0000-301 - Tank Connection\0000-301-122-- - TC- Flange DN150 PN10 L=330 - BM.pdf", "PDF")</f>
        <v>PDF</v>
      </c>
    </row>
    <row r="1287" spans="1:10" outlineLevel="1">
      <c r="A1287" s="1295" t="s">
        <v>2298</v>
      </c>
      <c r="B1287" s="2805" t="s">
        <v>247</v>
      </c>
      <c r="C1287" s="4315" t="s">
        <v>311</v>
      </c>
      <c r="D1287" s="5825"/>
      <c r="E1287" s="7335" t="s">
        <v>25</v>
      </c>
      <c r="F1287" s="8845" t="s">
        <v>312</v>
      </c>
      <c r="G1287" s="10355" t="s">
        <v>27</v>
      </c>
      <c r="H1287" s="11865">
        <v>1</v>
      </c>
      <c r="I1287" s="13375"/>
      <c r="J1287" t="s">
        <v>28</v>
      </c>
    </row>
    <row r="1288" spans="1:10" ht="15.75" outlineLevel="1">
      <c r="A1288" s="1296" t="s">
        <v>2299</v>
      </c>
      <c r="B1288" s="2806" t="s">
        <v>314</v>
      </c>
      <c r="C1288" s="4316" t="s">
        <v>315</v>
      </c>
      <c r="D1288" s="5826"/>
      <c r="E1288" s="7336" t="s">
        <v>32</v>
      </c>
      <c r="F1288" s="8846" t="s">
        <v>316</v>
      </c>
      <c r="G1288" s="10356" t="s">
        <v>15</v>
      </c>
      <c r="H1288" s="11866">
        <v>1</v>
      </c>
      <c r="I1288" s="13376" t="s">
        <v>16</v>
      </c>
      <c r="J1288" s="13600" t="str">
        <f>HYPERLINK("\\192.168.170.18\drawings\2-Basic Components\0000-321 - Straight Connection\0000-321-109-- - Biomass - Straight Connection - DN100x6m.pdf", "PDF")</f>
        <v>PDF</v>
      </c>
    </row>
    <row r="1289" spans="1:10" ht="15.75" outlineLevel="1">
      <c r="A1289" s="1297" t="s">
        <v>2300</v>
      </c>
      <c r="B1289" s="2807" t="s">
        <v>318</v>
      </c>
      <c r="C1289" s="4317" t="s">
        <v>319</v>
      </c>
      <c r="D1289" s="5827"/>
      <c r="E1289" s="7337" t="s">
        <v>32</v>
      </c>
      <c r="F1289" s="8847" t="s">
        <v>320</v>
      </c>
      <c r="G1289" s="10357" t="s">
        <v>15</v>
      </c>
      <c r="H1289" s="11867">
        <v>4</v>
      </c>
      <c r="I1289" s="13377" t="s">
        <v>16</v>
      </c>
      <c r="J1289" s="13600" t="str">
        <f>HYPERLINK("\\192.168.170.18\drawings\2-Basic Components\0000-342 - Pipe Holders\0000-342-274-- - DN125 Pipeholder for bottom mounting.pdf", "PDF")</f>
        <v>PDF</v>
      </c>
    </row>
    <row r="1290" spans="1:10" ht="15.75" outlineLevel="1">
      <c r="A1290" s="1298" t="s">
        <v>2301</v>
      </c>
      <c r="B1290" s="2808" t="s">
        <v>322</v>
      </c>
      <c r="C1290" s="4318" t="s">
        <v>323</v>
      </c>
      <c r="D1290" s="5828"/>
      <c r="E1290" s="7338" t="s">
        <v>32</v>
      </c>
      <c r="F1290" s="8848" t="s">
        <v>324</v>
      </c>
      <c r="G1290" s="10358" t="s">
        <v>15</v>
      </c>
      <c r="H1290" s="11868">
        <v>3</v>
      </c>
      <c r="I1290" s="13378" t="s">
        <v>16</v>
      </c>
      <c r="J1290" s="13600" t="str">
        <f>HYPERLINK("\\192.168.170.18\drawings\2-Basic Components\0000-301 - Tank Connection\0000-301-123-- - TC- Flange Elbow DN200 PN10 L=450 - BM.pdf", "PDF")</f>
        <v>PDF</v>
      </c>
    </row>
    <row r="1291" spans="1:10" ht="15.75" outlineLevel="1">
      <c r="A1291" s="1299" t="s">
        <v>2302</v>
      </c>
      <c r="B1291" s="2809" t="s">
        <v>326</v>
      </c>
      <c r="C1291" s="4319" t="s">
        <v>327</v>
      </c>
      <c r="D1291" s="5829"/>
      <c r="E1291" s="7339" t="s">
        <v>32</v>
      </c>
      <c r="F1291" s="8849" t="s">
        <v>328</v>
      </c>
      <c r="G1291" s="10359" t="s">
        <v>15</v>
      </c>
      <c r="H1291" s="11869">
        <v>6</v>
      </c>
      <c r="I1291" s="13379" t="s">
        <v>16</v>
      </c>
      <c r="J1291" s="13600" t="str">
        <f>HYPERLINK("\\192.168.170.18\drawings\2-Basic Components\0000-301 - Tank Connection\0000-301-124-- - TC- Flange DN200 PN10 L=330 - BM.pdf", "PDF")</f>
        <v>PDF</v>
      </c>
    </row>
    <row r="1292" spans="1:10" ht="15.75" outlineLevel="1">
      <c r="A1292" s="1300" t="s">
        <v>2303</v>
      </c>
      <c r="B1292" s="2810" t="s">
        <v>330</v>
      </c>
      <c r="C1292" s="4320" t="s">
        <v>331</v>
      </c>
      <c r="D1292" s="5830"/>
      <c r="E1292" s="7340" t="s">
        <v>32</v>
      </c>
      <c r="F1292" s="8850" t="s">
        <v>332</v>
      </c>
      <c r="G1292" s="10360" t="s">
        <v>15</v>
      </c>
      <c r="H1292" s="11870">
        <v>3</v>
      </c>
      <c r="I1292" s="13380" t="s">
        <v>16</v>
      </c>
      <c r="J1292" s="13600" t="str">
        <f>HYPERLINK("\\192.168.170.18\drawings\2-Basic Components\0000-321 - Straight Connection\0000-321-157-- - Biomass - Straigth Connection - DN200x6m.pdf", "PDF")</f>
        <v>PDF</v>
      </c>
    </row>
    <row r="1293" spans="1:10" outlineLevel="1">
      <c r="A1293" s="1301" t="s">
        <v>2304</v>
      </c>
      <c r="B1293" s="2811" t="s">
        <v>334</v>
      </c>
      <c r="C1293" s="4321" t="s">
        <v>335</v>
      </c>
      <c r="D1293" s="5831"/>
      <c r="E1293" s="7341" t="s">
        <v>32</v>
      </c>
      <c r="F1293" s="8851" t="s">
        <v>336</v>
      </c>
      <c r="G1293" s="10361" t="s">
        <v>15</v>
      </c>
      <c r="H1293" s="11871">
        <v>12</v>
      </c>
      <c r="I1293" s="13381" t="s">
        <v>16</v>
      </c>
      <c r="J1293" t="s">
        <v>28</v>
      </c>
    </row>
    <row r="1294" spans="1:10" outlineLevel="1">
      <c r="A1294" s="1302" t="s">
        <v>2305</v>
      </c>
      <c r="B1294" s="2812" t="s">
        <v>2306</v>
      </c>
      <c r="C1294" s="4322" t="s">
        <v>488</v>
      </c>
      <c r="D1294" s="5832" t="s">
        <v>340</v>
      </c>
      <c r="E1294" s="7342" t="s">
        <v>341</v>
      </c>
      <c r="F1294" s="8852" t="s">
        <v>2307</v>
      </c>
      <c r="G1294" s="10362" t="s">
        <v>15</v>
      </c>
      <c r="H1294" s="11872">
        <v>1</v>
      </c>
      <c r="I1294" s="13382" t="s">
        <v>16</v>
      </c>
      <c r="J1294" t="s">
        <v>28</v>
      </c>
    </row>
    <row r="1295" spans="1:10" ht="15.75" outlineLevel="1">
      <c r="A1295" s="1303" t="s">
        <v>2308</v>
      </c>
      <c r="B1295" s="2813" t="s">
        <v>344</v>
      </c>
      <c r="C1295" s="4323" t="s">
        <v>345</v>
      </c>
      <c r="D1295" s="5833" t="s">
        <v>346</v>
      </c>
      <c r="E1295" s="7343" t="s">
        <v>32</v>
      </c>
      <c r="F1295" s="8853" t="s">
        <v>347</v>
      </c>
      <c r="G1295" s="10363" t="s">
        <v>15</v>
      </c>
      <c r="H1295" s="11873">
        <v>1</v>
      </c>
      <c r="I1295" s="13383" t="s">
        <v>16</v>
      </c>
      <c r="J1295" s="13600" t="str">
        <f>HYPERLINK("\\192.168.170.18\drawings\2-Basic Components\0000-315 - Central Flange\0000-315-005-A - Central flange 5200 - DN250 assembly.pdf", "PDF")</f>
        <v>PDF</v>
      </c>
    </row>
    <row r="1296" spans="1:10" ht="15.75" outlineLevel="1">
      <c r="A1296" s="1304" t="s">
        <v>2309</v>
      </c>
      <c r="B1296" s="2814" t="s">
        <v>349</v>
      </c>
      <c r="C1296" s="4324" t="s">
        <v>350</v>
      </c>
      <c r="D1296" s="5834" t="s">
        <v>304</v>
      </c>
      <c r="E1296" s="7344" t="s">
        <v>32</v>
      </c>
      <c r="F1296" s="8854" t="s">
        <v>351</v>
      </c>
      <c r="G1296" s="10364" t="s">
        <v>15</v>
      </c>
      <c r="H1296" s="11874">
        <v>3</v>
      </c>
      <c r="I1296" s="13384" t="s">
        <v>16</v>
      </c>
      <c r="J1296" s="13600" t="str">
        <f>HYPERLINK("\\192.168.170.18\drawings\2-Basic Components\0000-321 - Straight Connection\0000-321-158-A - Outlet Pipe DN200 - Biomass.pdf", "PDF")</f>
        <v>PDF</v>
      </c>
    </row>
    <row r="1297" spans="1:10" ht="15.75" outlineLevel="1">
      <c r="A1297" s="1305" t="s">
        <v>2310</v>
      </c>
      <c r="B1297" s="2815" t="s">
        <v>353</v>
      </c>
      <c r="C1297" s="4325" t="s">
        <v>354</v>
      </c>
      <c r="D1297" s="5835" t="s">
        <v>304</v>
      </c>
      <c r="E1297" s="7345" t="s">
        <v>32</v>
      </c>
      <c r="F1297" s="8855" t="s">
        <v>355</v>
      </c>
      <c r="G1297" s="10365" t="s">
        <v>15</v>
      </c>
      <c r="H1297" s="11875">
        <v>1</v>
      </c>
      <c r="I1297" s="13385" t="s">
        <v>16</v>
      </c>
      <c r="J1297" s="13600" t="str">
        <f>HYPERLINK("\\192.168.170.18\drawings\2-Basic Components\0000-321 - Straight Connection\0000-321-108-A - Outlet pipe DN125 - Biomass.pdf", "PDF")</f>
        <v>PDF</v>
      </c>
    </row>
    <row r="1298" spans="1:10" outlineLevel="1">
      <c r="A1298" s="1306" t="s">
        <v>2311</v>
      </c>
      <c r="B1298" s="2816" t="s">
        <v>357</v>
      </c>
      <c r="C1298" s="4326" t="s">
        <v>358</v>
      </c>
      <c r="D1298" s="5836" t="s">
        <v>359</v>
      </c>
      <c r="E1298" s="7346" t="s">
        <v>32</v>
      </c>
      <c r="F1298" s="8856" t="s">
        <v>360</v>
      </c>
      <c r="G1298" s="10366" t="s">
        <v>15</v>
      </c>
      <c r="H1298" s="11876">
        <v>2</v>
      </c>
      <c r="I1298" s="13386" t="s">
        <v>16</v>
      </c>
      <c r="J1298" t="s">
        <v>28</v>
      </c>
    </row>
    <row r="1299" spans="1:10" outlineLevel="1">
      <c r="A1299" s="1307" t="s">
        <v>2312</v>
      </c>
      <c r="B1299" s="2817" t="s">
        <v>357</v>
      </c>
      <c r="C1299" s="4327" t="s">
        <v>362</v>
      </c>
      <c r="D1299" s="5837" t="s">
        <v>363</v>
      </c>
      <c r="E1299" s="7347" t="s">
        <v>128</v>
      </c>
      <c r="F1299" s="8857" t="s">
        <v>364</v>
      </c>
      <c r="G1299" s="10367" t="s">
        <v>15</v>
      </c>
      <c r="H1299" s="11877">
        <v>2</v>
      </c>
      <c r="I1299" s="13387" t="s">
        <v>16</v>
      </c>
      <c r="J1299" t="s">
        <v>28</v>
      </c>
    </row>
    <row r="1300" spans="1:10" outlineLevel="1">
      <c r="A1300" s="1308" t="s">
        <v>2313</v>
      </c>
      <c r="B1300" s="2818" t="s">
        <v>357</v>
      </c>
      <c r="C1300" s="4328" t="s">
        <v>366</v>
      </c>
      <c r="D1300" s="5838" t="s">
        <v>367</v>
      </c>
      <c r="E1300" s="7348" t="s">
        <v>32</v>
      </c>
      <c r="F1300" s="8858" t="s">
        <v>368</v>
      </c>
      <c r="G1300" s="10368" t="s">
        <v>15</v>
      </c>
      <c r="H1300" s="11878">
        <v>4</v>
      </c>
      <c r="I1300" s="13388" t="s">
        <v>16</v>
      </c>
      <c r="J1300" t="s">
        <v>28</v>
      </c>
    </row>
    <row r="1301" spans="1:10" outlineLevel="1">
      <c r="A1301" s="1309" t="s">
        <v>2314</v>
      </c>
      <c r="B1301" s="2819" t="s">
        <v>357</v>
      </c>
      <c r="C1301" s="4329" t="s">
        <v>370</v>
      </c>
      <c r="D1301" s="5839"/>
      <c r="E1301" s="7349" t="s">
        <v>32</v>
      </c>
      <c r="F1301" s="8859" t="s">
        <v>371</v>
      </c>
      <c r="G1301" s="10369" t="s">
        <v>15</v>
      </c>
      <c r="H1301" s="11879">
        <v>2</v>
      </c>
      <c r="I1301" s="13389" t="s">
        <v>16</v>
      </c>
      <c r="J1301" t="s">
        <v>28</v>
      </c>
    </row>
    <row r="1302" spans="1:10" outlineLevel="1">
      <c r="A1302" s="1310" t="s">
        <v>2315</v>
      </c>
      <c r="B1302" s="2820" t="s">
        <v>357</v>
      </c>
      <c r="C1302" s="4330" t="s">
        <v>373</v>
      </c>
      <c r="D1302" s="5840"/>
      <c r="E1302" s="7350" t="s">
        <v>32</v>
      </c>
      <c r="F1302" s="8860" t="s">
        <v>374</v>
      </c>
      <c r="G1302" s="10370" t="s">
        <v>15</v>
      </c>
      <c r="H1302" s="11880">
        <v>4</v>
      </c>
      <c r="I1302" s="13390" t="s">
        <v>16</v>
      </c>
      <c r="J1302" t="s">
        <v>28</v>
      </c>
    </row>
    <row r="1303" spans="1:10" outlineLevel="1">
      <c r="A1303" s="1311" t="s">
        <v>2316</v>
      </c>
      <c r="B1303" s="2821" t="s">
        <v>247</v>
      </c>
      <c r="C1303" s="4331" t="s">
        <v>311</v>
      </c>
      <c r="D1303" s="5841"/>
      <c r="E1303" s="7351" t="s">
        <v>83</v>
      </c>
      <c r="F1303" s="8861" t="s">
        <v>376</v>
      </c>
      <c r="G1303" s="10371" t="s">
        <v>27</v>
      </c>
      <c r="H1303" s="11881">
        <v>4</v>
      </c>
      <c r="I1303" s="13391"/>
      <c r="J1303" t="s">
        <v>28</v>
      </c>
    </row>
    <row r="1304" spans="1:10" outlineLevel="1">
      <c r="A1304" s="1312" t="s">
        <v>2317</v>
      </c>
      <c r="B1304" s="2822" t="s">
        <v>247</v>
      </c>
      <c r="C1304" s="4332" t="s">
        <v>378</v>
      </c>
      <c r="D1304" s="5842"/>
      <c r="E1304" s="7352" t="s">
        <v>32</v>
      </c>
      <c r="F1304" s="8862" t="s">
        <v>379</v>
      </c>
      <c r="G1304" s="10372" t="s">
        <v>27</v>
      </c>
      <c r="H1304" s="11882">
        <v>2</v>
      </c>
      <c r="I1304" s="13392"/>
      <c r="J1304" t="s">
        <v>28</v>
      </c>
    </row>
    <row r="1305" spans="1:10" outlineLevel="1">
      <c r="A1305" s="1313" t="s">
        <v>2318</v>
      </c>
      <c r="B1305" s="2823" t="s">
        <v>357</v>
      </c>
      <c r="C1305" s="4333" t="s">
        <v>381</v>
      </c>
      <c r="D1305" s="5843" t="s">
        <v>382</v>
      </c>
      <c r="E1305" s="7353" t="s">
        <v>32</v>
      </c>
      <c r="F1305" s="8863" t="s">
        <v>383</v>
      </c>
      <c r="G1305" s="10373" t="s">
        <v>15</v>
      </c>
      <c r="H1305" s="11883">
        <v>2</v>
      </c>
      <c r="I1305" s="13393" t="s">
        <v>16</v>
      </c>
      <c r="J1305" t="s">
        <v>28</v>
      </c>
    </row>
    <row r="1306" spans="1:10" outlineLevel="1">
      <c r="A1306" s="1314" t="s">
        <v>2319</v>
      </c>
      <c r="B1306" s="2824" t="s">
        <v>247</v>
      </c>
      <c r="C1306" s="4334" t="s">
        <v>385</v>
      </c>
      <c r="D1306" s="5844" t="s">
        <v>386</v>
      </c>
      <c r="E1306" s="7354" t="s">
        <v>25</v>
      </c>
      <c r="F1306" s="8864" t="s">
        <v>387</v>
      </c>
      <c r="G1306" s="10374" t="s">
        <v>27</v>
      </c>
      <c r="H1306" s="11884">
        <v>2</v>
      </c>
      <c r="I1306" s="13394" t="s">
        <v>16</v>
      </c>
      <c r="J1306" t="s">
        <v>28</v>
      </c>
    </row>
    <row r="1307" spans="1:10" outlineLevel="1">
      <c r="A1307" s="1315" t="s">
        <v>2320</v>
      </c>
      <c r="B1307" s="2825" t="s">
        <v>247</v>
      </c>
      <c r="C1307" s="4335" t="s">
        <v>389</v>
      </c>
      <c r="D1307" s="5845"/>
      <c r="E1307" s="7355" t="s">
        <v>83</v>
      </c>
      <c r="F1307" s="8865" t="s">
        <v>390</v>
      </c>
      <c r="G1307" s="10375" t="s">
        <v>27</v>
      </c>
      <c r="H1307" s="11885">
        <v>6</v>
      </c>
      <c r="I1307" s="13395"/>
      <c r="J1307" t="s">
        <v>28</v>
      </c>
    </row>
    <row r="1308" spans="1:10" outlineLevel="1">
      <c r="A1308" s="1316" t="s">
        <v>2321</v>
      </c>
      <c r="B1308" s="2826" t="s">
        <v>243</v>
      </c>
      <c r="C1308" s="4336" t="s">
        <v>392</v>
      </c>
      <c r="D1308" s="5846"/>
      <c r="E1308" s="7356" t="s">
        <v>32</v>
      </c>
      <c r="F1308" s="8866" t="s">
        <v>393</v>
      </c>
      <c r="G1308" s="10376" t="s">
        <v>15</v>
      </c>
      <c r="H1308" s="11886">
        <v>6</v>
      </c>
      <c r="I1308" s="13396" t="s">
        <v>16</v>
      </c>
      <c r="J1308" t="s">
        <v>28</v>
      </c>
    </row>
    <row r="1309" spans="1:10">
      <c r="A1309" s="1317" t="s">
        <v>2322</v>
      </c>
      <c r="B1309" s="2827" t="s">
        <v>2323</v>
      </c>
      <c r="C1309" s="4337" t="s">
        <v>152</v>
      </c>
      <c r="D1309" s="5847" t="s">
        <v>13</v>
      </c>
      <c r="E1309" s="7357" t="s">
        <v>153</v>
      </c>
      <c r="F1309" s="8867" t="s">
        <v>2324</v>
      </c>
      <c r="G1309" s="10377" t="s">
        <v>15</v>
      </c>
      <c r="H1309" s="11887">
        <v>1</v>
      </c>
      <c r="I1309" s="13397" t="s">
        <v>16</v>
      </c>
      <c r="J1309" t="s">
        <v>28</v>
      </c>
    </row>
    <row r="1310" spans="1:10" ht="15.75">
      <c r="A1310" s="1318" t="s">
        <v>2325</v>
      </c>
      <c r="B1310" s="2828" t="s">
        <v>2326</v>
      </c>
      <c r="C1310" s="4338" t="s">
        <v>157</v>
      </c>
      <c r="D1310" s="5848" t="s">
        <v>2327</v>
      </c>
      <c r="E1310" s="7358"/>
      <c r="F1310" s="8868" t="s">
        <v>2328</v>
      </c>
      <c r="G1310" s="10378" t="s">
        <v>15</v>
      </c>
      <c r="H1310" s="11888">
        <v>1</v>
      </c>
      <c r="I1310" s="13398" t="s">
        <v>16</v>
      </c>
      <c r="J1310" s="13600" t="str">
        <f>HYPERLINK("\\192.168.170.18\drawings\5-Projects\2500 - Aabenraa\Area 04 - Digester Area\Eqiupment\2500-615 Digester\2500-615-003-- - Digester - Assembly - 9500m³.pdf", "PDF")</f>
        <v>PDF</v>
      </c>
    </row>
    <row r="1311" spans="1:10" ht="15.75" outlineLevel="1">
      <c r="A1311" s="1319" t="s">
        <v>2329</v>
      </c>
      <c r="B1311" s="2829" t="s">
        <v>2330</v>
      </c>
      <c r="C1311" s="4339" t="s">
        <v>161</v>
      </c>
      <c r="D1311" s="5849" t="s">
        <v>2331</v>
      </c>
      <c r="E1311" s="7359"/>
      <c r="F1311" s="8869" t="s">
        <v>2332</v>
      </c>
      <c r="G1311" s="10379" t="s">
        <v>15</v>
      </c>
      <c r="H1311" s="11889">
        <v>1</v>
      </c>
      <c r="I1311" s="13399" t="s">
        <v>16</v>
      </c>
      <c r="J1311" s="13600" t="str">
        <f>HYPERLINK("\\192.168.170.18\drawings\5-Projects\2500 - Aabenraa\Area 04 - Digester Area\Eqiupment\2500-615 Digester\2500-615-903-- - Digester 9500m³.pdf", "PDF")</f>
        <v>PDF</v>
      </c>
    </row>
    <row r="1312" spans="1:10" outlineLevel="2">
      <c r="A1312" s="1320" t="s">
        <v>2333</v>
      </c>
      <c r="B1312" s="2830" t="s">
        <v>2334</v>
      </c>
      <c r="C1312" s="4340" t="s">
        <v>166</v>
      </c>
      <c r="D1312" s="5850"/>
      <c r="E1312" s="7360" t="s">
        <v>32</v>
      </c>
      <c r="F1312" s="8870" t="s">
        <v>2335</v>
      </c>
      <c r="G1312" s="10380" t="s">
        <v>15</v>
      </c>
      <c r="H1312" s="11890">
        <v>1</v>
      </c>
      <c r="I1312" s="13400" t="s">
        <v>16</v>
      </c>
      <c r="J1312" t="s">
        <v>28</v>
      </c>
    </row>
    <row r="1313" spans="1:10" outlineLevel="2">
      <c r="A1313" s="1321" t="s">
        <v>2336</v>
      </c>
      <c r="B1313" s="2831" t="s">
        <v>2337</v>
      </c>
      <c r="C1313" s="4341" t="s">
        <v>170</v>
      </c>
      <c r="D1313" s="5851"/>
      <c r="E1313" s="7361" t="s">
        <v>32</v>
      </c>
      <c r="F1313" s="8871" t="s">
        <v>2338</v>
      </c>
      <c r="G1313" s="10381" t="s">
        <v>15</v>
      </c>
      <c r="H1313" s="11891">
        <v>1</v>
      </c>
      <c r="I1313" s="13401" t="s">
        <v>16</v>
      </c>
      <c r="J1313" t="s">
        <v>28</v>
      </c>
    </row>
    <row r="1314" spans="1:10" outlineLevel="2">
      <c r="A1314" s="1322" t="s">
        <v>2339</v>
      </c>
      <c r="B1314" s="2832" t="s">
        <v>2340</v>
      </c>
      <c r="C1314" s="4342" t="s">
        <v>174</v>
      </c>
      <c r="D1314" s="5852"/>
      <c r="E1314" s="7362" t="s">
        <v>41</v>
      </c>
      <c r="F1314" s="8872" t="s">
        <v>2341</v>
      </c>
      <c r="G1314" s="10382" t="s">
        <v>15</v>
      </c>
      <c r="H1314" s="11892">
        <v>1</v>
      </c>
      <c r="I1314" s="13402" t="s">
        <v>16</v>
      </c>
      <c r="J1314" t="s">
        <v>28</v>
      </c>
    </row>
    <row r="1315" spans="1:10" outlineLevel="2">
      <c r="A1315" s="1323" t="s">
        <v>2342</v>
      </c>
      <c r="B1315" s="2833" t="s">
        <v>2343</v>
      </c>
      <c r="C1315" s="4343" t="s">
        <v>178</v>
      </c>
      <c r="D1315" s="5853"/>
      <c r="E1315" s="7363" t="s">
        <v>32</v>
      </c>
      <c r="F1315" s="8873" t="s">
        <v>2344</v>
      </c>
      <c r="G1315" s="10383" t="s">
        <v>15</v>
      </c>
      <c r="H1315" s="11893">
        <v>1</v>
      </c>
      <c r="I1315" s="13403" t="s">
        <v>16</v>
      </c>
      <c r="J1315" t="s">
        <v>28</v>
      </c>
    </row>
    <row r="1316" spans="1:10" outlineLevel="2">
      <c r="A1316" s="1324" t="s">
        <v>2345</v>
      </c>
      <c r="B1316" s="2834" t="s">
        <v>2346</v>
      </c>
      <c r="C1316" s="4344"/>
      <c r="D1316" s="5854"/>
      <c r="E1316" s="7364" t="s">
        <v>182</v>
      </c>
      <c r="F1316" s="8874" t="s">
        <v>2347</v>
      </c>
      <c r="G1316" s="10384" t="s">
        <v>15</v>
      </c>
      <c r="H1316" s="11894">
        <v>1</v>
      </c>
      <c r="I1316" s="13404" t="s">
        <v>16</v>
      </c>
      <c r="J1316" t="s">
        <v>28</v>
      </c>
    </row>
    <row r="1317" spans="1:10" outlineLevel="2">
      <c r="A1317" s="1325" t="s">
        <v>2348</v>
      </c>
      <c r="B1317" s="2835" t="s">
        <v>2349</v>
      </c>
      <c r="C1317" s="4345" t="s">
        <v>186</v>
      </c>
      <c r="D1317" s="5855"/>
      <c r="E1317" s="7365" t="s">
        <v>32</v>
      </c>
      <c r="F1317" s="8875" t="s">
        <v>2350</v>
      </c>
      <c r="G1317" s="10385" t="s">
        <v>15</v>
      </c>
      <c r="H1317" s="11895">
        <v>1</v>
      </c>
      <c r="I1317" s="13405" t="s">
        <v>16</v>
      </c>
      <c r="J1317" t="s">
        <v>28</v>
      </c>
    </row>
    <row r="1318" spans="1:10" outlineLevel="1">
      <c r="A1318" s="1326" t="s">
        <v>2351</v>
      </c>
      <c r="B1318" s="2836" t="s">
        <v>81</v>
      </c>
      <c r="C1318" s="4346" t="s">
        <v>82</v>
      </c>
      <c r="D1318" s="5856"/>
      <c r="E1318" s="7366" t="s">
        <v>83</v>
      </c>
      <c r="F1318" s="8876" t="s">
        <v>84</v>
      </c>
      <c r="G1318" s="10386" t="s">
        <v>27</v>
      </c>
      <c r="H1318" s="11896">
        <v>2</v>
      </c>
      <c r="I1318" s="13406"/>
      <c r="J1318" t="s">
        <v>28</v>
      </c>
    </row>
    <row r="1319" spans="1:10" outlineLevel="1">
      <c r="A1319" s="1327" t="s">
        <v>2352</v>
      </c>
      <c r="B1319" s="2837" t="s">
        <v>190</v>
      </c>
      <c r="C1319" s="4347" t="s">
        <v>191</v>
      </c>
      <c r="D1319" s="5857"/>
      <c r="E1319" s="7367" t="s">
        <v>16</v>
      </c>
      <c r="F1319" s="8877" t="s">
        <v>192</v>
      </c>
      <c r="G1319" s="10387" t="s">
        <v>27</v>
      </c>
      <c r="H1319" s="11897">
        <v>1</v>
      </c>
      <c r="I1319" s="13407"/>
      <c r="J1319" t="s">
        <v>28</v>
      </c>
    </row>
    <row r="1320" spans="1:10" outlineLevel="1">
      <c r="A1320" s="1328" t="s">
        <v>2353</v>
      </c>
      <c r="B1320" s="2838" t="s">
        <v>194</v>
      </c>
      <c r="C1320" s="4348" t="s">
        <v>195</v>
      </c>
      <c r="D1320" s="5858"/>
      <c r="E1320" s="7368" t="s">
        <v>16</v>
      </c>
      <c r="F1320" s="8878" t="s">
        <v>196</v>
      </c>
      <c r="G1320" s="10388" t="s">
        <v>27</v>
      </c>
      <c r="H1320" s="11898">
        <v>2</v>
      </c>
      <c r="I1320" s="13408"/>
      <c r="J1320" t="s">
        <v>28</v>
      </c>
    </row>
    <row r="1321" spans="1:10" outlineLevel="1">
      <c r="A1321" s="1329" t="s">
        <v>2354</v>
      </c>
      <c r="B1321" s="2839" t="s">
        <v>81</v>
      </c>
      <c r="C1321" s="4349" t="s">
        <v>198</v>
      </c>
      <c r="D1321" s="5859"/>
      <c r="E1321" s="7369" t="s">
        <v>32</v>
      </c>
      <c r="F1321" s="8879" t="s">
        <v>199</v>
      </c>
      <c r="G1321" s="10389" t="s">
        <v>15</v>
      </c>
      <c r="H1321" s="11899">
        <v>2</v>
      </c>
      <c r="I1321" s="13409"/>
      <c r="J1321" t="s">
        <v>28</v>
      </c>
    </row>
    <row r="1322" spans="1:10" outlineLevel="1">
      <c r="A1322" s="1330" t="s">
        <v>2355</v>
      </c>
      <c r="B1322" s="2840" t="s">
        <v>201</v>
      </c>
      <c r="C1322" s="4350" t="s">
        <v>202</v>
      </c>
      <c r="D1322" s="5860"/>
      <c r="E1322" s="7370" t="s">
        <v>203</v>
      </c>
      <c r="F1322" s="8880" t="s">
        <v>204</v>
      </c>
      <c r="G1322" s="10390" t="s">
        <v>27</v>
      </c>
      <c r="H1322" s="11900">
        <v>3</v>
      </c>
      <c r="I1322" s="13410" t="s">
        <v>16</v>
      </c>
      <c r="J1322" t="s">
        <v>28</v>
      </c>
    </row>
    <row r="1323" spans="1:10" outlineLevel="1">
      <c r="A1323" s="1331" t="s">
        <v>2356</v>
      </c>
      <c r="B1323" s="2841" t="s">
        <v>206</v>
      </c>
      <c r="C1323" s="4351" t="s">
        <v>207</v>
      </c>
      <c r="D1323" s="5861"/>
      <c r="E1323" s="7371" t="s">
        <v>208</v>
      </c>
      <c r="F1323" s="8881" t="s">
        <v>209</v>
      </c>
      <c r="G1323" s="10391" t="s">
        <v>27</v>
      </c>
      <c r="H1323" s="11901">
        <v>2</v>
      </c>
      <c r="I1323" s="13411" t="s">
        <v>16</v>
      </c>
      <c r="J1323" t="s">
        <v>28</v>
      </c>
    </row>
    <row r="1324" spans="1:10" outlineLevel="1">
      <c r="A1324" s="1332" t="s">
        <v>2357</v>
      </c>
      <c r="B1324" s="2842" t="s">
        <v>247</v>
      </c>
      <c r="C1324" s="4352" t="s">
        <v>444</v>
      </c>
      <c r="D1324" s="5862" t="s">
        <v>445</v>
      </c>
      <c r="E1324" s="7372" t="s">
        <v>25</v>
      </c>
      <c r="F1324" s="8882" t="s">
        <v>446</v>
      </c>
      <c r="G1324" s="10392" t="s">
        <v>27</v>
      </c>
      <c r="H1324" s="11902">
        <v>3</v>
      </c>
      <c r="I1324" s="13412" t="s">
        <v>16</v>
      </c>
      <c r="J1324" t="s">
        <v>28</v>
      </c>
    </row>
    <row r="1325" spans="1:10" ht="15.75" outlineLevel="1">
      <c r="A1325" s="1333" t="s">
        <v>2358</v>
      </c>
      <c r="B1325" s="2843" t="s">
        <v>211</v>
      </c>
      <c r="C1325" s="4353" t="s">
        <v>212</v>
      </c>
      <c r="D1325" s="5863"/>
      <c r="E1325" s="7373" t="s">
        <v>32</v>
      </c>
      <c r="F1325" s="8883" t="s">
        <v>213</v>
      </c>
      <c r="G1325" s="10393" t="s">
        <v>15</v>
      </c>
      <c r="H1325" s="11903">
        <v>2</v>
      </c>
      <c r="I1325" s="13413" t="s">
        <v>16</v>
      </c>
      <c r="J1325" s="13600" t="str">
        <f>HYPERLINK("\\192.168.170.18\drawings\2-Basic Components\0000-301 - Tank Connection\0000-301-038-A - TC- Flange DN40 - 1½'' L=200- BM.pdf", "PDF")</f>
        <v>PDF</v>
      </c>
    </row>
    <row r="1326" spans="1:10" ht="15.75" outlineLevel="1">
      <c r="A1326" s="1334" t="s">
        <v>2359</v>
      </c>
      <c r="B1326" s="2844" t="s">
        <v>215</v>
      </c>
      <c r="C1326" s="4354" t="s">
        <v>216</v>
      </c>
      <c r="D1326" s="5864"/>
      <c r="E1326" s="7374" t="s">
        <v>32</v>
      </c>
      <c r="F1326" s="8884" t="s">
        <v>217</v>
      </c>
      <c r="G1326" s="10394" t="s">
        <v>15</v>
      </c>
      <c r="H1326" s="11904">
        <v>3</v>
      </c>
      <c r="I1326" s="13414" t="s">
        <v>16</v>
      </c>
      <c r="J1326" s="13600" t="str">
        <f>HYPERLINK("\\192.168.170.18\drawings\2-Basic Components\0000-301 - Tank Connection\0000-301-037-- - TC- Socket DN15-½'' L=168- BM.pdf", "PDF")</f>
        <v>PDF</v>
      </c>
    </row>
    <row r="1327" spans="1:10" ht="15.75" outlineLevel="1">
      <c r="A1327" s="1335" t="s">
        <v>2360</v>
      </c>
      <c r="B1327" s="2845" t="s">
        <v>219</v>
      </c>
      <c r="C1327" s="4355" t="s">
        <v>220</v>
      </c>
      <c r="D1327" s="5865"/>
      <c r="E1327" s="7375" t="s">
        <v>32</v>
      </c>
      <c r="F1327" s="8885" t="s">
        <v>221</v>
      </c>
      <c r="G1327" s="10395" t="s">
        <v>15</v>
      </c>
      <c r="H1327" s="11905">
        <v>3</v>
      </c>
      <c r="I1327" s="13415" t="s">
        <v>16</v>
      </c>
      <c r="J1327" s="13600" t="str">
        <f>HYPERLINK("\\192.168.170.18\drawings\2-Basic Components\0000-301 - Tank Connection\0000-301-001-A - TC - Nipple DN15 - ½'' L=40- BG.pdf", "PDF")</f>
        <v>PDF</v>
      </c>
    </row>
    <row r="1328" spans="1:10" ht="15.75" outlineLevel="1">
      <c r="A1328" s="1336" t="s">
        <v>2361</v>
      </c>
      <c r="B1328" s="2846" t="s">
        <v>223</v>
      </c>
      <c r="C1328" s="4356" t="s">
        <v>224</v>
      </c>
      <c r="D1328" s="5866"/>
      <c r="E1328" s="7376" t="s">
        <v>32</v>
      </c>
      <c r="F1328" s="8886" t="s">
        <v>225</v>
      </c>
      <c r="G1328" s="10396" t="s">
        <v>15</v>
      </c>
      <c r="H1328" s="11906">
        <v>17</v>
      </c>
      <c r="I1328" s="13416" t="s">
        <v>16</v>
      </c>
      <c r="J1328" s="13600" t="str">
        <f>HYPERLINK("\\192.168.170.18\drawings\2-Basic Components\0000-342 - Pipe Holders\0000-342-022-- - Pipe holder foot L=400.pdf", "PDF")</f>
        <v>PDF</v>
      </c>
    </row>
    <row r="1329" spans="1:10" outlineLevel="1">
      <c r="A1329" s="1337" t="s">
        <v>2362</v>
      </c>
      <c r="B1329" s="2847" t="s">
        <v>227</v>
      </c>
      <c r="C1329" s="4357" t="s">
        <v>228</v>
      </c>
      <c r="D1329" s="5867"/>
      <c r="E1329" s="7377" t="s">
        <v>32</v>
      </c>
      <c r="F1329" s="8887" t="s">
        <v>229</v>
      </c>
      <c r="G1329" s="10397" t="s">
        <v>15</v>
      </c>
      <c r="H1329" s="11907">
        <v>1</v>
      </c>
      <c r="I1329" s="13417" t="s">
        <v>16</v>
      </c>
      <c r="J1329" t="s">
        <v>28</v>
      </c>
    </row>
    <row r="1330" spans="1:10" outlineLevel="1">
      <c r="A1330" s="1338" t="s">
        <v>2363</v>
      </c>
      <c r="B1330" s="2848" t="s">
        <v>227</v>
      </c>
      <c r="C1330" s="4358" t="s">
        <v>231</v>
      </c>
      <c r="D1330" s="5868"/>
      <c r="E1330" s="7378" t="s">
        <v>32</v>
      </c>
      <c r="F1330" s="8888" t="s">
        <v>232</v>
      </c>
      <c r="G1330" s="10398" t="s">
        <v>15</v>
      </c>
      <c r="H1330" s="11908">
        <v>1</v>
      </c>
      <c r="I1330" s="13418" t="s">
        <v>16</v>
      </c>
      <c r="J1330" t="s">
        <v>28</v>
      </c>
    </row>
    <row r="1331" spans="1:10" ht="15.75" outlineLevel="1">
      <c r="A1331" s="1339" t="s">
        <v>2364</v>
      </c>
      <c r="B1331" s="2849" t="s">
        <v>234</v>
      </c>
      <c r="C1331" s="4359" t="s">
        <v>235</v>
      </c>
      <c r="D1331" s="5869" t="s">
        <v>236</v>
      </c>
      <c r="E1331" s="7379" t="s">
        <v>32</v>
      </c>
      <c r="F1331" s="8889" t="s">
        <v>237</v>
      </c>
      <c r="G1331" s="10399" t="s">
        <v>15</v>
      </c>
      <c r="H1331" s="11909">
        <v>2</v>
      </c>
      <c r="I1331" s="13419" t="s">
        <v>16</v>
      </c>
      <c r="J1331" s="13600" t="str">
        <f>HYPERLINK("\\192.168.170.18\drawings\2-Basic Components\0000-310 - Sightglass\0000-310-005-A - Sightglass w.Wiper - DN200 PN0 - Welded.pdf", "PDF")</f>
        <v>PDF</v>
      </c>
    </row>
    <row r="1332" spans="1:10" ht="15.75" outlineLevel="1">
      <c r="A1332" s="1340" t="s">
        <v>2365</v>
      </c>
      <c r="B1332" s="2850" t="s">
        <v>239</v>
      </c>
      <c r="C1332" s="4360" t="s">
        <v>240</v>
      </c>
      <c r="D1332" s="5870"/>
      <c r="E1332" s="7380" t="s">
        <v>32</v>
      </c>
      <c r="F1332" s="8890" t="s">
        <v>241</v>
      </c>
      <c r="G1332" s="10400" t="s">
        <v>15</v>
      </c>
      <c r="H1332" s="11910">
        <v>52</v>
      </c>
      <c r="I1332" s="13420" t="s">
        <v>16</v>
      </c>
      <c r="J1332" s="13600" t="str">
        <f>HYPERLINK("\\192.168.170.18\drawings\2-Basic Components\0000-342 - Pipe Holders\0000-342-034-- - Pipe holder foot L=300.pdf", "PDF")</f>
        <v>PDF</v>
      </c>
    </row>
    <row r="1333" spans="1:10" ht="15.75" outlineLevel="1">
      <c r="A1333" s="1341" t="s">
        <v>2366</v>
      </c>
      <c r="B1333" s="2851" t="s">
        <v>251</v>
      </c>
      <c r="C1333" s="4361" t="s">
        <v>252</v>
      </c>
      <c r="D1333" s="5871" t="s">
        <v>253</v>
      </c>
      <c r="E1333" s="7381" t="s">
        <v>32</v>
      </c>
      <c r="F1333" s="8891" t="s">
        <v>254</v>
      </c>
      <c r="G1333" s="10401" t="s">
        <v>15</v>
      </c>
      <c r="H1333" s="11911">
        <v>1</v>
      </c>
      <c r="I1333" s="13421" t="s">
        <v>16</v>
      </c>
      <c r="J1333" s="13600" t="str">
        <f>HYPERLINK("\\192.168.170.18\drawings\2-Basic Components\0000-314 - Agitator\0000-314-504-A - Agitator Drive.pdf", "PDF")</f>
        <v>PDF</v>
      </c>
    </row>
    <row r="1334" spans="1:10" ht="15.75" outlineLevel="1">
      <c r="A1334" s="1342" t="s">
        <v>2367</v>
      </c>
      <c r="B1334" s="2852" t="s">
        <v>256</v>
      </c>
      <c r="C1334" s="4362" t="s">
        <v>257</v>
      </c>
      <c r="D1334" s="5872" t="s">
        <v>253</v>
      </c>
      <c r="E1334" s="7382" t="s">
        <v>25</v>
      </c>
      <c r="F1334" s="8892" t="s">
        <v>258</v>
      </c>
      <c r="G1334" s="10402" t="s">
        <v>15</v>
      </c>
      <c r="H1334" s="11912">
        <v>1</v>
      </c>
      <c r="I1334" s="13422" t="s">
        <v>16</v>
      </c>
      <c r="J1334" s="13600" t="str">
        <f>HYPERLINK("\\192.168.170.18\drawings\2-Basic Components\0000-314 - Agitator\0000-314-300-- - Agitator L=19152.pdf", "PDF")</f>
        <v>PDF</v>
      </c>
    </row>
    <row r="1335" spans="1:10" outlineLevel="1">
      <c r="A1335" s="1343" t="s">
        <v>2368</v>
      </c>
      <c r="B1335" s="2853" t="s">
        <v>260</v>
      </c>
      <c r="C1335" s="4363" t="s">
        <v>261</v>
      </c>
      <c r="D1335" s="5873"/>
      <c r="E1335" s="7383" t="s">
        <v>41</v>
      </c>
      <c r="F1335" s="8893" t="s">
        <v>262</v>
      </c>
      <c r="G1335" s="10403" t="s">
        <v>15</v>
      </c>
      <c r="H1335" s="11913">
        <v>1</v>
      </c>
      <c r="I1335" s="13423" t="s">
        <v>16</v>
      </c>
      <c r="J1335" t="s">
        <v>28</v>
      </c>
    </row>
    <row r="1336" spans="1:10" ht="15.75" outlineLevel="1">
      <c r="A1336" s="1344" t="s">
        <v>2369</v>
      </c>
      <c r="B1336" s="2854" t="s">
        <v>264</v>
      </c>
      <c r="C1336" s="4364" t="s">
        <v>265</v>
      </c>
      <c r="D1336" s="5874"/>
      <c r="E1336" s="7384" t="s">
        <v>32</v>
      </c>
      <c r="F1336" s="8894" t="s">
        <v>266</v>
      </c>
      <c r="G1336" s="10404" t="s">
        <v>15</v>
      </c>
      <c r="H1336" s="11914">
        <v>3</v>
      </c>
      <c r="I1336" s="13424" t="s">
        <v>16</v>
      </c>
      <c r="J1336" s="13600" t="str">
        <f>HYPERLINK("\\192.168.170.18\drawings\2-Basic Components\0000-301 - Tank Connection\0000-301-071-B - TC- Flange 15° DN50 PN10 L=170- BG.pdf", "PDF")</f>
        <v>PDF</v>
      </c>
    </row>
    <row r="1337" spans="1:10" outlineLevel="1">
      <c r="A1337" s="1345" t="s">
        <v>2370</v>
      </c>
      <c r="B1337" s="2855" t="s">
        <v>357</v>
      </c>
      <c r="C1337" s="4365" t="s">
        <v>358</v>
      </c>
      <c r="D1337" s="5875" t="s">
        <v>359</v>
      </c>
      <c r="E1337" s="7385" t="s">
        <v>32</v>
      </c>
      <c r="F1337" s="8895" t="s">
        <v>360</v>
      </c>
      <c r="G1337" s="10405" t="s">
        <v>15</v>
      </c>
      <c r="H1337" s="11915">
        <v>2</v>
      </c>
      <c r="I1337" s="13425" t="s">
        <v>16</v>
      </c>
      <c r="J1337" t="s">
        <v>28</v>
      </c>
    </row>
    <row r="1338" spans="1:10" outlineLevel="1">
      <c r="A1338" s="1346" t="s">
        <v>2371</v>
      </c>
      <c r="B1338" s="2856" t="s">
        <v>357</v>
      </c>
      <c r="C1338" s="4366" t="s">
        <v>362</v>
      </c>
      <c r="D1338" s="5876" t="s">
        <v>363</v>
      </c>
      <c r="E1338" s="7386" t="s">
        <v>128</v>
      </c>
      <c r="F1338" s="8896" t="s">
        <v>364</v>
      </c>
      <c r="G1338" s="10406" t="s">
        <v>15</v>
      </c>
      <c r="H1338" s="11916">
        <v>2</v>
      </c>
      <c r="I1338" s="13426" t="s">
        <v>16</v>
      </c>
      <c r="J1338" t="s">
        <v>28</v>
      </c>
    </row>
    <row r="1339" spans="1:10" outlineLevel="1">
      <c r="A1339" s="1347" t="s">
        <v>2372</v>
      </c>
      <c r="B1339" s="2857" t="s">
        <v>357</v>
      </c>
      <c r="C1339" s="4367" t="s">
        <v>366</v>
      </c>
      <c r="D1339" s="5877" t="s">
        <v>367</v>
      </c>
      <c r="E1339" s="7387" t="s">
        <v>32</v>
      </c>
      <c r="F1339" s="8897" t="s">
        <v>368</v>
      </c>
      <c r="G1339" s="10407" t="s">
        <v>15</v>
      </c>
      <c r="H1339" s="11917">
        <v>4</v>
      </c>
      <c r="I1339" s="13427" t="s">
        <v>16</v>
      </c>
      <c r="J1339" t="s">
        <v>28</v>
      </c>
    </row>
    <row r="1340" spans="1:10" outlineLevel="1">
      <c r="A1340" s="1348" t="s">
        <v>2373</v>
      </c>
      <c r="B1340" s="2858" t="s">
        <v>357</v>
      </c>
      <c r="C1340" s="4368" t="s">
        <v>370</v>
      </c>
      <c r="D1340" s="5878"/>
      <c r="E1340" s="7388" t="s">
        <v>32</v>
      </c>
      <c r="F1340" s="8898" t="s">
        <v>371</v>
      </c>
      <c r="G1340" s="10408" t="s">
        <v>15</v>
      </c>
      <c r="H1340" s="11918">
        <v>2</v>
      </c>
      <c r="I1340" s="13428" t="s">
        <v>16</v>
      </c>
      <c r="J1340" t="s">
        <v>28</v>
      </c>
    </row>
    <row r="1341" spans="1:10" outlineLevel="1">
      <c r="A1341" s="1349" t="s">
        <v>2374</v>
      </c>
      <c r="B1341" s="2859" t="s">
        <v>357</v>
      </c>
      <c r="C1341" s="4369" t="s">
        <v>373</v>
      </c>
      <c r="D1341" s="5879"/>
      <c r="E1341" s="7389" t="s">
        <v>32</v>
      </c>
      <c r="F1341" s="8899" t="s">
        <v>374</v>
      </c>
      <c r="G1341" s="10409" t="s">
        <v>15</v>
      </c>
      <c r="H1341" s="11919">
        <v>4</v>
      </c>
      <c r="I1341" s="13429" t="s">
        <v>16</v>
      </c>
      <c r="J1341" t="s">
        <v>28</v>
      </c>
    </row>
    <row r="1342" spans="1:10" outlineLevel="1">
      <c r="A1342" s="1350" t="s">
        <v>2375</v>
      </c>
      <c r="B1342" s="2860" t="s">
        <v>247</v>
      </c>
      <c r="C1342" s="4370" t="s">
        <v>311</v>
      </c>
      <c r="D1342" s="5880"/>
      <c r="E1342" s="7390" t="s">
        <v>83</v>
      </c>
      <c r="F1342" s="8900" t="s">
        <v>376</v>
      </c>
      <c r="G1342" s="10410" t="s">
        <v>27</v>
      </c>
      <c r="H1342" s="11920">
        <v>4</v>
      </c>
      <c r="I1342" s="13430"/>
      <c r="J1342" t="s">
        <v>28</v>
      </c>
    </row>
    <row r="1343" spans="1:10" outlineLevel="1">
      <c r="A1343" s="1351" t="s">
        <v>2376</v>
      </c>
      <c r="B1343" s="2861" t="s">
        <v>247</v>
      </c>
      <c r="C1343" s="4371" t="s">
        <v>248</v>
      </c>
      <c r="D1343" s="5881"/>
      <c r="E1343" s="7391" t="s">
        <v>32</v>
      </c>
      <c r="F1343" s="8901" t="s">
        <v>249</v>
      </c>
      <c r="G1343" s="10411" t="s">
        <v>27</v>
      </c>
      <c r="H1343" s="11921">
        <v>4</v>
      </c>
      <c r="I1343" s="13431"/>
      <c r="J1343" t="s">
        <v>28</v>
      </c>
    </row>
    <row r="1344" spans="1:10" outlineLevel="1">
      <c r="A1344" s="1352" t="s">
        <v>2377</v>
      </c>
      <c r="B1344" s="2862" t="s">
        <v>247</v>
      </c>
      <c r="C1344" s="4372" t="s">
        <v>378</v>
      </c>
      <c r="D1344" s="5882"/>
      <c r="E1344" s="7392" t="s">
        <v>32</v>
      </c>
      <c r="F1344" s="8902" t="s">
        <v>379</v>
      </c>
      <c r="G1344" s="10412" t="s">
        <v>27</v>
      </c>
      <c r="H1344" s="11922">
        <v>2</v>
      </c>
      <c r="I1344" s="13432"/>
      <c r="J1344" t="s">
        <v>28</v>
      </c>
    </row>
    <row r="1345" spans="1:10" outlineLevel="1">
      <c r="A1345" s="1353" t="s">
        <v>2378</v>
      </c>
      <c r="B1345" s="2863" t="s">
        <v>357</v>
      </c>
      <c r="C1345" s="4373" t="s">
        <v>381</v>
      </c>
      <c r="D1345" s="5883" t="s">
        <v>382</v>
      </c>
      <c r="E1345" s="7393" t="s">
        <v>32</v>
      </c>
      <c r="F1345" s="8903" t="s">
        <v>383</v>
      </c>
      <c r="G1345" s="10413" t="s">
        <v>15</v>
      </c>
      <c r="H1345" s="11923">
        <v>2</v>
      </c>
      <c r="I1345" s="13433" t="s">
        <v>16</v>
      </c>
      <c r="J1345" t="s">
        <v>28</v>
      </c>
    </row>
    <row r="1346" spans="1:10" outlineLevel="1">
      <c r="A1346" s="1354" t="s">
        <v>2379</v>
      </c>
      <c r="B1346" s="2864" t="s">
        <v>247</v>
      </c>
      <c r="C1346" s="4374" t="s">
        <v>385</v>
      </c>
      <c r="D1346" s="5884" t="s">
        <v>386</v>
      </c>
      <c r="E1346" s="7394" t="s">
        <v>25</v>
      </c>
      <c r="F1346" s="8904" t="s">
        <v>387</v>
      </c>
      <c r="G1346" s="10414" t="s">
        <v>27</v>
      </c>
      <c r="H1346" s="11924">
        <v>2</v>
      </c>
      <c r="I1346" s="13434" t="s">
        <v>16</v>
      </c>
      <c r="J1346" t="s">
        <v>28</v>
      </c>
    </row>
    <row r="1347" spans="1:10" outlineLevel="1">
      <c r="A1347" s="1355" t="s">
        <v>2380</v>
      </c>
      <c r="B1347" s="2865" t="s">
        <v>268</v>
      </c>
      <c r="C1347" s="4375" t="s">
        <v>269</v>
      </c>
      <c r="D1347" s="5885"/>
      <c r="E1347" s="7395" t="s">
        <v>41</v>
      </c>
      <c r="F1347" s="8905" t="s">
        <v>270</v>
      </c>
      <c r="G1347" s="10415" t="s">
        <v>15</v>
      </c>
      <c r="H1347" s="11925">
        <v>2</v>
      </c>
      <c r="I1347" s="13435" t="s">
        <v>16</v>
      </c>
      <c r="J1347" t="s">
        <v>28</v>
      </c>
    </row>
    <row r="1348" spans="1:10" outlineLevel="1">
      <c r="A1348" s="1356" t="s">
        <v>2381</v>
      </c>
      <c r="B1348" s="2866" t="s">
        <v>268</v>
      </c>
      <c r="C1348" s="4376" t="s">
        <v>272</v>
      </c>
      <c r="D1348" s="5886"/>
      <c r="E1348" s="7396" t="s">
        <v>41</v>
      </c>
      <c r="F1348" s="8906" t="s">
        <v>273</v>
      </c>
      <c r="G1348" s="10416" t="s">
        <v>15</v>
      </c>
      <c r="H1348" s="11926">
        <v>4</v>
      </c>
      <c r="I1348" s="13436" t="s">
        <v>16</v>
      </c>
      <c r="J1348" t="s">
        <v>28</v>
      </c>
    </row>
    <row r="1349" spans="1:10" outlineLevel="1">
      <c r="A1349" s="1357" t="s">
        <v>2382</v>
      </c>
      <c r="B1349" s="2867" t="s">
        <v>275</v>
      </c>
      <c r="C1349" s="4377" t="s">
        <v>276</v>
      </c>
      <c r="D1349" s="5887"/>
      <c r="E1349" s="7397" t="s">
        <v>41</v>
      </c>
      <c r="F1349" s="8907" t="s">
        <v>277</v>
      </c>
      <c r="G1349" s="10417" t="s">
        <v>15</v>
      </c>
      <c r="H1349" s="11927">
        <v>2</v>
      </c>
      <c r="I1349" s="13437" t="s">
        <v>16</v>
      </c>
      <c r="J1349" t="s">
        <v>28</v>
      </c>
    </row>
    <row r="1350" spans="1:10" outlineLevel="1">
      <c r="A1350" s="1358" t="s">
        <v>2383</v>
      </c>
      <c r="B1350" s="2868" t="s">
        <v>268</v>
      </c>
      <c r="C1350" s="4378" t="s">
        <v>279</v>
      </c>
      <c r="D1350" s="5888"/>
      <c r="E1350" s="7398" t="s">
        <v>41</v>
      </c>
      <c r="F1350" s="8908" t="s">
        <v>280</v>
      </c>
      <c r="G1350" s="10418" t="s">
        <v>15</v>
      </c>
      <c r="H1350" s="11928">
        <v>2</v>
      </c>
      <c r="I1350" s="13438" t="s">
        <v>16</v>
      </c>
      <c r="J1350" t="s">
        <v>28</v>
      </c>
    </row>
    <row r="1351" spans="1:10" ht="15.75" outlineLevel="1">
      <c r="A1351" s="1359" t="s">
        <v>2384</v>
      </c>
      <c r="B1351" s="2869" t="s">
        <v>282</v>
      </c>
      <c r="C1351" s="4379" t="s">
        <v>283</v>
      </c>
      <c r="D1351" s="5889"/>
      <c r="E1351" s="7399" t="s">
        <v>25</v>
      </c>
      <c r="F1351" s="8909" t="s">
        <v>284</v>
      </c>
      <c r="G1351" s="10419" t="s">
        <v>15</v>
      </c>
      <c r="H1351" s="11929">
        <v>1</v>
      </c>
      <c r="I1351" s="13439" t="s">
        <v>16</v>
      </c>
      <c r="J1351" s="13600" t="str">
        <f>HYPERLINK("\\192.168.170.18\drawings\2-Basic Components\0000-315 - Central Flange\0000-315-003-A - Trap DN500 - pressure = 35 mbar_vacuum = -3 mbar.pdf", "PDF")</f>
        <v>PDF</v>
      </c>
    </row>
    <row r="1352" spans="1:10" ht="15.75" outlineLevel="1">
      <c r="A1352" s="1360" t="s">
        <v>2385</v>
      </c>
      <c r="B1352" s="2870" t="s">
        <v>286</v>
      </c>
      <c r="C1352" s="4380" t="s">
        <v>287</v>
      </c>
      <c r="D1352" s="5890"/>
      <c r="E1352" s="7400" t="s">
        <v>32</v>
      </c>
      <c r="F1352" s="8910" t="s">
        <v>288</v>
      </c>
      <c r="G1352" s="10420" t="s">
        <v>15</v>
      </c>
      <c r="H1352" s="11930">
        <v>4</v>
      </c>
      <c r="I1352" s="13440" t="s">
        <v>16</v>
      </c>
      <c r="J1352" s="13600" t="str">
        <f>HYPERLINK("\\192.168.170.18\drawings\2-Basic Components\0000-301 - Tank Connection\0000-301-120-- - TC- Flange Elbow DN150 PN10 L=450 - BM.pdf", "PDF")</f>
        <v>PDF</v>
      </c>
    </row>
    <row r="1353" spans="1:10" ht="15.75" outlineLevel="1">
      <c r="A1353" s="1361" t="s">
        <v>2386</v>
      </c>
      <c r="B1353" s="2871" t="s">
        <v>290</v>
      </c>
      <c r="C1353" s="4381" t="s">
        <v>291</v>
      </c>
      <c r="D1353" s="5891"/>
      <c r="E1353" s="7401" t="s">
        <v>32</v>
      </c>
      <c r="F1353" s="8911" t="s">
        <v>292</v>
      </c>
      <c r="G1353" s="10421" t="s">
        <v>15</v>
      </c>
      <c r="H1353" s="11931">
        <v>1</v>
      </c>
      <c r="I1353" s="13441"/>
      <c r="J1353" s="13600" t="str">
        <f>HYPERLINK("\\192.168.170.18\drawings\2-Basic Components\0000-321 - Straight Connection\0000-321-106-- - Biomass - Straight Connection - DN100x6m.pdf", "PDF")</f>
        <v>PDF</v>
      </c>
    </row>
    <row r="1354" spans="1:10" ht="15.75" outlineLevel="1">
      <c r="A1354" s="1362" t="s">
        <v>2387</v>
      </c>
      <c r="B1354" s="2872" t="s">
        <v>294</v>
      </c>
      <c r="C1354" s="4382" t="s">
        <v>295</v>
      </c>
      <c r="D1354" s="5892"/>
      <c r="E1354" s="7402" t="s">
        <v>32</v>
      </c>
      <c r="F1354" s="8912" t="s">
        <v>296</v>
      </c>
      <c r="G1354" s="10422" t="s">
        <v>15</v>
      </c>
      <c r="H1354" s="11932">
        <v>4</v>
      </c>
      <c r="I1354" s="13442"/>
      <c r="J1354" s="13600" t="str">
        <f>HYPERLINK("\\192.168.170.18\drawings\2-Basic Components\0000-342 - Pipe Holders\0000-342-270-B - DN100 Pipeholder for bottom mounting.pdf", "PDF")</f>
        <v>PDF</v>
      </c>
    </row>
    <row r="1355" spans="1:10" ht="15.75" outlineLevel="1">
      <c r="A1355" s="1363" t="s">
        <v>2388</v>
      </c>
      <c r="B1355" s="2873" t="s">
        <v>298</v>
      </c>
      <c r="C1355" s="4383" t="s">
        <v>299</v>
      </c>
      <c r="D1355" s="5893"/>
      <c r="E1355" s="7403" t="s">
        <v>32</v>
      </c>
      <c r="F1355" s="8913" t="s">
        <v>300</v>
      </c>
      <c r="G1355" s="10423" t="s">
        <v>15</v>
      </c>
      <c r="H1355" s="11933">
        <v>2</v>
      </c>
      <c r="I1355" s="13443" t="s">
        <v>16</v>
      </c>
      <c r="J1355" s="13600" t="str">
        <f>HYPERLINK("\\192.168.170.18\drawings\2-Basic Components\0000-301 - Tank Connection\0000-301-119-- - TC- Flange DN150 PN10 L=330 - BM.pdf", "PDF")</f>
        <v>PDF</v>
      </c>
    </row>
    <row r="1356" spans="1:10" ht="15.75" outlineLevel="1">
      <c r="A1356" s="1364" t="s">
        <v>2389</v>
      </c>
      <c r="B1356" s="2874" t="s">
        <v>302</v>
      </c>
      <c r="C1356" s="4384" t="s">
        <v>303</v>
      </c>
      <c r="D1356" s="5894" t="s">
        <v>304</v>
      </c>
      <c r="E1356" s="7404" t="s">
        <v>32</v>
      </c>
      <c r="F1356" s="8914" t="s">
        <v>305</v>
      </c>
      <c r="G1356" s="10424" t="s">
        <v>15</v>
      </c>
      <c r="H1356" s="11934">
        <v>1</v>
      </c>
      <c r="I1356" s="13444" t="s">
        <v>16</v>
      </c>
      <c r="J1356" s="13600" t="str">
        <f>HYPERLINK("\\192.168.170.18\drawings\2-Basic Components\0000-321 - Straight Connection\0000-321-103-A - Outlet pipe DN100 - Biomass.pdf", "PDF")</f>
        <v>PDF</v>
      </c>
    </row>
    <row r="1357" spans="1:10" ht="15.75" outlineLevel="1">
      <c r="A1357" s="1365" t="s">
        <v>2390</v>
      </c>
      <c r="B1357" s="2875" t="s">
        <v>307</v>
      </c>
      <c r="C1357" s="4385" t="s">
        <v>308</v>
      </c>
      <c r="D1357" s="5895"/>
      <c r="E1357" s="7405" t="s">
        <v>32</v>
      </c>
      <c r="F1357" s="8915" t="s">
        <v>309</v>
      </c>
      <c r="G1357" s="10425" t="s">
        <v>15</v>
      </c>
      <c r="H1357" s="11935">
        <v>2</v>
      </c>
      <c r="I1357" s="13445" t="s">
        <v>16</v>
      </c>
      <c r="J1357" s="13600" t="str">
        <f>HYPERLINK("\\192.168.170.18\drawings\2-Basic Components\0000-301 - Tank Connection\0000-301-122-- - TC- Flange DN150 PN10 L=330 - BM.pdf", "PDF")</f>
        <v>PDF</v>
      </c>
    </row>
    <row r="1358" spans="1:10" outlineLevel="1">
      <c r="A1358" s="1366" t="s">
        <v>2391</v>
      </c>
      <c r="B1358" s="2876" t="s">
        <v>247</v>
      </c>
      <c r="C1358" s="4386" t="s">
        <v>311</v>
      </c>
      <c r="D1358" s="5896"/>
      <c r="E1358" s="7406" t="s">
        <v>25</v>
      </c>
      <c r="F1358" s="8916" t="s">
        <v>312</v>
      </c>
      <c r="G1358" s="10426" t="s">
        <v>27</v>
      </c>
      <c r="H1358" s="11936">
        <v>1</v>
      </c>
      <c r="I1358" s="13446"/>
      <c r="J1358" t="s">
        <v>28</v>
      </c>
    </row>
    <row r="1359" spans="1:10" ht="15.75" outlineLevel="1">
      <c r="A1359" s="1367" t="s">
        <v>2392</v>
      </c>
      <c r="B1359" s="2877" t="s">
        <v>314</v>
      </c>
      <c r="C1359" s="4387" t="s">
        <v>315</v>
      </c>
      <c r="D1359" s="5897"/>
      <c r="E1359" s="7407" t="s">
        <v>32</v>
      </c>
      <c r="F1359" s="8917" t="s">
        <v>316</v>
      </c>
      <c r="G1359" s="10427" t="s">
        <v>15</v>
      </c>
      <c r="H1359" s="11937">
        <v>1</v>
      </c>
      <c r="I1359" s="13447" t="s">
        <v>16</v>
      </c>
      <c r="J1359" s="13600" t="str">
        <f>HYPERLINK("\\192.168.170.18\drawings\2-Basic Components\0000-321 - Straight Connection\0000-321-109-- - Biomass - Straight Connection - DN100x6m.pdf", "PDF")</f>
        <v>PDF</v>
      </c>
    </row>
    <row r="1360" spans="1:10" ht="15.75" outlineLevel="1">
      <c r="A1360" s="1368" t="s">
        <v>2393</v>
      </c>
      <c r="B1360" s="2878" t="s">
        <v>318</v>
      </c>
      <c r="C1360" s="4388" t="s">
        <v>319</v>
      </c>
      <c r="D1360" s="5898"/>
      <c r="E1360" s="7408" t="s">
        <v>32</v>
      </c>
      <c r="F1360" s="8918" t="s">
        <v>320</v>
      </c>
      <c r="G1360" s="10428" t="s">
        <v>15</v>
      </c>
      <c r="H1360" s="11938">
        <v>4</v>
      </c>
      <c r="I1360" s="13448" t="s">
        <v>16</v>
      </c>
      <c r="J1360" s="13600" t="str">
        <f>HYPERLINK("\\192.168.170.18\drawings\2-Basic Components\0000-342 - Pipe Holders\0000-342-274-- - DN125 Pipeholder for bottom mounting.pdf", "PDF")</f>
        <v>PDF</v>
      </c>
    </row>
    <row r="1361" spans="1:10" ht="15.75" outlineLevel="1">
      <c r="A1361" s="1369" t="s">
        <v>2394</v>
      </c>
      <c r="B1361" s="2879" t="s">
        <v>322</v>
      </c>
      <c r="C1361" s="4389" t="s">
        <v>323</v>
      </c>
      <c r="D1361" s="5899"/>
      <c r="E1361" s="7409" t="s">
        <v>32</v>
      </c>
      <c r="F1361" s="8919" t="s">
        <v>324</v>
      </c>
      <c r="G1361" s="10429" t="s">
        <v>15</v>
      </c>
      <c r="H1361" s="11939">
        <v>3</v>
      </c>
      <c r="I1361" s="13449" t="s">
        <v>16</v>
      </c>
      <c r="J1361" s="13600" t="str">
        <f>HYPERLINK("\\192.168.170.18\drawings\2-Basic Components\0000-301 - Tank Connection\0000-301-123-- - TC- Flange Elbow DN200 PN10 L=450 - BM.pdf", "PDF")</f>
        <v>PDF</v>
      </c>
    </row>
    <row r="1362" spans="1:10" ht="15.75" outlineLevel="1">
      <c r="A1362" s="1370" t="s">
        <v>2395</v>
      </c>
      <c r="B1362" s="2880" t="s">
        <v>326</v>
      </c>
      <c r="C1362" s="4390" t="s">
        <v>327</v>
      </c>
      <c r="D1362" s="5900"/>
      <c r="E1362" s="7410" t="s">
        <v>32</v>
      </c>
      <c r="F1362" s="8920" t="s">
        <v>328</v>
      </c>
      <c r="G1362" s="10430" t="s">
        <v>15</v>
      </c>
      <c r="H1362" s="11940">
        <v>6</v>
      </c>
      <c r="I1362" s="13450" t="s">
        <v>16</v>
      </c>
      <c r="J1362" s="13600" t="str">
        <f>HYPERLINK("\\192.168.170.18\drawings\2-Basic Components\0000-301 - Tank Connection\0000-301-124-- - TC- Flange DN200 PN10 L=330 - BM.pdf", "PDF")</f>
        <v>PDF</v>
      </c>
    </row>
    <row r="1363" spans="1:10" ht="15.75" outlineLevel="1">
      <c r="A1363" s="1371" t="s">
        <v>2396</v>
      </c>
      <c r="B1363" s="2881" t="s">
        <v>330</v>
      </c>
      <c r="C1363" s="4391" t="s">
        <v>331</v>
      </c>
      <c r="D1363" s="5901"/>
      <c r="E1363" s="7411" t="s">
        <v>32</v>
      </c>
      <c r="F1363" s="8921" t="s">
        <v>332</v>
      </c>
      <c r="G1363" s="10431" t="s">
        <v>15</v>
      </c>
      <c r="H1363" s="11941">
        <v>3</v>
      </c>
      <c r="I1363" s="13451" t="s">
        <v>16</v>
      </c>
      <c r="J1363" s="13600" t="str">
        <f>HYPERLINK("\\192.168.170.18\drawings\2-Basic Components\0000-321 - Straight Connection\0000-321-157-- - Biomass - Straigth Connection - DN200x6m.pdf", "PDF")</f>
        <v>PDF</v>
      </c>
    </row>
    <row r="1364" spans="1:10" outlineLevel="1">
      <c r="A1364" s="1372" t="s">
        <v>2397</v>
      </c>
      <c r="B1364" s="2882" t="s">
        <v>334</v>
      </c>
      <c r="C1364" s="4392" t="s">
        <v>335</v>
      </c>
      <c r="D1364" s="5902"/>
      <c r="E1364" s="7412" t="s">
        <v>32</v>
      </c>
      <c r="F1364" s="8922" t="s">
        <v>336</v>
      </c>
      <c r="G1364" s="10432" t="s">
        <v>15</v>
      </c>
      <c r="H1364" s="11942">
        <v>12</v>
      </c>
      <c r="I1364" s="13452" t="s">
        <v>16</v>
      </c>
      <c r="J1364" t="s">
        <v>28</v>
      </c>
    </row>
    <row r="1365" spans="1:10" outlineLevel="1">
      <c r="A1365" s="1373" t="s">
        <v>2398</v>
      </c>
      <c r="B1365" s="2883" t="s">
        <v>2399</v>
      </c>
      <c r="C1365" s="4393" t="s">
        <v>488</v>
      </c>
      <c r="D1365" s="5903" t="s">
        <v>340</v>
      </c>
      <c r="E1365" s="7413" t="s">
        <v>341</v>
      </c>
      <c r="F1365" s="8923" t="s">
        <v>2400</v>
      </c>
      <c r="G1365" s="10433" t="s">
        <v>15</v>
      </c>
      <c r="H1365" s="11943">
        <v>1</v>
      </c>
      <c r="I1365" s="13453" t="s">
        <v>16</v>
      </c>
      <c r="J1365" t="s">
        <v>28</v>
      </c>
    </row>
    <row r="1366" spans="1:10" ht="15.75" outlineLevel="1">
      <c r="A1366" s="1374" t="s">
        <v>2401</v>
      </c>
      <c r="B1366" s="2884" t="s">
        <v>344</v>
      </c>
      <c r="C1366" s="4394" t="s">
        <v>345</v>
      </c>
      <c r="D1366" s="5904" t="s">
        <v>346</v>
      </c>
      <c r="E1366" s="7414" t="s">
        <v>32</v>
      </c>
      <c r="F1366" s="8924" t="s">
        <v>347</v>
      </c>
      <c r="G1366" s="10434" t="s">
        <v>15</v>
      </c>
      <c r="H1366" s="11944">
        <v>1</v>
      </c>
      <c r="I1366" s="13454" t="s">
        <v>16</v>
      </c>
      <c r="J1366" s="13600" t="str">
        <f>HYPERLINK("\\192.168.170.18\drawings\2-Basic Components\0000-315 - Central Flange\0000-315-005-A - Central flange 5200 - DN250 assembly.pdf", "PDF")</f>
        <v>PDF</v>
      </c>
    </row>
    <row r="1367" spans="1:10" ht="15.75" outlineLevel="1">
      <c r="A1367" s="1375" t="s">
        <v>2402</v>
      </c>
      <c r="B1367" s="2885" t="s">
        <v>349</v>
      </c>
      <c r="C1367" s="4395" t="s">
        <v>350</v>
      </c>
      <c r="D1367" s="5905" t="s">
        <v>304</v>
      </c>
      <c r="E1367" s="7415" t="s">
        <v>32</v>
      </c>
      <c r="F1367" s="8925" t="s">
        <v>351</v>
      </c>
      <c r="G1367" s="10435" t="s">
        <v>15</v>
      </c>
      <c r="H1367" s="11945">
        <v>3</v>
      </c>
      <c r="I1367" s="13455" t="s">
        <v>16</v>
      </c>
      <c r="J1367" s="13600" t="str">
        <f>HYPERLINK("\\192.168.170.18\drawings\2-Basic Components\0000-321 - Straight Connection\0000-321-158-A - Outlet Pipe DN200 - Biomass.pdf", "PDF")</f>
        <v>PDF</v>
      </c>
    </row>
    <row r="1368" spans="1:10" ht="15.75" outlineLevel="1">
      <c r="A1368" s="1376" t="s">
        <v>2403</v>
      </c>
      <c r="B1368" s="2886" t="s">
        <v>353</v>
      </c>
      <c r="C1368" s="4396" t="s">
        <v>354</v>
      </c>
      <c r="D1368" s="5906" t="s">
        <v>304</v>
      </c>
      <c r="E1368" s="7416" t="s">
        <v>32</v>
      </c>
      <c r="F1368" s="8926" t="s">
        <v>355</v>
      </c>
      <c r="G1368" s="10436" t="s">
        <v>15</v>
      </c>
      <c r="H1368" s="11946">
        <v>1</v>
      </c>
      <c r="I1368" s="13456" t="s">
        <v>16</v>
      </c>
      <c r="J1368" s="13600" t="str">
        <f>HYPERLINK("\\192.168.170.18\drawings\2-Basic Components\0000-321 - Straight Connection\0000-321-108-A - Outlet pipe DN125 - Biomass.pdf", "PDF")</f>
        <v>PDF</v>
      </c>
    </row>
    <row r="1369" spans="1:10" outlineLevel="1">
      <c r="A1369" s="1377" t="s">
        <v>2404</v>
      </c>
      <c r="B1369" s="2887" t="s">
        <v>247</v>
      </c>
      <c r="C1369" s="4397" t="s">
        <v>389</v>
      </c>
      <c r="D1369" s="5907"/>
      <c r="E1369" s="7417" t="s">
        <v>83</v>
      </c>
      <c r="F1369" s="8927" t="s">
        <v>390</v>
      </c>
      <c r="G1369" s="10437" t="s">
        <v>27</v>
      </c>
      <c r="H1369" s="11947">
        <v>6</v>
      </c>
      <c r="I1369" s="13457"/>
      <c r="J1369" t="s">
        <v>28</v>
      </c>
    </row>
    <row r="1370" spans="1:10" outlineLevel="1">
      <c r="A1370" s="1378" t="s">
        <v>2405</v>
      </c>
      <c r="B1370" s="2888" t="s">
        <v>243</v>
      </c>
      <c r="C1370" s="4398" t="s">
        <v>244</v>
      </c>
      <c r="D1370" s="5908"/>
      <c r="E1370" s="7418" t="s">
        <v>32</v>
      </c>
      <c r="F1370" s="8928" t="s">
        <v>245</v>
      </c>
      <c r="G1370" s="10438" t="s">
        <v>15</v>
      </c>
      <c r="H1370" s="11948">
        <v>2</v>
      </c>
      <c r="I1370" s="13458"/>
      <c r="J1370" t="s">
        <v>28</v>
      </c>
    </row>
    <row r="1371" spans="1:10" outlineLevel="1">
      <c r="A1371" s="1379" t="s">
        <v>2406</v>
      </c>
      <c r="B1371" s="2889" t="s">
        <v>243</v>
      </c>
      <c r="C1371" s="4399" t="s">
        <v>392</v>
      </c>
      <c r="D1371" s="5909"/>
      <c r="E1371" s="7419" t="s">
        <v>32</v>
      </c>
      <c r="F1371" s="8929" t="s">
        <v>393</v>
      </c>
      <c r="G1371" s="10439" t="s">
        <v>15</v>
      </c>
      <c r="H1371" s="11949">
        <v>6</v>
      </c>
      <c r="I1371" s="13459" t="s">
        <v>16</v>
      </c>
      <c r="J1371" t="s">
        <v>28</v>
      </c>
    </row>
    <row r="1372" spans="1:10">
      <c r="A1372" s="1380" t="s">
        <v>2407</v>
      </c>
      <c r="B1372" s="2890" t="s">
        <v>497</v>
      </c>
      <c r="C1372" s="4400" t="s">
        <v>498</v>
      </c>
      <c r="D1372" s="5910" t="s">
        <v>13</v>
      </c>
      <c r="E1372" s="7420" t="s">
        <v>153</v>
      </c>
      <c r="F1372" s="8930" t="s">
        <v>499</v>
      </c>
      <c r="G1372" s="10440" t="s">
        <v>15</v>
      </c>
      <c r="H1372" s="11950">
        <v>1</v>
      </c>
      <c r="I1372" s="13460" t="s">
        <v>16</v>
      </c>
      <c r="J1372" t="s">
        <v>28</v>
      </c>
    </row>
    <row r="1373" spans="1:10">
      <c r="A1373" s="1381" t="s">
        <v>2408</v>
      </c>
      <c r="B1373" s="2891" t="s">
        <v>2409</v>
      </c>
      <c r="C1373" s="4401"/>
      <c r="D1373" s="5911"/>
      <c r="E1373" s="7421"/>
      <c r="F1373" s="8931" t="s">
        <v>2410</v>
      </c>
      <c r="G1373" s="10441" t="s">
        <v>15</v>
      </c>
      <c r="H1373" s="11951">
        <v>1</v>
      </c>
      <c r="I1373" s="13461" t="s">
        <v>16</v>
      </c>
      <c r="J1373" t="s">
        <v>28</v>
      </c>
    </row>
    <row r="1374" spans="1:10" ht="15.75" outlineLevel="1">
      <c r="A1374" s="1382" t="s">
        <v>2411</v>
      </c>
      <c r="B1374" s="2892" t="s">
        <v>521</v>
      </c>
      <c r="C1374" s="4402" t="s">
        <v>522</v>
      </c>
      <c r="D1374" s="5912"/>
      <c r="E1374" s="7422" t="s">
        <v>41</v>
      </c>
      <c r="F1374" s="8932" t="s">
        <v>523</v>
      </c>
      <c r="G1374" s="10442" t="s">
        <v>15</v>
      </c>
      <c r="H1374" s="11952">
        <v>1</v>
      </c>
      <c r="I1374" s="13462" t="s">
        <v>16</v>
      </c>
      <c r="J1374" s="13600" t="str">
        <f>HYPERLINK("\\192.168.170.18\drawings\2-Basic Components\0000-316 - Heat-Exchangers\0000-316-011-- - 4 HEX Water-Biomass Ver. 02.pdf", "PDF")</f>
        <v>PDF</v>
      </c>
    </row>
    <row r="1375" spans="1:10" outlineLevel="1">
      <c r="A1375" s="1383" t="s">
        <v>2412</v>
      </c>
      <c r="B1375" s="2893" t="s">
        <v>525</v>
      </c>
      <c r="C1375" s="4403" t="s">
        <v>526</v>
      </c>
      <c r="D1375" s="5913"/>
      <c r="E1375" s="7423" t="s">
        <v>208</v>
      </c>
      <c r="F1375" s="8933" t="s">
        <v>527</v>
      </c>
      <c r="G1375" s="10443" t="s">
        <v>27</v>
      </c>
      <c r="H1375" s="11953">
        <v>4</v>
      </c>
      <c r="I1375" s="13463"/>
      <c r="J1375" t="s">
        <v>28</v>
      </c>
    </row>
    <row r="1376" spans="1:10" outlineLevel="1">
      <c r="A1376" s="1384" t="s">
        <v>2413</v>
      </c>
      <c r="B1376" s="2894" t="s">
        <v>81</v>
      </c>
      <c r="C1376" s="4404" t="s">
        <v>529</v>
      </c>
      <c r="D1376" s="5914"/>
      <c r="E1376" s="7424" t="s">
        <v>97</v>
      </c>
      <c r="F1376" s="8934" t="s">
        <v>530</v>
      </c>
      <c r="G1376" s="10444" t="s">
        <v>15</v>
      </c>
      <c r="H1376" s="11954">
        <v>4</v>
      </c>
      <c r="I1376" s="13464"/>
      <c r="J1376" t="s">
        <v>28</v>
      </c>
    </row>
    <row r="1377" spans="1:10" outlineLevel="1">
      <c r="A1377" s="1385" t="s">
        <v>2414</v>
      </c>
      <c r="B1377" s="2895" t="s">
        <v>532</v>
      </c>
      <c r="C1377" s="4405" t="s">
        <v>533</v>
      </c>
      <c r="D1377" s="5915"/>
      <c r="E1377" s="7425" t="s">
        <v>16</v>
      </c>
      <c r="F1377" s="8935" t="s">
        <v>534</v>
      </c>
      <c r="G1377" s="10445" t="s">
        <v>27</v>
      </c>
      <c r="H1377" s="11955">
        <v>4</v>
      </c>
      <c r="I1377" s="13465"/>
      <c r="J1377" t="s">
        <v>28</v>
      </c>
    </row>
    <row r="1378" spans="1:10" outlineLevel="1">
      <c r="A1378" s="1386" t="s">
        <v>2415</v>
      </c>
      <c r="B1378" s="2896" t="s">
        <v>536</v>
      </c>
      <c r="C1378" s="4406" t="s">
        <v>537</v>
      </c>
      <c r="D1378" s="5916"/>
      <c r="E1378" s="7426" t="s">
        <v>208</v>
      </c>
      <c r="F1378" s="8936" t="s">
        <v>538</v>
      </c>
      <c r="G1378" s="10446" t="s">
        <v>27</v>
      </c>
      <c r="H1378" s="11956">
        <v>4</v>
      </c>
      <c r="I1378" s="13466" t="s">
        <v>16</v>
      </c>
      <c r="J1378" t="s">
        <v>28</v>
      </c>
    </row>
    <row r="1379" spans="1:10">
      <c r="A1379" s="1387" t="s">
        <v>2416</v>
      </c>
      <c r="B1379" s="2897" t="s">
        <v>2417</v>
      </c>
      <c r="C1379" s="4407" t="s">
        <v>541</v>
      </c>
      <c r="D1379" s="5917" t="s">
        <v>542</v>
      </c>
      <c r="E1379" s="7427"/>
      <c r="F1379" s="8937" t="s">
        <v>2418</v>
      </c>
      <c r="G1379" s="10447" t="s">
        <v>15</v>
      </c>
      <c r="H1379" s="11957">
        <v>1</v>
      </c>
      <c r="I1379" s="13467" t="s">
        <v>16</v>
      </c>
      <c r="J1379" t="s">
        <v>28</v>
      </c>
    </row>
    <row r="1380" spans="1:10" outlineLevel="1">
      <c r="A1380" s="1388" t="s">
        <v>2419</v>
      </c>
      <c r="B1380" s="2898" t="s">
        <v>2420</v>
      </c>
      <c r="C1380" s="4408" t="s">
        <v>546</v>
      </c>
      <c r="D1380" s="5918" t="s">
        <v>547</v>
      </c>
      <c r="E1380" s="7428" t="s">
        <v>153</v>
      </c>
      <c r="F1380" s="8938" t="s">
        <v>2421</v>
      </c>
      <c r="G1380" s="10448" t="s">
        <v>15</v>
      </c>
      <c r="H1380" s="11958">
        <v>1</v>
      </c>
      <c r="I1380" s="13468" t="s">
        <v>16</v>
      </c>
      <c r="J1380" t="s">
        <v>28</v>
      </c>
    </row>
    <row r="1381" spans="1:10" outlineLevel="1">
      <c r="A1381" s="1389" t="s">
        <v>2422</v>
      </c>
      <c r="B1381" s="2899" t="s">
        <v>108</v>
      </c>
      <c r="C1381" s="4409" t="s">
        <v>550</v>
      </c>
      <c r="D1381" s="5919"/>
      <c r="E1381" s="7429" t="s">
        <v>83</v>
      </c>
      <c r="F1381" s="8939" t="s">
        <v>551</v>
      </c>
      <c r="G1381" s="10449" t="s">
        <v>27</v>
      </c>
      <c r="H1381" s="11959">
        <v>1</v>
      </c>
      <c r="I1381" s="13469"/>
      <c r="J1381" t="s">
        <v>28</v>
      </c>
    </row>
    <row r="1382" spans="1:10" outlineLevel="1">
      <c r="A1382" s="1390" t="s">
        <v>2423</v>
      </c>
      <c r="B1382" s="2900" t="s">
        <v>2424</v>
      </c>
      <c r="C1382" s="4410" t="s">
        <v>554</v>
      </c>
      <c r="D1382" s="5920"/>
      <c r="E1382" s="7430" t="s">
        <v>41</v>
      </c>
      <c r="F1382" s="8940" t="s">
        <v>2425</v>
      </c>
      <c r="G1382" s="10450" t="s">
        <v>15</v>
      </c>
      <c r="H1382" s="11960">
        <v>1</v>
      </c>
      <c r="I1382" s="13470" t="s">
        <v>16</v>
      </c>
      <c r="J1382" t="s">
        <v>28</v>
      </c>
    </row>
    <row r="1383" spans="1:10" outlineLevel="1">
      <c r="A1383" s="1391" t="s">
        <v>2426</v>
      </c>
      <c r="B1383" s="2901" t="s">
        <v>2427</v>
      </c>
      <c r="C1383" s="4411" t="s">
        <v>558</v>
      </c>
      <c r="D1383" s="5921" t="s">
        <v>559</v>
      </c>
      <c r="E1383" s="7431" t="s">
        <v>32</v>
      </c>
      <c r="F1383" s="8941" t="s">
        <v>2428</v>
      </c>
      <c r="G1383" s="10451" t="s">
        <v>15</v>
      </c>
      <c r="H1383" s="11961">
        <v>1</v>
      </c>
      <c r="I1383" s="13471" t="s">
        <v>16</v>
      </c>
      <c r="J1383" t="s">
        <v>28</v>
      </c>
    </row>
    <row r="1384" spans="1:10" outlineLevel="1">
      <c r="A1384" s="1392" t="s">
        <v>2429</v>
      </c>
      <c r="B1384" s="2902" t="s">
        <v>562</v>
      </c>
      <c r="C1384" s="4412" t="s">
        <v>563</v>
      </c>
      <c r="D1384" s="5922"/>
      <c r="E1384" s="7432" t="s">
        <v>41</v>
      </c>
      <c r="F1384" s="8942" t="s">
        <v>564</v>
      </c>
      <c r="G1384" s="10452" t="s">
        <v>27</v>
      </c>
      <c r="H1384" s="11962">
        <v>1</v>
      </c>
      <c r="I1384" s="13472" t="s">
        <v>16</v>
      </c>
      <c r="J1384" t="s">
        <v>28</v>
      </c>
    </row>
    <row r="1385" spans="1:10" outlineLevel="1">
      <c r="A1385" s="1393" t="s">
        <v>2430</v>
      </c>
      <c r="B1385" s="2903" t="s">
        <v>2431</v>
      </c>
      <c r="C1385" s="4413" t="s">
        <v>567</v>
      </c>
      <c r="D1385" s="5923"/>
      <c r="E1385" s="7433" t="s">
        <v>41</v>
      </c>
      <c r="F1385" s="8943" t="s">
        <v>2432</v>
      </c>
      <c r="G1385" s="10453" t="s">
        <v>15</v>
      </c>
      <c r="H1385" s="11963">
        <v>1</v>
      </c>
      <c r="I1385" s="13473" t="s">
        <v>16</v>
      </c>
      <c r="J1385" t="s">
        <v>28</v>
      </c>
    </row>
    <row r="1386" spans="1:10">
      <c r="A1386" s="1394" t="s">
        <v>2433</v>
      </c>
      <c r="B1386" s="2904" t="s">
        <v>2434</v>
      </c>
      <c r="C1386" s="4414" t="s">
        <v>152</v>
      </c>
      <c r="D1386" s="5924" t="s">
        <v>13</v>
      </c>
      <c r="E1386" s="7434" t="s">
        <v>153</v>
      </c>
      <c r="F1386" s="8944" t="s">
        <v>2435</v>
      </c>
      <c r="G1386" s="10454" t="s">
        <v>15</v>
      </c>
      <c r="H1386" s="11964">
        <v>1</v>
      </c>
      <c r="I1386" s="13474" t="s">
        <v>16</v>
      </c>
      <c r="J1386" t="s">
        <v>28</v>
      </c>
    </row>
    <row r="1387" spans="1:10" ht="15.75">
      <c r="A1387" s="1395" t="s">
        <v>2436</v>
      </c>
      <c r="B1387" s="2905" t="s">
        <v>2437</v>
      </c>
      <c r="C1387" s="4415" t="s">
        <v>157</v>
      </c>
      <c r="D1387" s="5925" t="s">
        <v>2438</v>
      </c>
      <c r="E1387" s="7435"/>
      <c r="F1387" s="8945" t="s">
        <v>2439</v>
      </c>
      <c r="G1387" s="10455" t="s">
        <v>15</v>
      </c>
      <c r="H1387" s="11965">
        <v>1</v>
      </c>
      <c r="I1387" s="13475" t="s">
        <v>16</v>
      </c>
      <c r="J1387" s="13600" t="str">
        <f>HYPERLINK("\\192.168.170.18\drawings\5-Projects\2500 - Aabenraa\Area 04 - Digester Area\Eqiupment\2500-615 Digester\2500-615-006-- - Digester - Assembly - 9500m³.pdf", "PDF")</f>
        <v>PDF</v>
      </c>
    </row>
    <row r="1388" spans="1:10" ht="15.75" outlineLevel="1">
      <c r="A1388" s="1396" t="s">
        <v>2440</v>
      </c>
      <c r="B1388" s="2906" t="s">
        <v>2441</v>
      </c>
      <c r="C1388" s="4416" t="s">
        <v>161</v>
      </c>
      <c r="D1388" s="5926" t="s">
        <v>2442</v>
      </c>
      <c r="E1388" s="7436"/>
      <c r="F1388" s="8946" t="s">
        <v>2443</v>
      </c>
      <c r="G1388" s="10456" t="s">
        <v>15</v>
      </c>
      <c r="H1388" s="11966">
        <v>1</v>
      </c>
      <c r="I1388" s="13476" t="s">
        <v>16</v>
      </c>
      <c r="J1388" s="13600" t="str">
        <f>HYPERLINK("\\192.168.170.18\drawings\5-Projects\2500 - Aabenraa\Area 04 - Digester Area\Eqiupment\2500-615 Digester\2500-615-906-- - Digester 9500m³.pdf", "PDF")</f>
        <v>PDF</v>
      </c>
    </row>
    <row r="1389" spans="1:10" outlineLevel="2">
      <c r="A1389" s="1397" t="s">
        <v>2444</v>
      </c>
      <c r="B1389" s="2907" t="s">
        <v>2445</v>
      </c>
      <c r="C1389" s="4417" t="s">
        <v>166</v>
      </c>
      <c r="D1389" s="5927"/>
      <c r="E1389" s="7437" t="s">
        <v>32</v>
      </c>
      <c r="F1389" s="8947" t="s">
        <v>2446</v>
      </c>
      <c r="G1389" s="10457" t="s">
        <v>15</v>
      </c>
      <c r="H1389" s="11967">
        <v>1</v>
      </c>
      <c r="I1389" s="13477" t="s">
        <v>16</v>
      </c>
      <c r="J1389" t="s">
        <v>28</v>
      </c>
    </row>
    <row r="1390" spans="1:10" outlineLevel="2">
      <c r="A1390" s="1398" t="s">
        <v>2447</v>
      </c>
      <c r="B1390" s="2908" t="s">
        <v>2448</v>
      </c>
      <c r="C1390" s="4418" t="s">
        <v>170</v>
      </c>
      <c r="D1390" s="5928"/>
      <c r="E1390" s="7438" t="s">
        <v>32</v>
      </c>
      <c r="F1390" s="8948" t="s">
        <v>2449</v>
      </c>
      <c r="G1390" s="10458" t="s">
        <v>15</v>
      </c>
      <c r="H1390" s="11968">
        <v>1</v>
      </c>
      <c r="I1390" s="13478" t="s">
        <v>16</v>
      </c>
      <c r="J1390" t="s">
        <v>28</v>
      </c>
    </row>
    <row r="1391" spans="1:10" outlineLevel="2">
      <c r="A1391" s="1399" t="s">
        <v>2450</v>
      </c>
      <c r="B1391" s="2909" t="s">
        <v>2451</v>
      </c>
      <c r="C1391" s="4419" t="s">
        <v>174</v>
      </c>
      <c r="D1391" s="5929"/>
      <c r="E1391" s="7439" t="s">
        <v>41</v>
      </c>
      <c r="F1391" s="8949" t="s">
        <v>2452</v>
      </c>
      <c r="G1391" s="10459" t="s">
        <v>15</v>
      </c>
      <c r="H1391" s="11969">
        <v>1</v>
      </c>
      <c r="I1391" s="13479" t="s">
        <v>16</v>
      </c>
      <c r="J1391" t="s">
        <v>28</v>
      </c>
    </row>
    <row r="1392" spans="1:10" outlineLevel="2">
      <c r="A1392" s="1400" t="s">
        <v>2453</v>
      </c>
      <c r="B1392" s="2910" t="s">
        <v>2454</v>
      </c>
      <c r="C1392" s="4420" t="s">
        <v>178</v>
      </c>
      <c r="D1392" s="5930"/>
      <c r="E1392" s="7440" t="s">
        <v>32</v>
      </c>
      <c r="F1392" s="8950" t="s">
        <v>2455</v>
      </c>
      <c r="G1392" s="10460" t="s">
        <v>15</v>
      </c>
      <c r="H1392" s="11970">
        <v>1</v>
      </c>
      <c r="I1392" s="13480" t="s">
        <v>16</v>
      </c>
      <c r="J1392" t="s">
        <v>28</v>
      </c>
    </row>
    <row r="1393" spans="1:10" outlineLevel="2">
      <c r="A1393" s="1401" t="s">
        <v>2456</v>
      </c>
      <c r="B1393" s="2911" t="s">
        <v>2457</v>
      </c>
      <c r="C1393" s="4421"/>
      <c r="D1393" s="5931"/>
      <c r="E1393" s="7441" t="s">
        <v>182</v>
      </c>
      <c r="F1393" s="8951" t="s">
        <v>2458</v>
      </c>
      <c r="G1393" s="10461" t="s">
        <v>15</v>
      </c>
      <c r="H1393" s="11971">
        <v>1</v>
      </c>
      <c r="I1393" s="13481" t="s">
        <v>16</v>
      </c>
      <c r="J1393" t="s">
        <v>28</v>
      </c>
    </row>
    <row r="1394" spans="1:10" outlineLevel="2">
      <c r="A1394" s="1402" t="s">
        <v>2459</v>
      </c>
      <c r="B1394" s="2912" t="s">
        <v>2460</v>
      </c>
      <c r="C1394" s="4422" t="s">
        <v>186</v>
      </c>
      <c r="D1394" s="5932"/>
      <c r="E1394" s="7442" t="s">
        <v>32</v>
      </c>
      <c r="F1394" s="8952" t="s">
        <v>2461</v>
      </c>
      <c r="G1394" s="10462" t="s">
        <v>15</v>
      </c>
      <c r="H1394" s="11972">
        <v>1</v>
      </c>
      <c r="I1394" s="13482" t="s">
        <v>16</v>
      </c>
      <c r="J1394" t="s">
        <v>28</v>
      </c>
    </row>
    <row r="1395" spans="1:10" outlineLevel="1">
      <c r="A1395" s="1403" t="s">
        <v>2462</v>
      </c>
      <c r="B1395" s="2913" t="s">
        <v>81</v>
      </c>
      <c r="C1395" s="4423" t="s">
        <v>82</v>
      </c>
      <c r="D1395" s="5933"/>
      <c r="E1395" s="7443" t="s">
        <v>83</v>
      </c>
      <c r="F1395" s="8953" t="s">
        <v>84</v>
      </c>
      <c r="G1395" s="10463" t="s">
        <v>27</v>
      </c>
      <c r="H1395" s="11973">
        <v>2</v>
      </c>
      <c r="I1395" s="13483"/>
      <c r="J1395" t="s">
        <v>28</v>
      </c>
    </row>
    <row r="1396" spans="1:10" outlineLevel="1">
      <c r="A1396" s="1404" t="s">
        <v>2463</v>
      </c>
      <c r="B1396" s="2914" t="s">
        <v>190</v>
      </c>
      <c r="C1396" s="4424" t="s">
        <v>191</v>
      </c>
      <c r="D1396" s="5934"/>
      <c r="E1396" s="7444" t="s">
        <v>16</v>
      </c>
      <c r="F1396" s="8954" t="s">
        <v>192</v>
      </c>
      <c r="G1396" s="10464" t="s">
        <v>27</v>
      </c>
      <c r="H1396" s="11974">
        <v>1</v>
      </c>
      <c r="I1396" s="13484"/>
      <c r="J1396" t="s">
        <v>28</v>
      </c>
    </row>
    <row r="1397" spans="1:10" outlineLevel="1">
      <c r="A1397" s="1405" t="s">
        <v>2464</v>
      </c>
      <c r="B1397" s="2915" t="s">
        <v>194</v>
      </c>
      <c r="C1397" s="4425" t="s">
        <v>195</v>
      </c>
      <c r="D1397" s="5935"/>
      <c r="E1397" s="7445" t="s">
        <v>16</v>
      </c>
      <c r="F1397" s="8955" t="s">
        <v>196</v>
      </c>
      <c r="G1397" s="10465" t="s">
        <v>27</v>
      </c>
      <c r="H1397" s="11975">
        <v>2</v>
      </c>
      <c r="I1397" s="13485"/>
      <c r="J1397" t="s">
        <v>28</v>
      </c>
    </row>
    <row r="1398" spans="1:10" outlineLevel="1">
      <c r="A1398" s="1406" t="s">
        <v>2465</v>
      </c>
      <c r="B1398" s="2916" t="s">
        <v>81</v>
      </c>
      <c r="C1398" s="4426" t="s">
        <v>198</v>
      </c>
      <c r="D1398" s="5936"/>
      <c r="E1398" s="7446" t="s">
        <v>32</v>
      </c>
      <c r="F1398" s="8956" t="s">
        <v>199</v>
      </c>
      <c r="G1398" s="10466" t="s">
        <v>15</v>
      </c>
      <c r="H1398" s="11976">
        <v>2</v>
      </c>
      <c r="I1398" s="13486"/>
      <c r="J1398" t="s">
        <v>28</v>
      </c>
    </row>
    <row r="1399" spans="1:10" outlineLevel="1">
      <c r="A1399" s="1407" t="s">
        <v>2466</v>
      </c>
      <c r="B1399" s="2917" t="s">
        <v>201</v>
      </c>
      <c r="C1399" s="4427" t="s">
        <v>202</v>
      </c>
      <c r="D1399" s="5937"/>
      <c r="E1399" s="7447" t="s">
        <v>203</v>
      </c>
      <c r="F1399" s="8957" t="s">
        <v>204</v>
      </c>
      <c r="G1399" s="10467" t="s">
        <v>27</v>
      </c>
      <c r="H1399" s="11977">
        <v>3</v>
      </c>
      <c r="I1399" s="13487" t="s">
        <v>16</v>
      </c>
      <c r="J1399" t="s">
        <v>28</v>
      </c>
    </row>
    <row r="1400" spans="1:10" outlineLevel="1">
      <c r="A1400" s="1408" t="s">
        <v>2467</v>
      </c>
      <c r="B1400" s="2918" t="s">
        <v>206</v>
      </c>
      <c r="C1400" s="4428" t="s">
        <v>207</v>
      </c>
      <c r="D1400" s="5938"/>
      <c r="E1400" s="7448" t="s">
        <v>208</v>
      </c>
      <c r="F1400" s="8958" t="s">
        <v>209</v>
      </c>
      <c r="G1400" s="10468" t="s">
        <v>27</v>
      </c>
      <c r="H1400" s="11978">
        <v>2</v>
      </c>
      <c r="I1400" s="13488" t="s">
        <v>16</v>
      </c>
      <c r="J1400" t="s">
        <v>28</v>
      </c>
    </row>
    <row r="1401" spans="1:10" outlineLevel="1">
      <c r="A1401" s="1409" t="s">
        <v>2468</v>
      </c>
      <c r="B1401" s="2919" t="s">
        <v>247</v>
      </c>
      <c r="C1401" s="4429" t="s">
        <v>444</v>
      </c>
      <c r="D1401" s="5939" t="s">
        <v>445</v>
      </c>
      <c r="E1401" s="7449" t="s">
        <v>25</v>
      </c>
      <c r="F1401" s="8959" t="s">
        <v>446</v>
      </c>
      <c r="G1401" s="10469" t="s">
        <v>27</v>
      </c>
      <c r="H1401" s="11979">
        <v>3</v>
      </c>
      <c r="I1401" s="13489" t="s">
        <v>16</v>
      </c>
      <c r="J1401" t="s">
        <v>28</v>
      </c>
    </row>
    <row r="1402" spans="1:10" ht="15.75" outlineLevel="1">
      <c r="A1402" s="1410" t="s">
        <v>2469</v>
      </c>
      <c r="B1402" s="2920" t="s">
        <v>211</v>
      </c>
      <c r="C1402" s="4430" t="s">
        <v>212</v>
      </c>
      <c r="D1402" s="5940"/>
      <c r="E1402" s="7450" t="s">
        <v>32</v>
      </c>
      <c r="F1402" s="8960" t="s">
        <v>213</v>
      </c>
      <c r="G1402" s="10470" t="s">
        <v>15</v>
      </c>
      <c r="H1402" s="11980">
        <v>2</v>
      </c>
      <c r="I1402" s="13490" t="s">
        <v>16</v>
      </c>
      <c r="J1402" s="13600" t="str">
        <f>HYPERLINK("\\192.168.170.18\drawings\2-Basic Components\0000-301 - Tank Connection\0000-301-038-A - TC- Flange DN40 - 1½'' L=200- BM.pdf", "PDF")</f>
        <v>PDF</v>
      </c>
    </row>
    <row r="1403" spans="1:10" ht="15.75" outlineLevel="1">
      <c r="A1403" s="1411" t="s">
        <v>2470</v>
      </c>
      <c r="B1403" s="2921" t="s">
        <v>215</v>
      </c>
      <c r="C1403" s="4431" t="s">
        <v>216</v>
      </c>
      <c r="D1403" s="5941"/>
      <c r="E1403" s="7451" t="s">
        <v>32</v>
      </c>
      <c r="F1403" s="8961" t="s">
        <v>217</v>
      </c>
      <c r="G1403" s="10471" t="s">
        <v>15</v>
      </c>
      <c r="H1403" s="11981">
        <v>3</v>
      </c>
      <c r="I1403" s="13491" t="s">
        <v>16</v>
      </c>
      <c r="J1403" s="13600" t="str">
        <f>HYPERLINK("\\192.168.170.18\drawings\2-Basic Components\0000-301 - Tank Connection\0000-301-037-- - TC- Socket DN15-½'' L=168- BM.pdf", "PDF")</f>
        <v>PDF</v>
      </c>
    </row>
    <row r="1404" spans="1:10" ht="15.75" outlineLevel="1">
      <c r="A1404" s="1412" t="s">
        <v>2471</v>
      </c>
      <c r="B1404" s="2922" t="s">
        <v>219</v>
      </c>
      <c r="C1404" s="4432" t="s">
        <v>220</v>
      </c>
      <c r="D1404" s="5942"/>
      <c r="E1404" s="7452" t="s">
        <v>32</v>
      </c>
      <c r="F1404" s="8962" t="s">
        <v>221</v>
      </c>
      <c r="G1404" s="10472" t="s">
        <v>15</v>
      </c>
      <c r="H1404" s="11982">
        <v>3</v>
      </c>
      <c r="I1404" s="13492" t="s">
        <v>16</v>
      </c>
      <c r="J1404" s="13600" t="str">
        <f>HYPERLINK("\\192.168.170.18\drawings\2-Basic Components\0000-301 - Tank Connection\0000-301-001-A - TC - Nipple DN15 - ½'' L=40- BG.pdf", "PDF")</f>
        <v>PDF</v>
      </c>
    </row>
    <row r="1405" spans="1:10" ht="15.75" outlineLevel="1">
      <c r="A1405" s="1413" t="s">
        <v>2472</v>
      </c>
      <c r="B1405" s="2923" t="s">
        <v>223</v>
      </c>
      <c r="C1405" s="4433" t="s">
        <v>224</v>
      </c>
      <c r="D1405" s="5943"/>
      <c r="E1405" s="7453" t="s">
        <v>32</v>
      </c>
      <c r="F1405" s="8963" t="s">
        <v>225</v>
      </c>
      <c r="G1405" s="10473" t="s">
        <v>15</v>
      </c>
      <c r="H1405" s="11983">
        <v>16</v>
      </c>
      <c r="I1405" s="13493" t="s">
        <v>16</v>
      </c>
      <c r="J1405" s="13600" t="str">
        <f>HYPERLINK("\\192.168.170.18\drawings\2-Basic Components\0000-342 - Pipe Holders\0000-342-022-- - Pipe holder foot L=400.pdf", "PDF")</f>
        <v>PDF</v>
      </c>
    </row>
    <row r="1406" spans="1:10" outlineLevel="1">
      <c r="A1406" s="1414" t="s">
        <v>2473</v>
      </c>
      <c r="B1406" s="2924" t="s">
        <v>227</v>
      </c>
      <c r="C1406" s="4434" t="s">
        <v>228</v>
      </c>
      <c r="D1406" s="5944"/>
      <c r="E1406" s="7454" t="s">
        <v>32</v>
      </c>
      <c r="F1406" s="8964" t="s">
        <v>229</v>
      </c>
      <c r="G1406" s="10474" t="s">
        <v>15</v>
      </c>
      <c r="H1406" s="11984">
        <v>1</v>
      </c>
      <c r="I1406" s="13494" t="s">
        <v>16</v>
      </c>
      <c r="J1406" t="s">
        <v>28</v>
      </c>
    </row>
    <row r="1407" spans="1:10" outlineLevel="1">
      <c r="A1407" s="1415" t="s">
        <v>2474</v>
      </c>
      <c r="B1407" s="2925" t="s">
        <v>227</v>
      </c>
      <c r="C1407" s="4435" t="s">
        <v>231</v>
      </c>
      <c r="D1407" s="5945"/>
      <c r="E1407" s="7455" t="s">
        <v>32</v>
      </c>
      <c r="F1407" s="8965" t="s">
        <v>232</v>
      </c>
      <c r="G1407" s="10475" t="s">
        <v>15</v>
      </c>
      <c r="H1407" s="11985">
        <v>1</v>
      </c>
      <c r="I1407" s="13495" t="s">
        <v>16</v>
      </c>
      <c r="J1407" t="s">
        <v>28</v>
      </c>
    </row>
    <row r="1408" spans="1:10" ht="15.75" outlineLevel="1">
      <c r="A1408" s="1416" t="s">
        <v>2475</v>
      </c>
      <c r="B1408" s="2926" t="s">
        <v>234</v>
      </c>
      <c r="C1408" s="4436" t="s">
        <v>235</v>
      </c>
      <c r="D1408" s="5946" t="s">
        <v>236</v>
      </c>
      <c r="E1408" s="7456" t="s">
        <v>32</v>
      </c>
      <c r="F1408" s="8966" t="s">
        <v>237</v>
      </c>
      <c r="G1408" s="10476" t="s">
        <v>15</v>
      </c>
      <c r="H1408" s="11986">
        <v>2</v>
      </c>
      <c r="I1408" s="13496" t="s">
        <v>16</v>
      </c>
      <c r="J1408" s="13600" t="str">
        <f>HYPERLINK("\\192.168.170.18\drawings\2-Basic Components\0000-310 - Sightglass\0000-310-005-A - Sightglass w.Wiper - DN200 PN0 - Welded.pdf", "PDF")</f>
        <v>PDF</v>
      </c>
    </row>
    <row r="1409" spans="1:10" ht="15.75" outlineLevel="1">
      <c r="A1409" s="1417" t="s">
        <v>2476</v>
      </c>
      <c r="B1409" s="2927" t="s">
        <v>239</v>
      </c>
      <c r="C1409" s="4437" t="s">
        <v>240</v>
      </c>
      <c r="D1409" s="5947"/>
      <c r="E1409" s="7457" t="s">
        <v>32</v>
      </c>
      <c r="F1409" s="8967" t="s">
        <v>241</v>
      </c>
      <c r="G1409" s="10477" t="s">
        <v>15</v>
      </c>
      <c r="H1409" s="11987">
        <v>52</v>
      </c>
      <c r="I1409" s="13497" t="s">
        <v>16</v>
      </c>
      <c r="J1409" s="13600" t="str">
        <f>HYPERLINK("\\192.168.170.18\drawings\2-Basic Components\0000-342 - Pipe Holders\0000-342-034-- - Pipe holder foot L=300.pdf", "PDF")</f>
        <v>PDF</v>
      </c>
    </row>
    <row r="1410" spans="1:10" ht="15.75" outlineLevel="1">
      <c r="A1410" s="1418" t="s">
        <v>2477</v>
      </c>
      <c r="B1410" s="2928" t="s">
        <v>251</v>
      </c>
      <c r="C1410" s="4438" t="s">
        <v>252</v>
      </c>
      <c r="D1410" s="5948" t="s">
        <v>253</v>
      </c>
      <c r="E1410" s="7458" t="s">
        <v>32</v>
      </c>
      <c r="F1410" s="8968" t="s">
        <v>254</v>
      </c>
      <c r="G1410" s="10478" t="s">
        <v>15</v>
      </c>
      <c r="H1410" s="11988">
        <v>1</v>
      </c>
      <c r="I1410" s="13498" t="s">
        <v>16</v>
      </c>
      <c r="J1410" s="13600" t="str">
        <f>HYPERLINK("\\192.168.170.18\drawings\2-Basic Components\0000-314 - Agitator\0000-314-504-A - Agitator Drive.pdf", "PDF")</f>
        <v>PDF</v>
      </c>
    </row>
    <row r="1411" spans="1:10" ht="15.75" outlineLevel="1">
      <c r="A1411" s="1419" t="s">
        <v>2478</v>
      </c>
      <c r="B1411" s="2929" t="s">
        <v>256</v>
      </c>
      <c r="C1411" s="4439" t="s">
        <v>257</v>
      </c>
      <c r="D1411" s="5949" t="s">
        <v>253</v>
      </c>
      <c r="E1411" s="7459" t="s">
        <v>25</v>
      </c>
      <c r="F1411" s="8969" t="s">
        <v>258</v>
      </c>
      <c r="G1411" s="10479" t="s">
        <v>15</v>
      </c>
      <c r="H1411" s="11989">
        <v>1</v>
      </c>
      <c r="I1411" s="13499" t="s">
        <v>16</v>
      </c>
      <c r="J1411" s="13600" t="str">
        <f>HYPERLINK("\\192.168.170.18\drawings\2-Basic Components\0000-314 - Agitator\0000-314-300-- - Agitator L=19152.pdf", "PDF")</f>
        <v>PDF</v>
      </c>
    </row>
    <row r="1412" spans="1:10" outlineLevel="1">
      <c r="A1412" s="1420" t="s">
        <v>2479</v>
      </c>
      <c r="B1412" s="2930" t="s">
        <v>260</v>
      </c>
      <c r="C1412" s="4440" t="s">
        <v>261</v>
      </c>
      <c r="D1412" s="5950"/>
      <c r="E1412" s="7460" t="s">
        <v>41</v>
      </c>
      <c r="F1412" s="8970" t="s">
        <v>262</v>
      </c>
      <c r="G1412" s="10480" t="s">
        <v>15</v>
      </c>
      <c r="H1412" s="11990">
        <v>1</v>
      </c>
      <c r="I1412" s="13500" t="s">
        <v>16</v>
      </c>
      <c r="J1412" t="s">
        <v>28</v>
      </c>
    </row>
    <row r="1413" spans="1:10" ht="15.75" outlineLevel="1">
      <c r="A1413" s="1421" t="s">
        <v>2480</v>
      </c>
      <c r="B1413" s="2931" t="s">
        <v>264</v>
      </c>
      <c r="C1413" s="4441" t="s">
        <v>265</v>
      </c>
      <c r="D1413" s="5951"/>
      <c r="E1413" s="7461" t="s">
        <v>32</v>
      </c>
      <c r="F1413" s="8971" t="s">
        <v>266</v>
      </c>
      <c r="G1413" s="10481" t="s">
        <v>15</v>
      </c>
      <c r="H1413" s="11991">
        <v>3</v>
      </c>
      <c r="I1413" s="13501" t="s">
        <v>16</v>
      </c>
      <c r="J1413" s="13600" t="str">
        <f>HYPERLINK("\\192.168.170.18\drawings\2-Basic Components\0000-301 - Tank Connection\0000-301-071-B - TC- Flange 15° DN50 PN10 L=170- BG.pdf", "PDF")</f>
        <v>PDF</v>
      </c>
    </row>
    <row r="1414" spans="1:10" outlineLevel="1">
      <c r="A1414" s="1422" t="s">
        <v>2481</v>
      </c>
      <c r="B1414" s="2932" t="s">
        <v>268</v>
      </c>
      <c r="C1414" s="4442" t="s">
        <v>269</v>
      </c>
      <c r="D1414" s="5952"/>
      <c r="E1414" s="7462" t="s">
        <v>41</v>
      </c>
      <c r="F1414" s="8972" t="s">
        <v>270</v>
      </c>
      <c r="G1414" s="10482" t="s">
        <v>15</v>
      </c>
      <c r="H1414" s="11992">
        <v>2</v>
      </c>
      <c r="I1414" s="13502" t="s">
        <v>16</v>
      </c>
      <c r="J1414" t="s">
        <v>28</v>
      </c>
    </row>
    <row r="1415" spans="1:10" outlineLevel="1">
      <c r="A1415" s="1423" t="s">
        <v>2482</v>
      </c>
      <c r="B1415" s="2933" t="s">
        <v>268</v>
      </c>
      <c r="C1415" s="4443" t="s">
        <v>272</v>
      </c>
      <c r="D1415" s="5953"/>
      <c r="E1415" s="7463" t="s">
        <v>41</v>
      </c>
      <c r="F1415" s="8973" t="s">
        <v>273</v>
      </c>
      <c r="G1415" s="10483" t="s">
        <v>15</v>
      </c>
      <c r="H1415" s="11993">
        <v>4</v>
      </c>
      <c r="I1415" s="13503" t="s">
        <v>16</v>
      </c>
      <c r="J1415" t="s">
        <v>28</v>
      </c>
    </row>
    <row r="1416" spans="1:10" outlineLevel="1">
      <c r="A1416" s="1424" t="s">
        <v>2483</v>
      </c>
      <c r="B1416" s="2934" t="s">
        <v>275</v>
      </c>
      <c r="C1416" s="4444" t="s">
        <v>276</v>
      </c>
      <c r="D1416" s="5954"/>
      <c r="E1416" s="7464" t="s">
        <v>41</v>
      </c>
      <c r="F1416" s="8974" t="s">
        <v>277</v>
      </c>
      <c r="G1416" s="10484" t="s">
        <v>15</v>
      </c>
      <c r="H1416" s="11994">
        <v>2</v>
      </c>
      <c r="I1416" s="13504" t="s">
        <v>16</v>
      </c>
      <c r="J1416" t="s">
        <v>28</v>
      </c>
    </row>
    <row r="1417" spans="1:10" outlineLevel="1">
      <c r="A1417" s="1425" t="s">
        <v>2484</v>
      </c>
      <c r="B1417" s="2935" t="s">
        <v>268</v>
      </c>
      <c r="C1417" s="4445" t="s">
        <v>279</v>
      </c>
      <c r="D1417" s="5955"/>
      <c r="E1417" s="7465" t="s">
        <v>41</v>
      </c>
      <c r="F1417" s="8975" t="s">
        <v>280</v>
      </c>
      <c r="G1417" s="10485" t="s">
        <v>15</v>
      </c>
      <c r="H1417" s="11995">
        <v>2</v>
      </c>
      <c r="I1417" s="13505" t="s">
        <v>16</v>
      </c>
      <c r="J1417" t="s">
        <v>28</v>
      </c>
    </row>
    <row r="1418" spans="1:10" ht="15.75" outlineLevel="1">
      <c r="A1418" s="1426" t="s">
        <v>2485</v>
      </c>
      <c r="B1418" s="2936" t="s">
        <v>282</v>
      </c>
      <c r="C1418" s="4446" t="s">
        <v>283</v>
      </c>
      <c r="D1418" s="5956"/>
      <c r="E1418" s="7466" t="s">
        <v>25</v>
      </c>
      <c r="F1418" s="8976" t="s">
        <v>284</v>
      </c>
      <c r="G1418" s="10486" t="s">
        <v>15</v>
      </c>
      <c r="H1418" s="11996">
        <v>1</v>
      </c>
      <c r="I1418" s="13506" t="s">
        <v>16</v>
      </c>
      <c r="J1418" s="13600" t="str">
        <f>HYPERLINK("\\192.168.170.18\drawings\2-Basic Components\0000-315 - Central Flange\0000-315-003-A - Trap DN500 - pressure = 35 mbar_vacuum = -3 mbar.pdf", "PDF")</f>
        <v>PDF</v>
      </c>
    </row>
    <row r="1419" spans="1:10" ht="15.75" outlineLevel="1">
      <c r="A1419" s="1427" t="s">
        <v>2486</v>
      </c>
      <c r="B1419" s="2937" t="s">
        <v>286</v>
      </c>
      <c r="C1419" s="4447" t="s">
        <v>287</v>
      </c>
      <c r="D1419" s="5957"/>
      <c r="E1419" s="7467" t="s">
        <v>32</v>
      </c>
      <c r="F1419" s="8977" t="s">
        <v>288</v>
      </c>
      <c r="G1419" s="10487" t="s">
        <v>15</v>
      </c>
      <c r="H1419" s="11997">
        <v>4</v>
      </c>
      <c r="I1419" s="13507" t="s">
        <v>16</v>
      </c>
      <c r="J1419" s="13600" t="str">
        <f>HYPERLINK("\\192.168.170.18\drawings\2-Basic Components\0000-301 - Tank Connection\0000-301-120-- - TC- Flange Elbow DN150 PN10 L=450 - BM.pdf", "PDF")</f>
        <v>PDF</v>
      </c>
    </row>
    <row r="1420" spans="1:10" ht="15.75" outlineLevel="1">
      <c r="A1420" s="1428" t="s">
        <v>2487</v>
      </c>
      <c r="B1420" s="2938" t="s">
        <v>290</v>
      </c>
      <c r="C1420" s="4448" t="s">
        <v>291</v>
      </c>
      <c r="D1420" s="5958"/>
      <c r="E1420" s="7468" t="s">
        <v>32</v>
      </c>
      <c r="F1420" s="8978" t="s">
        <v>292</v>
      </c>
      <c r="G1420" s="10488" t="s">
        <v>15</v>
      </c>
      <c r="H1420" s="11998">
        <v>1</v>
      </c>
      <c r="I1420" s="13508"/>
      <c r="J1420" s="13600" t="str">
        <f>HYPERLINK("\\192.168.170.18\drawings\2-Basic Components\0000-321 - Straight Connection\0000-321-106-- - Biomass - Straight Connection - DN100x6m.pdf", "PDF")</f>
        <v>PDF</v>
      </c>
    </row>
    <row r="1421" spans="1:10" ht="15.75" outlineLevel="1">
      <c r="A1421" s="1429" t="s">
        <v>2488</v>
      </c>
      <c r="B1421" s="2939" t="s">
        <v>294</v>
      </c>
      <c r="C1421" s="4449" t="s">
        <v>295</v>
      </c>
      <c r="D1421" s="5959"/>
      <c r="E1421" s="7469" t="s">
        <v>32</v>
      </c>
      <c r="F1421" s="8979" t="s">
        <v>296</v>
      </c>
      <c r="G1421" s="10489" t="s">
        <v>15</v>
      </c>
      <c r="H1421" s="11999">
        <v>4</v>
      </c>
      <c r="I1421" s="13509"/>
      <c r="J1421" s="13600" t="str">
        <f>HYPERLINK("\\192.168.170.18\drawings\2-Basic Components\0000-342 - Pipe Holders\0000-342-270-B - DN100 Pipeholder for bottom mounting.pdf", "PDF")</f>
        <v>PDF</v>
      </c>
    </row>
    <row r="1422" spans="1:10" ht="15.75" outlineLevel="1">
      <c r="A1422" s="1430" t="s">
        <v>2489</v>
      </c>
      <c r="B1422" s="2940" t="s">
        <v>298</v>
      </c>
      <c r="C1422" s="4450" t="s">
        <v>299</v>
      </c>
      <c r="D1422" s="5960"/>
      <c r="E1422" s="7470" t="s">
        <v>32</v>
      </c>
      <c r="F1422" s="8980" t="s">
        <v>300</v>
      </c>
      <c r="G1422" s="10490" t="s">
        <v>15</v>
      </c>
      <c r="H1422" s="12000">
        <v>2</v>
      </c>
      <c r="I1422" s="13510" t="s">
        <v>16</v>
      </c>
      <c r="J1422" s="13600" t="str">
        <f>HYPERLINK("\\192.168.170.18\drawings\2-Basic Components\0000-301 - Tank Connection\0000-301-119-- - TC- Flange DN150 PN10 L=330 - BM.pdf", "PDF")</f>
        <v>PDF</v>
      </c>
    </row>
    <row r="1423" spans="1:10" ht="15.75" outlineLevel="1">
      <c r="A1423" s="1431" t="s">
        <v>2490</v>
      </c>
      <c r="B1423" s="2941" t="s">
        <v>302</v>
      </c>
      <c r="C1423" s="4451" t="s">
        <v>303</v>
      </c>
      <c r="D1423" s="5961" t="s">
        <v>304</v>
      </c>
      <c r="E1423" s="7471" t="s">
        <v>32</v>
      </c>
      <c r="F1423" s="8981" t="s">
        <v>305</v>
      </c>
      <c r="G1423" s="10491" t="s">
        <v>15</v>
      </c>
      <c r="H1423" s="12001">
        <v>1</v>
      </c>
      <c r="I1423" s="13511" t="s">
        <v>16</v>
      </c>
      <c r="J1423" s="13600" t="str">
        <f>HYPERLINK("\\192.168.170.18\drawings\2-Basic Components\0000-321 - Straight Connection\0000-321-103-A - Outlet pipe DN100 - Biomass.pdf", "PDF")</f>
        <v>PDF</v>
      </c>
    </row>
    <row r="1424" spans="1:10" ht="15.75" outlineLevel="1">
      <c r="A1424" s="1432" t="s">
        <v>2491</v>
      </c>
      <c r="B1424" s="2942" t="s">
        <v>307</v>
      </c>
      <c r="C1424" s="4452" t="s">
        <v>308</v>
      </c>
      <c r="D1424" s="5962"/>
      <c r="E1424" s="7472" t="s">
        <v>32</v>
      </c>
      <c r="F1424" s="8982" t="s">
        <v>309</v>
      </c>
      <c r="G1424" s="10492" t="s">
        <v>15</v>
      </c>
      <c r="H1424" s="12002">
        <v>2</v>
      </c>
      <c r="I1424" s="13512" t="s">
        <v>16</v>
      </c>
      <c r="J1424" s="13600" t="str">
        <f>HYPERLINK("\\192.168.170.18\drawings\2-Basic Components\0000-301 - Tank Connection\0000-301-122-- - TC- Flange DN150 PN10 L=330 - BM.pdf", "PDF")</f>
        <v>PDF</v>
      </c>
    </row>
    <row r="1425" spans="1:10" outlineLevel="1">
      <c r="A1425" s="1433" t="s">
        <v>2492</v>
      </c>
      <c r="B1425" s="2943" t="s">
        <v>247</v>
      </c>
      <c r="C1425" s="4453" t="s">
        <v>311</v>
      </c>
      <c r="D1425" s="5963"/>
      <c r="E1425" s="7473" t="s">
        <v>25</v>
      </c>
      <c r="F1425" s="8983" t="s">
        <v>312</v>
      </c>
      <c r="G1425" s="10493" t="s">
        <v>27</v>
      </c>
      <c r="H1425" s="12003">
        <v>1</v>
      </c>
      <c r="I1425" s="13513"/>
      <c r="J1425" t="s">
        <v>28</v>
      </c>
    </row>
    <row r="1426" spans="1:10" ht="15.75" outlineLevel="1">
      <c r="A1426" s="1434" t="s">
        <v>2493</v>
      </c>
      <c r="B1426" s="2944" t="s">
        <v>314</v>
      </c>
      <c r="C1426" s="4454" t="s">
        <v>315</v>
      </c>
      <c r="D1426" s="5964"/>
      <c r="E1426" s="7474" t="s">
        <v>32</v>
      </c>
      <c r="F1426" s="8984" t="s">
        <v>316</v>
      </c>
      <c r="G1426" s="10494" t="s">
        <v>15</v>
      </c>
      <c r="H1426" s="12004">
        <v>1</v>
      </c>
      <c r="I1426" s="13514" t="s">
        <v>16</v>
      </c>
      <c r="J1426" s="13600" t="str">
        <f>HYPERLINK("\\192.168.170.18\drawings\2-Basic Components\0000-321 - Straight Connection\0000-321-109-- - Biomass - Straight Connection - DN100x6m.pdf", "PDF")</f>
        <v>PDF</v>
      </c>
    </row>
    <row r="1427" spans="1:10" ht="15.75" outlineLevel="1">
      <c r="A1427" s="1435" t="s">
        <v>2494</v>
      </c>
      <c r="B1427" s="2945" t="s">
        <v>318</v>
      </c>
      <c r="C1427" s="4455" t="s">
        <v>319</v>
      </c>
      <c r="D1427" s="5965"/>
      <c r="E1427" s="7475" t="s">
        <v>32</v>
      </c>
      <c r="F1427" s="8985" t="s">
        <v>320</v>
      </c>
      <c r="G1427" s="10495" t="s">
        <v>15</v>
      </c>
      <c r="H1427" s="12005">
        <v>4</v>
      </c>
      <c r="I1427" s="13515" t="s">
        <v>16</v>
      </c>
      <c r="J1427" s="13600" t="str">
        <f>HYPERLINK("\\192.168.170.18\drawings\2-Basic Components\0000-342 - Pipe Holders\0000-342-274-- - DN125 Pipeholder for bottom mounting.pdf", "PDF")</f>
        <v>PDF</v>
      </c>
    </row>
    <row r="1428" spans="1:10" ht="15.75" outlineLevel="1">
      <c r="A1428" s="1436" t="s">
        <v>2495</v>
      </c>
      <c r="B1428" s="2946" t="s">
        <v>322</v>
      </c>
      <c r="C1428" s="4456" t="s">
        <v>323</v>
      </c>
      <c r="D1428" s="5966"/>
      <c r="E1428" s="7476" t="s">
        <v>32</v>
      </c>
      <c r="F1428" s="8986" t="s">
        <v>324</v>
      </c>
      <c r="G1428" s="10496" t="s">
        <v>15</v>
      </c>
      <c r="H1428" s="12006">
        <v>3</v>
      </c>
      <c r="I1428" s="13516" t="s">
        <v>16</v>
      </c>
      <c r="J1428" s="13600" t="str">
        <f>HYPERLINK("\\192.168.170.18\drawings\2-Basic Components\0000-301 - Tank Connection\0000-301-123-- - TC- Flange Elbow DN200 PN10 L=450 - BM.pdf", "PDF")</f>
        <v>PDF</v>
      </c>
    </row>
    <row r="1429" spans="1:10" ht="15.75" outlineLevel="1">
      <c r="A1429" s="1437" t="s">
        <v>2496</v>
      </c>
      <c r="B1429" s="2947" t="s">
        <v>326</v>
      </c>
      <c r="C1429" s="4457" t="s">
        <v>327</v>
      </c>
      <c r="D1429" s="5967"/>
      <c r="E1429" s="7477" t="s">
        <v>32</v>
      </c>
      <c r="F1429" s="8987" t="s">
        <v>328</v>
      </c>
      <c r="G1429" s="10497" t="s">
        <v>15</v>
      </c>
      <c r="H1429" s="12007">
        <v>6</v>
      </c>
      <c r="I1429" s="13517" t="s">
        <v>16</v>
      </c>
      <c r="J1429" s="13600" t="str">
        <f>HYPERLINK("\\192.168.170.18\drawings\2-Basic Components\0000-301 - Tank Connection\0000-301-124-- - TC- Flange DN200 PN10 L=330 - BM.pdf", "PDF")</f>
        <v>PDF</v>
      </c>
    </row>
    <row r="1430" spans="1:10" ht="15.75" outlineLevel="1">
      <c r="A1430" s="1438" t="s">
        <v>2497</v>
      </c>
      <c r="B1430" s="2948" t="s">
        <v>330</v>
      </c>
      <c r="C1430" s="4458" t="s">
        <v>331</v>
      </c>
      <c r="D1430" s="5968"/>
      <c r="E1430" s="7478" t="s">
        <v>32</v>
      </c>
      <c r="F1430" s="8988" t="s">
        <v>332</v>
      </c>
      <c r="G1430" s="10498" t="s">
        <v>15</v>
      </c>
      <c r="H1430" s="12008">
        <v>3</v>
      </c>
      <c r="I1430" s="13518" t="s">
        <v>16</v>
      </c>
      <c r="J1430" s="13600" t="str">
        <f>HYPERLINK("\\192.168.170.18\drawings\2-Basic Components\0000-321 - Straight Connection\0000-321-157-- - Biomass - Straigth Connection - DN200x6m.pdf", "PDF")</f>
        <v>PDF</v>
      </c>
    </row>
    <row r="1431" spans="1:10" outlineLevel="1">
      <c r="A1431" s="1439" t="s">
        <v>2498</v>
      </c>
      <c r="B1431" s="2949" t="s">
        <v>334</v>
      </c>
      <c r="C1431" s="4459" t="s">
        <v>335</v>
      </c>
      <c r="D1431" s="5969"/>
      <c r="E1431" s="7479" t="s">
        <v>32</v>
      </c>
      <c r="F1431" s="8989" t="s">
        <v>336</v>
      </c>
      <c r="G1431" s="10499" t="s">
        <v>15</v>
      </c>
      <c r="H1431" s="12009">
        <v>12</v>
      </c>
      <c r="I1431" s="13519" t="s">
        <v>16</v>
      </c>
      <c r="J1431" t="s">
        <v>28</v>
      </c>
    </row>
    <row r="1432" spans="1:10" ht="15.75" outlineLevel="1">
      <c r="A1432" s="1440" t="s">
        <v>2499</v>
      </c>
      <c r="B1432" s="2950" t="s">
        <v>344</v>
      </c>
      <c r="C1432" s="4460" t="s">
        <v>345</v>
      </c>
      <c r="D1432" s="5970" t="s">
        <v>346</v>
      </c>
      <c r="E1432" s="7480" t="s">
        <v>32</v>
      </c>
      <c r="F1432" s="8990" t="s">
        <v>347</v>
      </c>
      <c r="G1432" s="10500" t="s">
        <v>15</v>
      </c>
      <c r="H1432" s="12010">
        <v>1</v>
      </c>
      <c r="I1432" s="13520" t="s">
        <v>16</v>
      </c>
      <c r="J1432" s="13600" t="str">
        <f>HYPERLINK("\\192.168.170.18\drawings\2-Basic Components\0000-315 - Central Flange\0000-315-005-A - Central flange 5200 - DN250 assembly.pdf", "PDF")</f>
        <v>PDF</v>
      </c>
    </row>
    <row r="1433" spans="1:10" ht="15.75" outlineLevel="1">
      <c r="A1433" s="1441" t="s">
        <v>2500</v>
      </c>
      <c r="B1433" s="2951" t="s">
        <v>349</v>
      </c>
      <c r="C1433" s="4461" t="s">
        <v>350</v>
      </c>
      <c r="D1433" s="5971" t="s">
        <v>304</v>
      </c>
      <c r="E1433" s="7481" t="s">
        <v>32</v>
      </c>
      <c r="F1433" s="8991" t="s">
        <v>351</v>
      </c>
      <c r="G1433" s="10501" t="s">
        <v>15</v>
      </c>
      <c r="H1433" s="12011">
        <v>3</v>
      </c>
      <c r="I1433" s="13521" t="s">
        <v>16</v>
      </c>
      <c r="J1433" s="13600" t="str">
        <f>HYPERLINK("\\192.168.170.18\drawings\2-Basic Components\0000-321 - Straight Connection\0000-321-158-A - Outlet Pipe DN200 - Biomass.pdf", "PDF")</f>
        <v>PDF</v>
      </c>
    </row>
    <row r="1434" spans="1:10" ht="15.75" outlineLevel="1">
      <c r="A1434" s="1442" t="s">
        <v>2501</v>
      </c>
      <c r="B1434" s="2952" t="s">
        <v>353</v>
      </c>
      <c r="C1434" s="4462" t="s">
        <v>354</v>
      </c>
      <c r="D1434" s="5972" t="s">
        <v>304</v>
      </c>
      <c r="E1434" s="7482" t="s">
        <v>32</v>
      </c>
      <c r="F1434" s="8992" t="s">
        <v>355</v>
      </c>
      <c r="G1434" s="10502" t="s">
        <v>15</v>
      </c>
      <c r="H1434" s="12012">
        <v>1</v>
      </c>
      <c r="I1434" s="13522" t="s">
        <v>16</v>
      </c>
      <c r="J1434" s="13600" t="str">
        <f>HYPERLINK("\\192.168.170.18\drawings\2-Basic Components\0000-321 - Straight Connection\0000-321-108-A - Outlet pipe DN125 - Biomass.pdf", "PDF")</f>
        <v>PDF</v>
      </c>
    </row>
    <row r="1435" spans="1:10" outlineLevel="1">
      <c r="A1435" s="1443" t="s">
        <v>2502</v>
      </c>
      <c r="B1435" s="2953" t="s">
        <v>357</v>
      </c>
      <c r="C1435" s="4463" t="s">
        <v>358</v>
      </c>
      <c r="D1435" s="5973" t="s">
        <v>359</v>
      </c>
      <c r="E1435" s="7483" t="s">
        <v>32</v>
      </c>
      <c r="F1435" s="8993" t="s">
        <v>360</v>
      </c>
      <c r="G1435" s="10503" t="s">
        <v>15</v>
      </c>
      <c r="H1435" s="12013">
        <v>2</v>
      </c>
      <c r="I1435" s="13523" t="s">
        <v>16</v>
      </c>
      <c r="J1435" t="s">
        <v>28</v>
      </c>
    </row>
    <row r="1436" spans="1:10" outlineLevel="1">
      <c r="A1436" s="1444" t="s">
        <v>2503</v>
      </c>
      <c r="B1436" s="2954" t="s">
        <v>357</v>
      </c>
      <c r="C1436" s="4464" t="s">
        <v>362</v>
      </c>
      <c r="D1436" s="5974" t="s">
        <v>363</v>
      </c>
      <c r="E1436" s="7484" t="s">
        <v>128</v>
      </c>
      <c r="F1436" s="8994" t="s">
        <v>364</v>
      </c>
      <c r="G1436" s="10504" t="s">
        <v>15</v>
      </c>
      <c r="H1436" s="12014">
        <v>2</v>
      </c>
      <c r="I1436" s="13524" t="s">
        <v>16</v>
      </c>
      <c r="J1436" t="s">
        <v>28</v>
      </c>
    </row>
    <row r="1437" spans="1:10" outlineLevel="1">
      <c r="A1437" s="1445" t="s">
        <v>2504</v>
      </c>
      <c r="B1437" s="2955" t="s">
        <v>357</v>
      </c>
      <c r="C1437" s="4465" t="s">
        <v>366</v>
      </c>
      <c r="D1437" s="5975" t="s">
        <v>367</v>
      </c>
      <c r="E1437" s="7485" t="s">
        <v>32</v>
      </c>
      <c r="F1437" s="8995" t="s">
        <v>368</v>
      </c>
      <c r="G1437" s="10505" t="s">
        <v>15</v>
      </c>
      <c r="H1437" s="12015">
        <v>4</v>
      </c>
      <c r="I1437" s="13525" t="s">
        <v>16</v>
      </c>
      <c r="J1437" t="s">
        <v>28</v>
      </c>
    </row>
    <row r="1438" spans="1:10" outlineLevel="1">
      <c r="A1438" s="1446" t="s">
        <v>2505</v>
      </c>
      <c r="B1438" s="2956" t="s">
        <v>357</v>
      </c>
      <c r="C1438" s="4466" t="s">
        <v>370</v>
      </c>
      <c r="D1438" s="5976"/>
      <c r="E1438" s="7486" t="s">
        <v>32</v>
      </c>
      <c r="F1438" s="8996" t="s">
        <v>371</v>
      </c>
      <c r="G1438" s="10506" t="s">
        <v>15</v>
      </c>
      <c r="H1438" s="12016">
        <v>2</v>
      </c>
      <c r="I1438" s="13526" t="s">
        <v>16</v>
      </c>
      <c r="J1438" t="s">
        <v>28</v>
      </c>
    </row>
    <row r="1439" spans="1:10" outlineLevel="1">
      <c r="A1439" s="1447" t="s">
        <v>2506</v>
      </c>
      <c r="B1439" s="2957" t="s">
        <v>357</v>
      </c>
      <c r="C1439" s="4467" t="s">
        <v>373</v>
      </c>
      <c r="D1439" s="5977"/>
      <c r="E1439" s="7487" t="s">
        <v>32</v>
      </c>
      <c r="F1439" s="8997" t="s">
        <v>374</v>
      </c>
      <c r="G1439" s="10507" t="s">
        <v>15</v>
      </c>
      <c r="H1439" s="12017">
        <v>4</v>
      </c>
      <c r="I1439" s="13527" t="s">
        <v>16</v>
      </c>
      <c r="J1439" t="s">
        <v>28</v>
      </c>
    </row>
    <row r="1440" spans="1:10" outlineLevel="1">
      <c r="A1440" s="1448" t="s">
        <v>2507</v>
      </c>
      <c r="B1440" s="2958" t="s">
        <v>247</v>
      </c>
      <c r="C1440" s="4468" t="s">
        <v>311</v>
      </c>
      <c r="D1440" s="5978"/>
      <c r="E1440" s="7488" t="s">
        <v>83</v>
      </c>
      <c r="F1440" s="8998" t="s">
        <v>376</v>
      </c>
      <c r="G1440" s="10508" t="s">
        <v>27</v>
      </c>
      <c r="H1440" s="12018">
        <v>4</v>
      </c>
      <c r="I1440" s="13528"/>
      <c r="J1440" t="s">
        <v>28</v>
      </c>
    </row>
    <row r="1441" spans="1:10" outlineLevel="1">
      <c r="A1441" s="1449" t="s">
        <v>2508</v>
      </c>
      <c r="B1441" s="2959" t="s">
        <v>247</v>
      </c>
      <c r="C1441" s="4469" t="s">
        <v>248</v>
      </c>
      <c r="D1441" s="5979"/>
      <c r="E1441" s="7489" t="s">
        <v>32</v>
      </c>
      <c r="F1441" s="8999" t="s">
        <v>249</v>
      </c>
      <c r="G1441" s="10509" t="s">
        <v>27</v>
      </c>
      <c r="H1441" s="12019">
        <v>2</v>
      </c>
      <c r="I1441" s="13529"/>
      <c r="J1441" t="s">
        <v>28</v>
      </c>
    </row>
    <row r="1442" spans="1:10" outlineLevel="1">
      <c r="A1442" s="1450" t="s">
        <v>2509</v>
      </c>
      <c r="B1442" s="2960" t="s">
        <v>247</v>
      </c>
      <c r="C1442" s="4470" t="s">
        <v>378</v>
      </c>
      <c r="D1442" s="5980"/>
      <c r="E1442" s="7490" t="s">
        <v>32</v>
      </c>
      <c r="F1442" s="9000" t="s">
        <v>379</v>
      </c>
      <c r="G1442" s="10510" t="s">
        <v>27</v>
      </c>
      <c r="H1442" s="12020">
        <v>2</v>
      </c>
      <c r="I1442" s="13530"/>
      <c r="J1442" t="s">
        <v>28</v>
      </c>
    </row>
    <row r="1443" spans="1:10" outlineLevel="1">
      <c r="A1443" s="1451" t="s">
        <v>2510</v>
      </c>
      <c r="B1443" s="2961" t="s">
        <v>357</v>
      </c>
      <c r="C1443" s="4471" t="s">
        <v>381</v>
      </c>
      <c r="D1443" s="5981" t="s">
        <v>382</v>
      </c>
      <c r="E1443" s="7491" t="s">
        <v>32</v>
      </c>
      <c r="F1443" s="9001" t="s">
        <v>383</v>
      </c>
      <c r="G1443" s="10511" t="s">
        <v>15</v>
      </c>
      <c r="H1443" s="12021">
        <v>2</v>
      </c>
      <c r="I1443" s="13531" t="s">
        <v>16</v>
      </c>
      <c r="J1443" t="s">
        <v>28</v>
      </c>
    </row>
    <row r="1444" spans="1:10" outlineLevel="1">
      <c r="A1444" s="1452" t="s">
        <v>2511</v>
      </c>
      <c r="B1444" s="2962" t="s">
        <v>247</v>
      </c>
      <c r="C1444" s="4472" t="s">
        <v>385</v>
      </c>
      <c r="D1444" s="5982" t="s">
        <v>386</v>
      </c>
      <c r="E1444" s="7492" t="s">
        <v>25</v>
      </c>
      <c r="F1444" s="9002" t="s">
        <v>387</v>
      </c>
      <c r="G1444" s="10512" t="s">
        <v>27</v>
      </c>
      <c r="H1444" s="12022">
        <v>2</v>
      </c>
      <c r="I1444" s="13532" t="s">
        <v>16</v>
      </c>
      <c r="J1444" t="s">
        <v>28</v>
      </c>
    </row>
    <row r="1445" spans="1:10" outlineLevel="1">
      <c r="A1445" s="1453" t="s">
        <v>2512</v>
      </c>
      <c r="B1445" s="2963" t="s">
        <v>2513</v>
      </c>
      <c r="C1445" s="4473" t="s">
        <v>488</v>
      </c>
      <c r="D1445" s="5983" t="s">
        <v>340</v>
      </c>
      <c r="E1445" s="7493" t="s">
        <v>341</v>
      </c>
      <c r="F1445" s="9003" t="s">
        <v>2514</v>
      </c>
      <c r="G1445" s="10513" t="s">
        <v>15</v>
      </c>
      <c r="H1445" s="12023">
        <v>1</v>
      </c>
      <c r="I1445" s="13533" t="s">
        <v>16</v>
      </c>
      <c r="J1445" t="s">
        <v>28</v>
      </c>
    </row>
    <row r="1446" spans="1:10">
      <c r="A1446" s="1454" t="s">
        <v>2515</v>
      </c>
      <c r="B1446" s="2964" t="s">
        <v>2516</v>
      </c>
      <c r="C1446" s="4474" t="s">
        <v>152</v>
      </c>
      <c r="D1446" s="5984" t="s">
        <v>13</v>
      </c>
      <c r="E1446" s="7494" t="s">
        <v>153</v>
      </c>
      <c r="F1446" s="9004" t="s">
        <v>2517</v>
      </c>
      <c r="G1446" s="10514" t="s">
        <v>15</v>
      </c>
      <c r="H1446" s="12024">
        <v>1</v>
      </c>
      <c r="I1446" s="13534" t="s">
        <v>16</v>
      </c>
      <c r="J1446" t="s">
        <v>28</v>
      </c>
    </row>
    <row r="1447" spans="1:10" ht="15.75">
      <c r="A1447" s="1455" t="s">
        <v>2518</v>
      </c>
      <c r="B1447" s="2965" t="s">
        <v>2519</v>
      </c>
      <c r="C1447" s="4475" t="s">
        <v>157</v>
      </c>
      <c r="D1447" s="5985" t="s">
        <v>2520</v>
      </c>
      <c r="E1447" s="7495"/>
      <c r="F1447" s="9005" t="s">
        <v>2521</v>
      </c>
      <c r="G1447" s="10515" t="s">
        <v>15</v>
      </c>
      <c r="H1447" s="12025">
        <v>1</v>
      </c>
      <c r="I1447" s="13535" t="s">
        <v>16</v>
      </c>
      <c r="J1447" s="13600" t="str">
        <f>HYPERLINK("\\192.168.170.18\drawings\5-Projects\2500 - Aabenraa\Area 04 - Digester Area\Eqiupment\2500-615 Digester\2500-615-005-- - Digester - Assembly - 9500m³.pdf", "PDF")</f>
        <v>PDF</v>
      </c>
    </row>
    <row r="1448" spans="1:10" ht="15.75" outlineLevel="1">
      <c r="A1448" s="1456" t="s">
        <v>2522</v>
      </c>
      <c r="B1448" s="2966" t="s">
        <v>2523</v>
      </c>
      <c r="C1448" s="4476" t="s">
        <v>161</v>
      </c>
      <c r="D1448" s="5986" t="s">
        <v>2524</v>
      </c>
      <c r="E1448" s="7496"/>
      <c r="F1448" s="9006" t="s">
        <v>2525</v>
      </c>
      <c r="G1448" s="10516" t="s">
        <v>15</v>
      </c>
      <c r="H1448" s="12026">
        <v>1</v>
      </c>
      <c r="I1448" s="13536" t="s">
        <v>16</v>
      </c>
      <c r="J1448" s="13600" t="str">
        <f>HYPERLINK("\\192.168.170.18\drawings\5-Projects\2500 - Aabenraa\Area 04 - Digester Area\Eqiupment\2500-615 Digester\2500-615-905-- - Digester 9500m³.pdf", "PDF")</f>
        <v>PDF</v>
      </c>
    </row>
    <row r="1449" spans="1:10" outlineLevel="2">
      <c r="A1449" s="1457" t="s">
        <v>2526</v>
      </c>
      <c r="B1449" s="2967" t="s">
        <v>2527</v>
      </c>
      <c r="C1449" s="4477" t="s">
        <v>166</v>
      </c>
      <c r="D1449" s="5987"/>
      <c r="E1449" s="7497" t="s">
        <v>32</v>
      </c>
      <c r="F1449" s="9007" t="s">
        <v>2528</v>
      </c>
      <c r="G1449" s="10517" t="s">
        <v>15</v>
      </c>
      <c r="H1449" s="12027">
        <v>1</v>
      </c>
      <c r="I1449" s="13537" t="s">
        <v>16</v>
      </c>
      <c r="J1449" t="s">
        <v>28</v>
      </c>
    </row>
    <row r="1450" spans="1:10" outlineLevel="2">
      <c r="A1450" s="1458" t="s">
        <v>2529</v>
      </c>
      <c r="B1450" s="2968" t="s">
        <v>2530</v>
      </c>
      <c r="C1450" s="4478" t="s">
        <v>170</v>
      </c>
      <c r="D1450" s="5988"/>
      <c r="E1450" s="7498" t="s">
        <v>32</v>
      </c>
      <c r="F1450" s="9008" t="s">
        <v>2531</v>
      </c>
      <c r="G1450" s="10518" t="s">
        <v>15</v>
      </c>
      <c r="H1450" s="12028">
        <v>1</v>
      </c>
      <c r="I1450" s="13538" t="s">
        <v>16</v>
      </c>
      <c r="J1450" t="s">
        <v>28</v>
      </c>
    </row>
    <row r="1451" spans="1:10" outlineLevel="2">
      <c r="A1451" s="1459" t="s">
        <v>2532</v>
      </c>
      <c r="B1451" s="2969" t="s">
        <v>2533</v>
      </c>
      <c r="C1451" s="4479" t="s">
        <v>174</v>
      </c>
      <c r="D1451" s="5989"/>
      <c r="E1451" s="7499" t="s">
        <v>41</v>
      </c>
      <c r="F1451" s="9009" t="s">
        <v>2534</v>
      </c>
      <c r="G1451" s="10519" t="s">
        <v>15</v>
      </c>
      <c r="H1451" s="12029">
        <v>1</v>
      </c>
      <c r="I1451" s="13539" t="s">
        <v>16</v>
      </c>
      <c r="J1451" t="s">
        <v>28</v>
      </c>
    </row>
    <row r="1452" spans="1:10" outlineLevel="2">
      <c r="A1452" s="1460" t="s">
        <v>2535</v>
      </c>
      <c r="B1452" s="2970" t="s">
        <v>2536</v>
      </c>
      <c r="C1452" s="4480" t="s">
        <v>178</v>
      </c>
      <c r="D1452" s="5990"/>
      <c r="E1452" s="7500" t="s">
        <v>32</v>
      </c>
      <c r="F1452" s="9010" t="s">
        <v>2537</v>
      </c>
      <c r="G1452" s="10520" t="s">
        <v>15</v>
      </c>
      <c r="H1452" s="12030">
        <v>1</v>
      </c>
      <c r="I1452" s="13540" t="s">
        <v>16</v>
      </c>
      <c r="J1452" t="s">
        <v>28</v>
      </c>
    </row>
    <row r="1453" spans="1:10" outlineLevel="2">
      <c r="A1453" s="1461" t="s">
        <v>2538</v>
      </c>
      <c r="B1453" s="2971" t="s">
        <v>2539</v>
      </c>
      <c r="C1453" s="4481"/>
      <c r="D1453" s="5991"/>
      <c r="E1453" s="7501" t="s">
        <v>182</v>
      </c>
      <c r="F1453" s="9011" t="s">
        <v>2540</v>
      </c>
      <c r="G1453" s="10521" t="s">
        <v>15</v>
      </c>
      <c r="H1453" s="12031">
        <v>1</v>
      </c>
      <c r="I1453" s="13541" t="s">
        <v>16</v>
      </c>
      <c r="J1453" t="s">
        <v>28</v>
      </c>
    </row>
    <row r="1454" spans="1:10" outlineLevel="2">
      <c r="A1454" s="1462" t="s">
        <v>2541</v>
      </c>
      <c r="B1454" s="2972" t="s">
        <v>2542</v>
      </c>
      <c r="C1454" s="4482" t="s">
        <v>186</v>
      </c>
      <c r="D1454" s="5992"/>
      <c r="E1454" s="7502" t="s">
        <v>32</v>
      </c>
      <c r="F1454" s="9012" t="s">
        <v>2543</v>
      </c>
      <c r="G1454" s="10522" t="s">
        <v>15</v>
      </c>
      <c r="H1454" s="12032">
        <v>1</v>
      </c>
      <c r="I1454" s="13542" t="s">
        <v>16</v>
      </c>
      <c r="J1454" t="s">
        <v>28</v>
      </c>
    </row>
    <row r="1455" spans="1:10" outlineLevel="1">
      <c r="A1455" s="1463" t="s">
        <v>2544</v>
      </c>
      <c r="B1455" s="2973" t="s">
        <v>81</v>
      </c>
      <c r="C1455" s="4483" t="s">
        <v>82</v>
      </c>
      <c r="D1455" s="5993"/>
      <c r="E1455" s="7503" t="s">
        <v>83</v>
      </c>
      <c r="F1455" s="9013" t="s">
        <v>84</v>
      </c>
      <c r="G1455" s="10523" t="s">
        <v>27</v>
      </c>
      <c r="H1455" s="12033">
        <v>2</v>
      </c>
      <c r="I1455" s="13543"/>
      <c r="J1455" t="s">
        <v>28</v>
      </c>
    </row>
    <row r="1456" spans="1:10" outlineLevel="1">
      <c r="A1456" s="1464" t="s">
        <v>2545</v>
      </c>
      <c r="B1456" s="2974" t="s">
        <v>190</v>
      </c>
      <c r="C1456" s="4484" t="s">
        <v>191</v>
      </c>
      <c r="D1456" s="5994"/>
      <c r="E1456" s="7504" t="s">
        <v>16</v>
      </c>
      <c r="F1456" s="9014" t="s">
        <v>192</v>
      </c>
      <c r="G1456" s="10524" t="s">
        <v>27</v>
      </c>
      <c r="H1456" s="12034">
        <v>1</v>
      </c>
      <c r="I1456" s="13544"/>
      <c r="J1456" t="s">
        <v>28</v>
      </c>
    </row>
    <row r="1457" spans="1:10" outlineLevel="1">
      <c r="A1457" s="1465" t="s">
        <v>2546</v>
      </c>
      <c r="B1457" s="2975" t="s">
        <v>194</v>
      </c>
      <c r="C1457" s="4485" t="s">
        <v>195</v>
      </c>
      <c r="D1457" s="5995"/>
      <c r="E1457" s="7505" t="s">
        <v>16</v>
      </c>
      <c r="F1457" s="9015" t="s">
        <v>196</v>
      </c>
      <c r="G1457" s="10525" t="s">
        <v>27</v>
      </c>
      <c r="H1457" s="12035">
        <v>2</v>
      </c>
      <c r="I1457" s="13545"/>
      <c r="J1457" t="s">
        <v>28</v>
      </c>
    </row>
    <row r="1458" spans="1:10" outlineLevel="1">
      <c r="A1458" s="1466" t="s">
        <v>2547</v>
      </c>
      <c r="B1458" s="2976" t="s">
        <v>81</v>
      </c>
      <c r="C1458" s="4486" t="s">
        <v>198</v>
      </c>
      <c r="D1458" s="5996"/>
      <c r="E1458" s="7506" t="s">
        <v>32</v>
      </c>
      <c r="F1458" s="9016" t="s">
        <v>199</v>
      </c>
      <c r="G1458" s="10526" t="s">
        <v>15</v>
      </c>
      <c r="H1458" s="12036">
        <v>2</v>
      </c>
      <c r="I1458" s="13546"/>
      <c r="J1458" t="s">
        <v>28</v>
      </c>
    </row>
    <row r="1459" spans="1:10" outlineLevel="1">
      <c r="A1459" s="1467" t="s">
        <v>2548</v>
      </c>
      <c r="B1459" s="2977" t="s">
        <v>201</v>
      </c>
      <c r="C1459" s="4487" t="s">
        <v>202</v>
      </c>
      <c r="D1459" s="5997"/>
      <c r="E1459" s="7507" t="s">
        <v>203</v>
      </c>
      <c r="F1459" s="9017" t="s">
        <v>204</v>
      </c>
      <c r="G1459" s="10527" t="s">
        <v>27</v>
      </c>
      <c r="H1459" s="12037">
        <v>3</v>
      </c>
      <c r="I1459" s="13547" t="s">
        <v>16</v>
      </c>
      <c r="J1459" t="s">
        <v>28</v>
      </c>
    </row>
    <row r="1460" spans="1:10" outlineLevel="1">
      <c r="A1460" s="1468" t="s">
        <v>2549</v>
      </c>
      <c r="B1460" s="2978" t="s">
        <v>206</v>
      </c>
      <c r="C1460" s="4488" t="s">
        <v>207</v>
      </c>
      <c r="D1460" s="5998"/>
      <c r="E1460" s="7508" t="s">
        <v>208</v>
      </c>
      <c r="F1460" s="9018" t="s">
        <v>209</v>
      </c>
      <c r="G1460" s="10528" t="s">
        <v>27</v>
      </c>
      <c r="H1460" s="12038">
        <v>2</v>
      </c>
      <c r="I1460" s="13548" t="s">
        <v>16</v>
      </c>
      <c r="J1460" t="s">
        <v>28</v>
      </c>
    </row>
    <row r="1461" spans="1:10" outlineLevel="1">
      <c r="A1461" s="1469" t="s">
        <v>2550</v>
      </c>
      <c r="B1461" s="2979" t="s">
        <v>247</v>
      </c>
      <c r="C1461" s="4489" t="s">
        <v>444</v>
      </c>
      <c r="D1461" s="5999" t="s">
        <v>445</v>
      </c>
      <c r="E1461" s="7509" t="s">
        <v>25</v>
      </c>
      <c r="F1461" s="9019" t="s">
        <v>446</v>
      </c>
      <c r="G1461" s="10529" t="s">
        <v>27</v>
      </c>
      <c r="H1461" s="12039">
        <v>3</v>
      </c>
      <c r="I1461" s="13549" t="s">
        <v>16</v>
      </c>
      <c r="J1461" t="s">
        <v>28</v>
      </c>
    </row>
    <row r="1462" spans="1:10" ht="15.75" outlineLevel="1">
      <c r="A1462" s="1470" t="s">
        <v>2551</v>
      </c>
      <c r="B1462" s="2980" t="s">
        <v>211</v>
      </c>
      <c r="C1462" s="4490" t="s">
        <v>212</v>
      </c>
      <c r="D1462" s="6000"/>
      <c r="E1462" s="7510" t="s">
        <v>32</v>
      </c>
      <c r="F1462" s="9020" t="s">
        <v>213</v>
      </c>
      <c r="G1462" s="10530" t="s">
        <v>15</v>
      </c>
      <c r="H1462" s="12040">
        <v>2</v>
      </c>
      <c r="I1462" s="13550" t="s">
        <v>16</v>
      </c>
      <c r="J1462" s="13600" t="str">
        <f>HYPERLINK("\\192.168.170.18\drawings\2-Basic Components\0000-301 - Tank Connection\0000-301-038-A - TC- Flange DN40 - 1½'' L=200- BM.pdf", "PDF")</f>
        <v>PDF</v>
      </c>
    </row>
    <row r="1463" spans="1:10" ht="15.75" outlineLevel="1">
      <c r="A1463" s="1471" t="s">
        <v>2552</v>
      </c>
      <c r="B1463" s="2981" t="s">
        <v>215</v>
      </c>
      <c r="C1463" s="4491" t="s">
        <v>216</v>
      </c>
      <c r="D1463" s="6001"/>
      <c r="E1463" s="7511" t="s">
        <v>32</v>
      </c>
      <c r="F1463" s="9021" t="s">
        <v>217</v>
      </c>
      <c r="G1463" s="10531" t="s">
        <v>15</v>
      </c>
      <c r="H1463" s="12041">
        <v>3</v>
      </c>
      <c r="I1463" s="13551" t="s">
        <v>16</v>
      </c>
      <c r="J1463" s="13600" t="str">
        <f>HYPERLINK("\\192.168.170.18\drawings\2-Basic Components\0000-301 - Tank Connection\0000-301-037-- - TC- Socket DN15-½'' L=168- BM.pdf", "PDF")</f>
        <v>PDF</v>
      </c>
    </row>
    <row r="1464" spans="1:10" ht="15.75" outlineLevel="1">
      <c r="A1464" s="1472" t="s">
        <v>2553</v>
      </c>
      <c r="B1464" s="2982" t="s">
        <v>219</v>
      </c>
      <c r="C1464" s="4492" t="s">
        <v>220</v>
      </c>
      <c r="D1464" s="6002"/>
      <c r="E1464" s="7512" t="s">
        <v>32</v>
      </c>
      <c r="F1464" s="9022" t="s">
        <v>221</v>
      </c>
      <c r="G1464" s="10532" t="s">
        <v>15</v>
      </c>
      <c r="H1464" s="12042">
        <v>3</v>
      </c>
      <c r="I1464" s="13552" t="s">
        <v>16</v>
      </c>
      <c r="J1464" s="13600" t="str">
        <f>HYPERLINK("\\192.168.170.18\drawings\2-Basic Components\0000-301 - Tank Connection\0000-301-001-A - TC - Nipple DN15 - ½'' L=40- BG.pdf", "PDF")</f>
        <v>PDF</v>
      </c>
    </row>
    <row r="1465" spans="1:10" ht="15.75" outlineLevel="1">
      <c r="A1465" s="1473" t="s">
        <v>2554</v>
      </c>
      <c r="B1465" s="2983" t="s">
        <v>223</v>
      </c>
      <c r="C1465" s="4493" t="s">
        <v>224</v>
      </c>
      <c r="D1465" s="6003"/>
      <c r="E1465" s="7513" t="s">
        <v>32</v>
      </c>
      <c r="F1465" s="9023" t="s">
        <v>225</v>
      </c>
      <c r="G1465" s="10533" t="s">
        <v>15</v>
      </c>
      <c r="H1465" s="12043">
        <v>17</v>
      </c>
      <c r="I1465" s="13553" t="s">
        <v>16</v>
      </c>
      <c r="J1465" s="13600" t="str">
        <f>HYPERLINK("\\192.168.170.18\drawings\2-Basic Components\0000-342 - Pipe Holders\0000-342-022-- - Pipe holder foot L=400.pdf", "PDF")</f>
        <v>PDF</v>
      </c>
    </row>
    <row r="1466" spans="1:10" outlineLevel="1">
      <c r="A1466" s="1474" t="s">
        <v>2555</v>
      </c>
      <c r="B1466" s="2984" t="s">
        <v>227</v>
      </c>
      <c r="C1466" s="4494" t="s">
        <v>228</v>
      </c>
      <c r="D1466" s="6004"/>
      <c r="E1466" s="7514" t="s">
        <v>32</v>
      </c>
      <c r="F1466" s="9024" t="s">
        <v>229</v>
      </c>
      <c r="G1466" s="10534" t="s">
        <v>15</v>
      </c>
      <c r="H1466" s="12044">
        <v>1</v>
      </c>
      <c r="I1466" s="13554" t="s">
        <v>16</v>
      </c>
      <c r="J1466" t="s">
        <v>28</v>
      </c>
    </row>
    <row r="1467" spans="1:10" outlineLevel="1">
      <c r="A1467" s="1475" t="s">
        <v>2556</v>
      </c>
      <c r="B1467" s="2985" t="s">
        <v>227</v>
      </c>
      <c r="C1467" s="4495" t="s">
        <v>231</v>
      </c>
      <c r="D1467" s="6005"/>
      <c r="E1467" s="7515" t="s">
        <v>32</v>
      </c>
      <c r="F1467" s="9025" t="s">
        <v>232</v>
      </c>
      <c r="G1467" s="10535" t="s">
        <v>15</v>
      </c>
      <c r="H1467" s="12045">
        <v>1</v>
      </c>
      <c r="I1467" s="13555" t="s">
        <v>16</v>
      </c>
      <c r="J1467" t="s">
        <v>28</v>
      </c>
    </row>
    <row r="1468" spans="1:10" ht="15.75" outlineLevel="1">
      <c r="A1468" s="1476" t="s">
        <v>2557</v>
      </c>
      <c r="B1468" s="2986" t="s">
        <v>234</v>
      </c>
      <c r="C1468" s="4496" t="s">
        <v>235</v>
      </c>
      <c r="D1468" s="6006" t="s">
        <v>236</v>
      </c>
      <c r="E1468" s="7516" t="s">
        <v>32</v>
      </c>
      <c r="F1468" s="9026" t="s">
        <v>237</v>
      </c>
      <c r="G1468" s="10536" t="s">
        <v>15</v>
      </c>
      <c r="H1468" s="12046">
        <v>2</v>
      </c>
      <c r="I1468" s="13556" t="s">
        <v>16</v>
      </c>
      <c r="J1468" s="13600" t="str">
        <f>HYPERLINK("\\192.168.170.18\drawings\2-Basic Components\0000-310 - Sightglass\0000-310-005-A - Sightglass w.Wiper - DN200 PN0 - Welded.pdf", "PDF")</f>
        <v>PDF</v>
      </c>
    </row>
    <row r="1469" spans="1:10" ht="15.75" outlineLevel="1">
      <c r="A1469" s="1477" t="s">
        <v>2558</v>
      </c>
      <c r="B1469" s="2987" t="s">
        <v>239</v>
      </c>
      <c r="C1469" s="4497" t="s">
        <v>240</v>
      </c>
      <c r="D1469" s="6007"/>
      <c r="E1469" s="7517" t="s">
        <v>32</v>
      </c>
      <c r="F1469" s="9027" t="s">
        <v>241</v>
      </c>
      <c r="G1469" s="10537" t="s">
        <v>15</v>
      </c>
      <c r="H1469" s="12047">
        <v>52</v>
      </c>
      <c r="I1469" s="13557" t="s">
        <v>16</v>
      </c>
      <c r="J1469" s="13600" t="str">
        <f>HYPERLINK("\\192.168.170.18\drawings\2-Basic Components\0000-342 - Pipe Holders\0000-342-034-- - Pipe holder foot L=300.pdf", "PDF")</f>
        <v>PDF</v>
      </c>
    </row>
    <row r="1470" spans="1:10" ht="15.75" outlineLevel="1">
      <c r="A1470" s="1478" t="s">
        <v>2559</v>
      </c>
      <c r="B1470" s="2988" t="s">
        <v>251</v>
      </c>
      <c r="C1470" s="4498" t="s">
        <v>252</v>
      </c>
      <c r="D1470" s="6008" t="s">
        <v>253</v>
      </c>
      <c r="E1470" s="7518" t="s">
        <v>32</v>
      </c>
      <c r="F1470" s="9028" t="s">
        <v>254</v>
      </c>
      <c r="G1470" s="10538" t="s">
        <v>15</v>
      </c>
      <c r="H1470" s="12048">
        <v>1</v>
      </c>
      <c r="I1470" s="13558" t="s">
        <v>16</v>
      </c>
      <c r="J1470" s="13600" t="str">
        <f>HYPERLINK("\\192.168.170.18\drawings\2-Basic Components\0000-314 - Agitator\0000-314-504-A - Agitator Drive.pdf", "PDF")</f>
        <v>PDF</v>
      </c>
    </row>
    <row r="1471" spans="1:10" ht="15.75" outlineLevel="1">
      <c r="A1471" s="1479" t="s">
        <v>2560</v>
      </c>
      <c r="B1471" s="2989" t="s">
        <v>256</v>
      </c>
      <c r="C1471" s="4499" t="s">
        <v>257</v>
      </c>
      <c r="D1471" s="6009" t="s">
        <v>253</v>
      </c>
      <c r="E1471" s="7519" t="s">
        <v>25</v>
      </c>
      <c r="F1471" s="9029" t="s">
        <v>258</v>
      </c>
      <c r="G1471" s="10539" t="s">
        <v>15</v>
      </c>
      <c r="H1471" s="12049">
        <v>1</v>
      </c>
      <c r="I1471" s="13559" t="s">
        <v>16</v>
      </c>
      <c r="J1471" s="13600" t="str">
        <f>HYPERLINK("\\192.168.170.18\drawings\2-Basic Components\0000-314 - Agitator\0000-314-300-- - Agitator L=19152.pdf", "PDF")</f>
        <v>PDF</v>
      </c>
    </row>
    <row r="1472" spans="1:10" outlineLevel="1">
      <c r="A1472" s="1480" t="s">
        <v>2561</v>
      </c>
      <c r="B1472" s="2990" t="s">
        <v>260</v>
      </c>
      <c r="C1472" s="4500" t="s">
        <v>261</v>
      </c>
      <c r="D1472" s="6010"/>
      <c r="E1472" s="7520" t="s">
        <v>41</v>
      </c>
      <c r="F1472" s="9030" t="s">
        <v>262</v>
      </c>
      <c r="G1472" s="10540" t="s">
        <v>15</v>
      </c>
      <c r="H1472" s="12050">
        <v>1</v>
      </c>
      <c r="I1472" s="13560" t="s">
        <v>16</v>
      </c>
      <c r="J1472" t="s">
        <v>28</v>
      </c>
    </row>
    <row r="1473" spans="1:10" ht="15.75" outlineLevel="1">
      <c r="A1473" s="1481" t="s">
        <v>2562</v>
      </c>
      <c r="B1473" s="2991" t="s">
        <v>264</v>
      </c>
      <c r="C1473" s="4501" t="s">
        <v>265</v>
      </c>
      <c r="D1473" s="6011"/>
      <c r="E1473" s="7521" t="s">
        <v>32</v>
      </c>
      <c r="F1473" s="9031" t="s">
        <v>266</v>
      </c>
      <c r="G1473" s="10541" t="s">
        <v>15</v>
      </c>
      <c r="H1473" s="12051">
        <v>3</v>
      </c>
      <c r="I1473" s="13561" t="s">
        <v>16</v>
      </c>
      <c r="J1473" s="13600" t="str">
        <f>HYPERLINK("\\192.168.170.18\drawings\2-Basic Components\0000-301 - Tank Connection\0000-301-071-B - TC- Flange 15° DN50 PN10 L=170- BG.pdf", "PDF")</f>
        <v>PDF</v>
      </c>
    </row>
    <row r="1474" spans="1:10" outlineLevel="1">
      <c r="A1474" s="1482" t="s">
        <v>2563</v>
      </c>
      <c r="B1474" s="2992" t="s">
        <v>357</v>
      </c>
      <c r="C1474" s="4502" t="s">
        <v>358</v>
      </c>
      <c r="D1474" s="6012" t="s">
        <v>359</v>
      </c>
      <c r="E1474" s="7522" t="s">
        <v>32</v>
      </c>
      <c r="F1474" s="9032" t="s">
        <v>360</v>
      </c>
      <c r="G1474" s="10542" t="s">
        <v>15</v>
      </c>
      <c r="H1474" s="12052">
        <v>2</v>
      </c>
      <c r="I1474" s="13562" t="s">
        <v>16</v>
      </c>
      <c r="J1474" t="s">
        <v>28</v>
      </c>
    </row>
    <row r="1475" spans="1:10" outlineLevel="1">
      <c r="A1475" s="1483" t="s">
        <v>2564</v>
      </c>
      <c r="B1475" s="2993" t="s">
        <v>357</v>
      </c>
      <c r="C1475" s="4503" t="s">
        <v>362</v>
      </c>
      <c r="D1475" s="6013" t="s">
        <v>363</v>
      </c>
      <c r="E1475" s="7523" t="s">
        <v>128</v>
      </c>
      <c r="F1475" s="9033" t="s">
        <v>364</v>
      </c>
      <c r="G1475" s="10543" t="s">
        <v>15</v>
      </c>
      <c r="H1475" s="12053">
        <v>2</v>
      </c>
      <c r="I1475" s="13563" t="s">
        <v>16</v>
      </c>
      <c r="J1475" t="s">
        <v>28</v>
      </c>
    </row>
    <row r="1476" spans="1:10" outlineLevel="1">
      <c r="A1476" s="1484" t="s">
        <v>2565</v>
      </c>
      <c r="B1476" s="2994" t="s">
        <v>357</v>
      </c>
      <c r="C1476" s="4504" t="s">
        <v>366</v>
      </c>
      <c r="D1476" s="6014" t="s">
        <v>367</v>
      </c>
      <c r="E1476" s="7524" t="s">
        <v>32</v>
      </c>
      <c r="F1476" s="9034" t="s">
        <v>368</v>
      </c>
      <c r="G1476" s="10544" t="s">
        <v>15</v>
      </c>
      <c r="H1476" s="12054">
        <v>4</v>
      </c>
      <c r="I1476" s="13564" t="s">
        <v>16</v>
      </c>
      <c r="J1476" t="s">
        <v>28</v>
      </c>
    </row>
    <row r="1477" spans="1:10" outlineLevel="1">
      <c r="A1477" s="1485" t="s">
        <v>2566</v>
      </c>
      <c r="B1477" s="2995" t="s">
        <v>357</v>
      </c>
      <c r="C1477" s="4505" t="s">
        <v>370</v>
      </c>
      <c r="D1477" s="6015"/>
      <c r="E1477" s="7525" t="s">
        <v>32</v>
      </c>
      <c r="F1477" s="9035" t="s">
        <v>371</v>
      </c>
      <c r="G1477" s="10545" t="s">
        <v>15</v>
      </c>
      <c r="H1477" s="12055">
        <v>2</v>
      </c>
      <c r="I1477" s="13565" t="s">
        <v>16</v>
      </c>
      <c r="J1477" t="s">
        <v>28</v>
      </c>
    </row>
    <row r="1478" spans="1:10" outlineLevel="1">
      <c r="A1478" s="1486" t="s">
        <v>2567</v>
      </c>
      <c r="B1478" s="2996" t="s">
        <v>357</v>
      </c>
      <c r="C1478" s="4506" t="s">
        <v>373</v>
      </c>
      <c r="D1478" s="6016"/>
      <c r="E1478" s="7526" t="s">
        <v>32</v>
      </c>
      <c r="F1478" s="9036" t="s">
        <v>374</v>
      </c>
      <c r="G1478" s="10546" t="s">
        <v>15</v>
      </c>
      <c r="H1478" s="12056">
        <v>4</v>
      </c>
      <c r="I1478" s="13566" t="s">
        <v>16</v>
      </c>
      <c r="J1478" t="s">
        <v>28</v>
      </c>
    </row>
    <row r="1479" spans="1:10" outlineLevel="1">
      <c r="A1479" s="1487" t="s">
        <v>2568</v>
      </c>
      <c r="B1479" s="2997" t="s">
        <v>247</v>
      </c>
      <c r="C1479" s="4507" t="s">
        <v>311</v>
      </c>
      <c r="D1479" s="6017"/>
      <c r="E1479" s="7527" t="s">
        <v>83</v>
      </c>
      <c r="F1479" s="9037" t="s">
        <v>376</v>
      </c>
      <c r="G1479" s="10547" t="s">
        <v>27</v>
      </c>
      <c r="H1479" s="12057">
        <v>4</v>
      </c>
      <c r="I1479" s="13567"/>
      <c r="J1479" t="s">
        <v>28</v>
      </c>
    </row>
    <row r="1480" spans="1:10" outlineLevel="1">
      <c r="A1480" s="1488" t="s">
        <v>2569</v>
      </c>
      <c r="B1480" s="2998" t="s">
        <v>247</v>
      </c>
      <c r="C1480" s="4508" t="s">
        <v>248</v>
      </c>
      <c r="D1480" s="6018"/>
      <c r="E1480" s="7528" t="s">
        <v>32</v>
      </c>
      <c r="F1480" s="9038" t="s">
        <v>249</v>
      </c>
      <c r="G1480" s="10548" t="s">
        <v>27</v>
      </c>
      <c r="H1480" s="12058">
        <v>2</v>
      </c>
      <c r="I1480" s="13568"/>
      <c r="J1480" t="s">
        <v>28</v>
      </c>
    </row>
    <row r="1481" spans="1:10" outlineLevel="1">
      <c r="A1481" s="1489" t="s">
        <v>2570</v>
      </c>
      <c r="B1481" s="2999" t="s">
        <v>247</v>
      </c>
      <c r="C1481" s="4509" t="s">
        <v>378</v>
      </c>
      <c r="D1481" s="6019"/>
      <c r="E1481" s="7529" t="s">
        <v>32</v>
      </c>
      <c r="F1481" s="9039" t="s">
        <v>379</v>
      </c>
      <c r="G1481" s="10549" t="s">
        <v>27</v>
      </c>
      <c r="H1481" s="12059">
        <v>2</v>
      </c>
      <c r="I1481" s="13569"/>
      <c r="J1481" t="s">
        <v>28</v>
      </c>
    </row>
    <row r="1482" spans="1:10" outlineLevel="1">
      <c r="A1482" s="1490" t="s">
        <v>2571</v>
      </c>
      <c r="B1482" s="3000" t="s">
        <v>357</v>
      </c>
      <c r="C1482" s="4510" t="s">
        <v>381</v>
      </c>
      <c r="D1482" s="6020" t="s">
        <v>382</v>
      </c>
      <c r="E1482" s="7530" t="s">
        <v>32</v>
      </c>
      <c r="F1482" s="9040" t="s">
        <v>383</v>
      </c>
      <c r="G1482" s="10550" t="s">
        <v>15</v>
      </c>
      <c r="H1482" s="12060">
        <v>2</v>
      </c>
      <c r="I1482" s="13570" t="s">
        <v>16</v>
      </c>
      <c r="J1482" t="s">
        <v>28</v>
      </c>
    </row>
    <row r="1483" spans="1:10" outlineLevel="1">
      <c r="A1483" s="1491" t="s">
        <v>2572</v>
      </c>
      <c r="B1483" s="3001" t="s">
        <v>247</v>
      </c>
      <c r="C1483" s="4511" t="s">
        <v>385</v>
      </c>
      <c r="D1483" s="6021" t="s">
        <v>386</v>
      </c>
      <c r="E1483" s="7531" t="s">
        <v>25</v>
      </c>
      <c r="F1483" s="9041" t="s">
        <v>387</v>
      </c>
      <c r="G1483" s="10551" t="s">
        <v>27</v>
      </c>
      <c r="H1483" s="12061">
        <v>2</v>
      </c>
      <c r="I1483" s="13571" t="s">
        <v>16</v>
      </c>
      <c r="J1483" t="s">
        <v>28</v>
      </c>
    </row>
    <row r="1484" spans="1:10" outlineLevel="1">
      <c r="A1484" s="1492" t="s">
        <v>2573</v>
      </c>
      <c r="B1484" s="3002" t="s">
        <v>268</v>
      </c>
      <c r="C1484" s="4512" t="s">
        <v>269</v>
      </c>
      <c r="D1484" s="6022"/>
      <c r="E1484" s="7532" t="s">
        <v>41</v>
      </c>
      <c r="F1484" s="9042" t="s">
        <v>270</v>
      </c>
      <c r="G1484" s="10552" t="s">
        <v>15</v>
      </c>
      <c r="H1484" s="12062">
        <v>2</v>
      </c>
      <c r="I1484" s="13572" t="s">
        <v>16</v>
      </c>
      <c r="J1484" t="s">
        <v>28</v>
      </c>
    </row>
    <row r="1485" spans="1:10" outlineLevel="1">
      <c r="A1485" s="1493" t="s">
        <v>2574</v>
      </c>
      <c r="B1485" s="3003" t="s">
        <v>268</v>
      </c>
      <c r="C1485" s="4513" t="s">
        <v>272</v>
      </c>
      <c r="D1485" s="6023"/>
      <c r="E1485" s="7533" t="s">
        <v>41</v>
      </c>
      <c r="F1485" s="9043" t="s">
        <v>273</v>
      </c>
      <c r="G1485" s="10553" t="s">
        <v>15</v>
      </c>
      <c r="H1485" s="12063">
        <v>4</v>
      </c>
      <c r="I1485" s="13573" t="s">
        <v>16</v>
      </c>
      <c r="J1485" t="s">
        <v>28</v>
      </c>
    </row>
    <row r="1486" spans="1:10" outlineLevel="1">
      <c r="A1486" s="1494" t="s">
        <v>2575</v>
      </c>
      <c r="B1486" s="3004" t="s">
        <v>275</v>
      </c>
      <c r="C1486" s="4514" t="s">
        <v>276</v>
      </c>
      <c r="D1486" s="6024"/>
      <c r="E1486" s="7534" t="s">
        <v>41</v>
      </c>
      <c r="F1486" s="9044" t="s">
        <v>277</v>
      </c>
      <c r="G1486" s="10554" t="s">
        <v>15</v>
      </c>
      <c r="H1486" s="12064">
        <v>2</v>
      </c>
      <c r="I1486" s="13574" t="s">
        <v>16</v>
      </c>
      <c r="J1486" t="s">
        <v>28</v>
      </c>
    </row>
    <row r="1487" spans="1:10" outlineLevel="1">
      <c r="A1487" s="1495" t="s">
        <v>2576</v>
      </c>
      <c r="B1487" s="3005" t="s">
        <v>268</v>
      </c>
      <c r="C1487" s="4515" t="s">
        <v>279</v>
      </c>
      <c r="D1487" s="6025"/>
      <c r="E1487" s="7535" t="s">
        <v>41</v>
      </c>
      <c r="F1487" s="9045" t="s">
        <v>280</v>
      </c>
      <c r="G1487" s="10555" t="s">
        <v>15</v>
      </c>
      <c r="H1487" s="12065">
        <v>2</v>
      </c>
      <c r="I1487" s="13575" t="s">
        <v>16</v>
      </c>
      <c r="J1487" t="s">
        <v>28</v>
      </c>
    </row>
    <row r="1488" spans="1:10" ht="15.75" outlineLevel="1">
      <c r="A1488" s="1496" t="s">
        <v>2577</v>
      </c>
      <c r="B1488" s="3006" t="s">
        <v>282</v>
      </c>
      <c r="C1488" s="4516" t="s">
        <v>283</v>
      </c>
      <c r="D1488" s="6026"/>
      <c r="E1488" s="7536" t="s">
        <v>25</v>
      </c>
      <c r="F1488" s="9046" t="s">
        <v>284</v>
      </c>
      <c r="G1488" s="10556" t="s">
        <v>15</v>
      </c>
      <c r="H1488" s="12066">
        <v>1</v>
      </c>
      <c r="I1488" s="13576" t="s">
        <v>16</v>
      </c>
      <c r="J1488" s="13600" t="str">
        <f>HYPERLINK("\\192.168.170.18\drawings\2-Basic Components\0000-315 - Central Flange\0000-315-003-A - Trap DN500 - pressure = 35 mbar_vacuum = -3 mbar.pdf", "PDF")</f>
        <v>PDF</v>
      </c>
    </row>
    <row r="1489" spans="1:10" ht="15.75" outlineLevel="1">
      <c r="A1489" s="1497" t="s">
        <v>2578</v>
      </c>
      <c r="B1489" s="3007" t="s">
        <v>286</v>
      </c>
      <c r="C1489" s="4517" t="s">
        <v>287</v>
      </c>
      <c r="D1489" s="6027"/>
      <c r="E1489" s="7537" t="s">
        <v>32</v>
      </c>
      <c r="F1489" s="9047" t="s">
        <v>288</v>
      </c>
      <c r="G1489" s="10557" t="s">
        <v>15</v>
      </c>
      <c r="H1489" s="12067">
        <v>4</v>
      </c>
      <c r="I1489" s="13577" t="s">
        <v>16</v>
      </c>
      <c r="J1489" s="13600" t="str">
        <f>HYPERLINK("\\192.168.170.18\drawings\2-Basic Components\0000-301 - Tank Connection\0000-301-120-- - TC- Flange Elbow DN150 PN10 L=450 - BM.pdf", "PDF")</f>
        <v>PDF</v>
      </c>
    </row>
    <row r="1490" spans="1:10" ht="15.75" outlineLevel="1">
      <c r="A1490" s="1498" t="s">
        <v>2579</v>
      </c>
      <c r="B1490" s="3008" t="s">
        <v>290</v>
      </c>
      <c r="C1490" s="4518" t="s">
        <v>291</v>
      </c>
      <c r="D1490" s="6028"/>
      <c r="E1490" s="7538" t="s">
        <v>32</v>
      </c>
      <c r="F1490" s="9048" t="s">
        <v>292</v>
      </c>
      <c r="G1490" s="10558" t="s">
        <v>15</v>
      </c>
      <c r="H1490" s="12068">
        <v>1</v>
      </c>
      <c r="I1490" s="13578"/>
      <c r="J1490" s="13600" t="str">
        <f>HYPERLINK("\\192.168.170.18\drawings\2-Basic Components\0000-321 - Straight Connection\0000-321-106-- - Biomass - Straight Connection - DN100x6m.pdf", "PDF")</f>
        <v>PDF</v>
      </c>
    </row>
    <row r="1491" spans="1:10" ht="15.75" outlineLevel="1">
      <c r="A1491" s="1499" t="s">
        <v>2580</v>
      </c>
      <c r="B1491" s="3009" t="s">
        <v>294</v>
      </c>
      <c r="C1491" s="4519" t="s">
        <v>295</v>
      </c>
      <c r="D1491" s="6029"/>
      <c r="E1491" s="7539" t="s">
        <v>32</v>
      </c>
      <c r="F1491" s="9049" t="s">
        <v>296</v>
      </c>
      <c r="G1491" s="10559" t="s">
        <v>15</v>
      </c>
      <c r="H1491" s="12069">
        <v>4</v>
      </c>
      <c r="I1491" s="13579"/>
      <c r="J1491" s="13600" t="str">
        <f>HYPERLINK("\\192.168.170.18\drawings\2-Basic Components\0000-342 - Pipe Holders\0000-342-270-B - DN100 Pipeholder for bottom mounting.pdf", "PDF")</f>
        <v>PDF</v>
      </c>
    </row>
    <row r="1492" spans="1:10" ht="15.75" outlineLevel="1">
      <c r="A1492" s="1500" t="s">
        <v>2581</v>
      </c>
      <c r="B1492" s="3010" t="s">
        <v>298</v>
      </c>
      <c r="C1492" s="4520" t="s">
        <v>299</v>
      </c>
      <c r="D1492" s="6030"/>
      <c r="E1492" s="7540" t="s">
        <v>32</v>
      </c>
      <c r="F1492" s="9050" t="s">
        <v>300</v>
      </c>
      <c r="G1492" s="10560" t="s">
        <v>15</v>
      </c>
      <c r="H1492" s="12070">
        <v>2</v>
      </c>
      <c r="I1492" s="13580" t="s">
        <v>16</v>
      </c>
      <c r="J1492" s="13600" t="str">
        <f>HYPERLINK("\\192.168.170.18\drawings\2-Basic Components\0000-301 - Tank Connection\0000-301-119-- - TC- Flange DN150 PN10 L=330 - BM.pdf", "PDF")</f>
        <v>PDF</v>
      </c>
    </row>
    <row r="1493" spans="1:10" ht="15.75" outlineLevel="1">
      <c r="A1493" s="1501" t="s">
        <v>2582</v>
      </c>
      <c r="B1493" s="3011" t="s">
        <v>302</v>
      </c>
      <c r="C1493" s="4521" t="s">
        <v>303</v>
      </c>
      <c r="D1493" s="6031" t="s">
        <v>304</v>
      </c>
      <c r="E1493" s="7541" t="s">
        <v>32</v>
      </c>
      <c r="F1493" s="9051" t="s">
        <v>305</v>
      </c>
      <c r="G1493" s="10561" t="s">
        <v>15</v>
      </c>
      <c r="H1493" s="12071">
        <v>1</v>
      </c>
      <c r="I1493" s="13581" t="s">
        <v>16</v>
      </c>
      <c r="J1493" s="13600" t="str">
        <f>HYPERLINK("\\192.168.170.18\drawings\2-Basic Components\0000-321 - Straight Connection\0000-321-103-A - Outlet pipe DN100 - Biomass.pdf", "PDF")</f>
        <v>PDF</v>
      </c>
    </row>
    <row r="1494" spans="1:10" ht="15.75" outlineLevel="1">
      <c r="A1494" s="1502" t="s">
        <v>2583</v>
      </c>
      <c r="B1494" s="3012" t="s">
        <v>307</v>
      </c>
      <c r="C1494" s="4522" t="s">
        <v>308</v>
      </c>
      <c r="D1494" s="6032"/>
      <c r="E1494" s="7542" t="s">
        <v>32</v>
      </c>
      <c r="F1494" s="9052" t="s">
        <v>309</v>
      </c>
      <c r="G1494" s="10562" t="s">
        <v>15</v>
      </c>
      <c r="H1494" s="12072">
        <v>2</v>
      </c>
      <c r="I1494" s="13582" t="s">
        <v>16</v>
      </c>
      <c r="J1494" s="13600" t="str">
        <f>HYPERLINK("\\192.168.170.18\drawings\2-Basic Components\0000-301 - Tank Connection\0000-301-122-- - TC- Flange DN150 PN10 L=330 - BM.pdf", "PDF")</f>
        <v>PDF</v>
      </c>
    </row>
    <row r="1495" spans="1:10" outlineLevel="1">
      <c r="A1495" s="1503" t="s">
        <v>2584</v>
      </c>
      <c r="B1495" s="3013" t="s">
        <v>247</v>
      </c>
      <c r="C1495" s="4523" t="s">
        <v>311</v>
      </c>
      <c r="D1495" s="6033"/>
      <c r="E1495" s="7543" t="s">
        <v>25</v>
      </c>
      <c r="F1495" s="9053" t="s">
        <v>312</v>
      </c>
      <c r="G1495" s="10563" t="s">
        <v>27</v>
      </c>
      <c r="H1495" s="12073">
        <v>1</v>
      </c>
      <c r="I1495" s="13583"/>
      <c r="J1495" t="s">
        <v>28</v>
      </c>
    </row>
    <row r="1496" spans="1:10" ht="15.75" outlineLevel="1">
      <c r="A1496" s="1504" t="s">
        <v>2585</v>
      </c>
      <c r="B1496" s="3014" t="s">
        <v>314</v>
      </c>
      <c r="C1496" s="4524" t="s">
        <v>315</v>
      </c>
      <c r="D1496" s="6034"/>
      <c r="E1496" s="7544" t="s">
        <v>32</v>
      </c>
      <c r="F1496" s="9054" t="s">
        <v>316</v>
      </c>
      <c r="G1496" s="10564" t="s">
        <v>15</v>
      </c>
      <c r="H1496" s="12074">
        <v>1</v>
      </c>
      <c r="I1496" s="13584" t="s">
        <v>16</v>
      </c>
      <c r="J1496" s="13600" t="str">
        <f>HYPERLINK("\\192.168.170.18\drawings\2-Basic Components\0000-321 - Straight Connection\0000-321-109-- - Biomass - Straight Connection - DN100x6m.pdf", "PDF")</f>
        <v>PDF</v>
      </c>
    </row>
    <row r="1497" spans="1:10" ht="15.75" outlineLevel="1">
      <c r="A1497" s="1505" t="s">
        <v>2586</v>
      </c>
      <c r="B1497" s="3015" t="s">
        <v>318</v>
      </c>
      <c r="C1497" s="4525" t="s">
        <v>319</v>
      </c>
      <c r="D1497" s="6035"/>
      <c r="E1497" s="7545" t="s">
        <v>32</v>
      </c>
      <c r="F1497" s="9055" t="s">
        <v>320</v>
      </c>
      <c r="G1497" s="10565" t="s">
        <v>15</v>
      </c>
      <c r="H1497" s="12075">
        <v>4</v>
      </c>
      <c r="I1497" s="13585" t="s">
        <v>16</v>
      </c>
      <c r="J1497" s="13600" t="str">
        <f>HYPERLINK("\\192.168.170.18\drawings\2-Basic Components\0000-342 - Pipe Holders\0000-342-274-- - DN125 Pipeholder for bottom mounting.pdf", "PDF")</f>
        <v>PDF</v>
      </c>
    </row>
    <row r="1498" spans="1:10" ht="15.75" outlineLevel="1">
      <c r="A1498" s="1506" t="s">
        <v>2587</v>
      </c>
      <c r="B1498" s="3016" t="s">
        <v>322</v>
      </c>
      <c r="C1498" s="4526" t="s">
        <v>323</v>
      </c>
      <c r="D1498" s="6036"/>
      <c r="E1498" s="7546" t="s">
        <v>32</v>
      </c>
      <c r="F1498" s="9056" t="s">
        <v>324</v>
      </c>
      <c r="G1498" s="10566" t="s">
        <v>15</v>
      </c>
      <c r="H1498" s="12076">
        <v>3</v>
      </c>
      <c r="I1498" s="13586" t="s">
        <v>16</v>
      </c>
      <c r="J1498" s="13600" t="str">
        <f>HYPERLINK("\\192.168.170.18\drawings\2-Basic Components\0000-301 - Tank Connection\0000-301-123-- - TC- Flange Elbow DN200 PN10 L=450 - BM.pdf", "PDF")</f>
        <v>PDF</v>
      </c>
    </row>
    <row r="1499" spans="1:10" ht="15.75" outlineLevel="1">
      <c r="A1499" s="1507" t="s">
        <v>2588</v>
      </c>
      <c r="B1499" s="3017" t="s">
        <v>326</v>
      </c>
      <c r="C1499" s="4527" t="s">
        <v>327</v>
      </c>
      <c r="D1499" s="6037"/>
      <c r="E1499" s="7547" t="s">
        <v>32</v>
      </c>
      <c r="F1499" s="9057" t="s">
        <v>328</v>
      </c>
      <c r="G1499" s="10567" t="s">
        <v>15</v>
      </c>
      <c r="H1499" s="12077">
        <v>6</v>
      </c>
      <c r="I1499" s="13587" t="s">
        <v>16</v>
      </c>
      <c r="J1499" s="13600" t="str">
        <f>HYPERLINK("\\192.168.170.18\drawings\2-Basic Components\0000-301 - Tank Connection\0000-301-124-- - TC- Flange DN200 PN10 L=330 - BM.pdf", "PDF")</f>
        <v>PDF</v>
      </c>
    </row>
    <row r="1500" spans="1:10" ht="15.75" outlineLevel="1">
      <c r="A1500" s="1508" t="s">
        <v>2589</v>
      </c>
      <c r="B1500" s="3018" t="s">
        <v>330</v>
      </c>
      <c r="C1500" s="4528" t="s">
        <v>331</v>
      </c>
      <c r="D1500" s="6038"/>
      <c r="E1500" s="7548" t="s">
        <v>32</v>
      </c>
      <c r="F1500" s="9058" t="s">
        <v>332</v>
      </c>
      <c r="G1500" s="10568" t="s">
        <v>15</v>
      </c>
      <c r="H1500" s="12078">
        <v>3</v>
      </c>
      <c r="I1500" s="13588" t="s">
        <v>16</v>
      </c>
      <c r="J1500" s="13600" t="str">
        <f>HYPERLINK("\\192.168.170.18\drawings\2-Basic Components\0000-321 - Straight Connection\0000-321-157-- - Biomass - Straigth Connection - DN200x6m.pdf", "PDF")</f>
        <v>PDF</v>
      </c>
    </row>
    <row r="1501" spans="1:10" outlineLevel="1">
      <c r="A1501" s="1509" t="s">
        <v>2590</v>
      </c>
      <c r="B1501" s="3019" t="s">
        <v>334</v>
      </c>
      <c r="C1501" s="4529" t="s">
        <v>335</v>
      </c>
      <c r="D1501" s="6039"/>
      <c r="E1501" s="7549" t="s">
        <v>32</v>
      </c>
      <c r="F1501" s="9059" t="s">
        <v>336</v>
      </c>
      <c r="G1501" s="10569" t="s">
        <v>15</v>
      </c>
      <c r="H1501" s="12079">
        <v>12</v>
      </c>
      <c r="I1501" s="13589" t="s">
        <v>16</v>
      </c>
      <c r="J1501" t="s">
        <v>28</v>
      </c>
    </row>
    <row r="1502" spans="1:10" ht="15.75" outlineLevel="1">
      <c r="A1502" s="1510" t="s">
        <v>2591</v>
      </c>
      <c r="B1502" s="3020" t="s">
        <v>344</v>
      </c>
      <c r="C1502" s="4530" t="s">
        <v>345</v>
      </c>
      <c r="D1502" s="6040" t="s">
        <v>346</v>
      </c>
      <c r="E1502" s="7550" t="s">
        <v>32</v>
      </c>
      <c r="F1502" s="9060" t="s">
        <v>347</v>
      </c>
      <c r="G1502" s="10570" t="s">
        <v>15</v>
      </c>
      <c r="H1502" s="12080">
        <v>1</v>
      </c>
      <c r="I1502" s="13590" t="s">
        <v>16</v>
      </c>
      <c r="J1502" s="13600" t="str">
        <f>HYPERLINK("\\192.168.170.18\drawings\2-Basic Components\0000-315 - Central Flange\0000-315-005-A - Central flange 5200 - DN250 assembly.pdf", "PDF")</f>
        <v>PDF</v>
      </c>
    </row>
    <row r="1503" spans="1:10" ht="15.75" outlineLevel="1">
      <c r="A1503" s="1511" t="s">
        <v>2592</v>
      </c>
      <c r="B1503" s="3021" t="s">
        <v>349</v>
      </c>
      <c r="C1503" s="4531" t="s">
        <v>350</v>
      </c>
      <c r="D1503" s="6041" t="s">
        <v>304</v>
      </c>
      <c r="E1503" s="7551" t="s">
        <v>32</v>
      </c>
      <c r="F1503" s="9061" t="s">
        <v>351</v>
      </c>
      <c r="G1503" s="10571" t="s">
        <v>15</v>
      </c>
      <c r="H1503" s="12081">
        <v>3</v>
      </c>
      <c r="I1503" s="13591" t="s">
        <v>16</v>
      </c>
      <c r="J1503" s="13600" t="str">
        <f>HYPERLINK("\\192.168.170.18\drawings\2-Basic Components\0000-321 - Straight Connection\0000-321-158-A - Outlet Pipe DN200 - Biomass.pdf", "PDF")</f>
        <v>PDF</v>
      </c>
    </row>
    <row r="1504" spans="1:10" ht="15.75" outlineLevel="1">
      <c r="A1504" s="1512" t="s">
        <v>2593</v>
      </c>
      <c r="B1504" s="3022" t="s">
        <v>353</v>
      </c>
      <c r="C1504" s="4532" t="s">
        <v>354</v>
      </c>
      <c r="D1504" s="6042" t="s">
        <v>304</v>
      </c>
      <c r="E1504" s="7552" t="s">
        <v>32</v>
      </c>
      <c r="F1504" s="9062" t="s">
        <v>355</v>
      </c>
      <c r="G1504" s="10572" t="s">
        <v>15</v>
      </c>
      <c r="H1504" s="12082">
        <v>1</v>
      </c>
      <c r="I1504" s="13592" t="s">
        <v>16</v>
      </c>
      <c r="J1504" s="13600" t="str">
        <f>HYPERLINK("\\192.168.170.18\drawings\2-Basic Components\0000-321 - Straight Connection\0000-321-108-A - Outlet pipe DN125 - Biomass.pdf", "PDF")</f>
        <v>PDF</v>
      </c>
    </row>
    <row r="1505" spans="1:10" outlineLevel="1">
      <c r="A1505" s="1513" t="s">
        <v>2594</v>
      </c>
      <c r="B1505" s="3023" t="s">
        <v>2595</v>
      </c>
      <c r="C1505" s="4533" t="s">
        <v>488</v>
      </c>
      <c r="D1505" s="6043" t="s">
        <v>340</v>
      </c>
      <c r="E1505" s="7553" t="s">
        <v>341</v>
      </c>
      <c r="F1505" s="9063" t="s">
        <v>2596</v>
      </c>
      <c r="G1505" s="10573" t="s">
        <v>15</v>
      </c>
      <c r="H1505" s="12083">
        <v>1</v>
      </c>
      <c r="I1505" s="13593" t="s">
        <v>16</v>
      </c>
      <c r="J1505" t="s">
        <v>28</v>
      </c>
    </row>
    <row r="1506" spans="1:10">
      <c r="A1506" s="1514" t="s">
        <v>2597</v>
      </c>
      <c r="B1506" s="3024" t="s">
        <v>2598</v>
      </c>
      <c r="C1506" s="4534"/>
      <c r="D1506" s="6044"/>
      <c r="E1506" s="7554"/>
      <c r="F1506" s="9064" t="s">
        <v>2599</v>
      </c>
      <c r="G1506" s="10574" t="s">
        <v>15</v>
      </c>
      <c r="H1506" s="12084">
        <v>1</v>
      </c>
      <c r="I1506" s="13594" t="s">
        <v>16</v>
      </c>
      <c r="J1506" t="s">
        <v>28</v>
      </c>
    </row>
    <row r="1507" spans="1:10" outlineLevel="1">
      <c r="A1507" s="1515" t="s">
        <v>2600</v>
      </c>
      <c r="B1507" s="3025" t="s">
        <v>525</v>
      </c>
      <c r="C1507" s="4535" t="s">
        <v>526</v>
      </c>
      <c r="D1507" s="6045"/>
      <c r="E1507" s="7555" t="s">
        <v>208</v>
      </c>
      <c r="F1507" s="9065" t="s">
        <v>527</v>
      </c>
      <c r="G1507" s="10575" t="s">
        <v>27</v>
      </c>
      <c r="H1507" s="12085">
        <v>4</v>
      </c>
      <c r="I1507" s="13595"/>
      <c r="J1507" t="s">
        <v>28</v>
      </c>
    </row>
    <row r="1508" spans="1:10" outlineLevel="1">
      <c r="A1508" s="1516" t="s">
        <v>2601</v>
      </c>
      <c r="B1508" s="3026" t="s">
        <v>81</v>
      </c>
      <c r="C1508" s="4536" t="s">
        <v>529</v>
      </c>
      <c r="D1508" s="6046"/>
      <c r="E1508" s="7556" t="s">
        <v>97</v>
      </c>
      <c r="F1508" s="9066" t="s">
        <v>530</v>
      </c>
      <c r="G1508" s="10576" t="s">
        <v>15</v>
      </c>
      <c r="H1508" s="12086">
        <v>4</v>
      </c>
      <c r="I1508" s="13596"/>
      <c r="J1508" t="s">
        <v>28</v>
      </c>
    </row>
    <row r="1509" spans="1:10" outlineLevel="1">
      <c r="A1509" s="1517" t="s">
        <v>2602</v>
      </c>
      <c r="B1509" s="3027" t="s">
        <v>532</v>
      </c>
      <c r="C1509" s="4537" t="s">
        <v>533</v>
      </c>
      <c r="D1509" s="6047"/>
      <c r="E1509" s="7557" t="s">
        <v>16</v>
      </c>
      <c r="F1509" s="9067" t="s">
        <v>534</v>
      </c>
      <c r="G1509" s="10577" t="s">
        <v>27</v>
      </c>
      <c r="H1509" s="12087">
        <v>4</v>
      </c>
      <c r="I1509" s="13597"/>
      <c r="J1509" t="s">
        <v>28</v>
      </c>
    </row>
    <row r="1510" spans="1:10" outlineLevel="1">
      <c r="A1510" s="1518" t="s">
        <v>2603</v>
      </c>
      <c r="B1510" s="3028" t="s">
        <v>536</v>
      </c>
      <c r="C1510" s="4538" t="s">
        <v>537</v>
      </c>
      <c r="D1510" s="6048"/>
      <c r="E1510" s="7558" t="s">
        <v>208</v>
      </c>
      <c r="F1510" s="9068" t="s">
        <v>538</v>
      </c>
      <c r="G1510" s="10578" t="s">
        <v>27</v>
      </c>
      <c r="H1510" s="12088">
        <v>4</v>
      </c>
      <c r="I1510" s="13598" t="s">
        <v>16</v>
      </c>
      <c r="J1510" t="s">
        <v>28</v>
      </c>
    </row>
    <row r="1511" spans="1:10" ht="15.75" outlineLevel="1">
      <c r="A1511" s="1519" t="s">
        <v>2604</v>
      </c>
      <c r="B1511" s="3029" t="s">
        <v>1225</v>
      </c>
      <c r="C1511" s="4539" t="s">
        <v>1226</v>
      </c>
      <c r="D1511" s="6049"/>
      <c r="E1511" s="7559" t="s">
        <v>32</v>
      </c>
      <c r="F1511" s="9069" t="s">
        <v>1227</v>
      </c>
      <c r="G1511" s="10579" t="s">
        <v>15</v>
      </c>
      <c r="H1511" s="12089">
        <v>1</v>
      </c>
      <c r="I1511" s="13599"/>
      <c r="J1511" s="13600" t="str">
        <f>HYPERLINK("\\192.168.170.18\drawings\2-Basic Components\0000-316 - Heat-Exchangers\0000-316-010-- - 4 HEX Water-Biomass Ver. 01.pdf", "PDF")</f>
        <v>PDF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Jesper</cp:lastModifiedBy>
  <dcterms:created xsi:type="dcterms:W3CDTF">2020-11-22T09:27:13Z</dcterms:created>
  <dcterms:modified xsi:type="dcterms:W3CDTF">2021-01-03T08:47:26Z</dcterms:modified>
</cp:coreProperties>
</file>